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ROO\Data\PIB\Sectores\CuadroUtilizacion\"/>
    </mc:Choice>
  </mc:AlternateContent>
  <bookViews>
    <workbookView xWindow="0" yWindow="0" windowWidth="28800" windowHeight="12024" activeTab="1"/>
  </bookViews>
  <sheets>
    <sheet name="4.1.2" sheetId="1" r:id="rId1"/>
    <sheet name="mod" sheetId="2" r:id="rId2"/>
  </sheets>
  <externalReferences>
    <externalReference r:id="rId3"/>
  </externalReferences>
  <definedNames>
    <definedName name="__123Graph_A" localSheetId="1" hidden="1">'[1]Prod. Agrícolas de Exportación'!#REF!</definedName>
    <definedName name="__123Graph_A" hidden="1">'[1]Prod. Agrícolas de Exportación'!#REF!</definedName>
    <definedName name="__123Graph_B" localSheetId="1" hidden="1">'[1]Prod. Agrícolas de Exportación'!#REF!</definedName>
    <definedName name="__123Graph_B" hidden="1">'[1]Prod. Agrícolas de Exportación'!#REF!</definedName>
    <definedName name="Index_Sheet_Kutools" localSheetId="1">#REF!</definedName>
    <definedName name="Index_Sheet_Kutool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D10" i="2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BK10" i="2" s="1"/>
  <c r="BL10" i="2" s="1"/>
  <c r="BM10" i="2" s="1"/>
  <c r="BN10" i="2" s="1"/>
  <c r="BO10" i="2" s="1"/>
  <c r="BP10" i="2" s="1"/>
  <c r="BQ10" i="2" s="1"/>
  <c r="BR10" i="2" s="1"/>
  <c r="BS10" i="2" s="1"/>
  <c r="BT10" i="2" s="1"/>
  <c r="BU10" i="2" s="1"/>
  <c r="BV10" i="2" s="1"/>
  <c r="BW10" i="2" s="1"/>
  <c r="BX10" i="2" s="1"/>
  <c r="BY10" i="2" s="1"/>
  <c r="BZ10" i="2" s="1"/>
  <c r="CA10" i="2" s="1"/>
  <c r="CB10" i="2" s="1"/>
  <c r="CC10" i="2" s="1"/>
  <c r="CD10" i="2" s="1"/>
  <c r="CE10" i="2" s="1"/>
  <c r="CF10" i="2" s="1"/>
  <c r="CG10" i="2" s="1"/>
  <c r="CH10" i="2" s="1"/>
  <c r="CI10" i="2" s="1"/>
  <c r="CJ10" i="2" s="1"/>
  <c r="CK10" i="2" s="1"/>
  <c r="CL10" i="2" s="1"/>
  <c r="CM10" i="2" s="1"/>
  <c r="CN10" i="2" s="1"/>
  <c r="CO10" i="2" s="1"/>
  <c r="CP10" i="2" s="1"/>
  <c r="CQ10" i="2" s="1"/>
  <c r="CR10" i="2" s="1"/>
  <c r="CS10" i="2" s="1"/>
  <c r="CT10" i="2" s="1"/>
  <c r="CU10" i="2" s="1"/>
  <c r="CV10" i="2" s="1"/>
  <c r="CW10" i="2" s="1"/>
  <c r="CX10" i="2" s="1"/>
  <c r="CY10" i="2" s="1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DJ10" i="2" s="1"/>
  <c r="DK10" i="2" s="1"/>
  <c r="DL10" i="2" s="1"/>
  <c r="DM10" i="2" s="1"/>
  <c r="DN10" i="2" s="1"/>
  <c r="DO10" i="2" s="1"/>
  <c r="DP10" i="2" s="1"/>
  <c r="DQ10" i="2" s="1"/>
  <c r="DR10" i="2" s="1"/>
  <c r="DS10" i="2" s="1"/>
  <c r="DT10" i="2" s="1"/>
  <c r="DU10" i="2" s="1"/>
  <c r="DV10" i="2" s="1"/>
  <c r="DW10" i="2" s="1"/>
  <c r="DX10" i="2" s="1"/>
  <c r="DY10" i="2" s="1"/>
  <c r="DZ10" i="2" s="1"/>
  <c r="EA10" i="2" s="1"/>
  <c r="EB10" i="2" s="1"/>
  <c r="EC10" i="2" s="1"/>
  <c r="ED10" i="2" s="1"/>
  <c r="EE10" i="2" s="1"/>
  <c r="EF10" i="2" s="1"/>
  <c r="EG10" i="2" s="1"/>
  <c r="EH10" i="2" s="1"/>
  <c r="EI10" i="2" s="1"/>
  <c r="EJ10" i="2" s="1"/>
  <c r="EK10" i="2" s="1"/>
  <c r="EL10" i="2" s="1"/>
  <c r="EM10" i="2" s="1"/>
  <c r="EN10" i="2" s="1"/>
  <c r="EO10" i="2" s="1"/>
  <c r="EP10" i="2" s="1"/>
  <c r="EQ10" i="2" s="1"/>
  <c r="ER10" i="2" s="1"/>
  <c r="ES10" i="2" s="1"/>
  <c r="ET10" i="2" s="1"/>
  <c r="EU10" i="2" s="1"/>
  <c r="EV10" i="2" s="1"/>
  <c r="EW10" i="2" s="1"/>
  <c r="EX10" i="2" s="1"/>
  <c r="EY10" i="2" s="1"/>
  <c r="EZ10" i="2" s="1"/>
  <c r="FA10" i="2" s="1"/>
  <c r="FB10" i="2" s="1"/>
  <c r="FC10" i="2" s="1"/>
  <c r="FD10" i="2" s="1"/>
  <c r="FE10" i="2" s="1"/>
  <c r="FF10" i="2" s="1"/>
  <c r="FG10" i="2" s="1"/>
  <c r="FH10" i="2" s="1"/>
  <c r="FI10" i="2" s="1"/>
  <c r="FJ10" i="2" s="1"/>
  <c r="FK10" i="2" s="1"/>
  <c r="FL10" i="2" s="1"/>
  <c r="FM10" i="2" s="1"/>
  <c r="FN10" i="2" s="1"/>
  <c r="FO10" i="2" s="1"/>
  <c r="FP10" i="2" s="1"/>
  <c r="FQ10" i="2" s="1"/>
  <c r="FR10" i="2" s="1"/>
  <c r="FS10" i="2" s="1"/>
  <c r="FT10" i="2" s="1"/>
  <c r="FU10" i="2" s="1"/>
  <c r="FV10" i="2" s="1"/>
  <c r="FW10" i="2" s="1"/>
  <c r="FX10" i="2" s="1"/>
  <c r="FY10" i="2" s="1"/>
  <c r="FZ10" i="2" s="1"/>
  <c r="GA10" i="2" s="1"/>
  <c r="GB10" i="2" s="1"/>
  <c r="GC10" i="2" s="1"/>
  <c r="GD10" i="2" s="1"/>
  <c r="GE10" i="2" s="1"/>
  <c r="GF10" i="2" s="1"/>
  <c r="GG10" i="2" s="1"/>
  <c r="GH10" i="2" s="1"/>
  <c r="GI10" i="2" s="1"/>
  <c r="GJ10" i="2" s="1"/>
  <c r="GK10" i="2" s="1"/>
  <c r="GL10" i="2" s="1"/>
  <c r="GM10" i="2" s="1"/>
  <c r="GN10" i="2" s="1"/>
  <c r="GO10" i="2" s="1"/>
  <c r="GP10" i="2" s="1"/>
  <c r="C10" i="2"/>
  <c r="GP13" i="2"/>
  <c r="GO13" i="2"/>
  <c r="GN13" i="2"/>
  <c r="GM13" i="2"/>
  <c r="GL13" i="2"/>
  <c r="GK13" i="2"/>
  <c r="GJ13" i="2"/>
  <c r="GI13" i="2"/>
  <c r="GH13" i="2"/>
  <c r="GG13" i="2"/>
  <c r="GF13" i="2"/>
  <c r="GE13" i="2"/>
  <c r="GD13" i="2"/>
  <c r="GC13" i="2"/>
  <c r="GB13" i="2"/>
  <c r="GA13" i="2"/>
  <c r="FZ13" i="2"/>
  <c r="FY13" i="2"/>
  <c r="FX13" i="2"/>
  <c r="FW13" i="2"/>
  <c r="FV13" i="2"/>
  <c r="FU13" i="2"/>
  <c r="FT13" i="2"/>
  <c r="FS13" i="2"/>
  <c r="FR13" i="2"/>
  <c r="FQ13" i="2"/>
  <c r="FP13" i="2"/>
  <c r="FO13" i="2"/>
  <c r="FN13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GP235" i="2"/>
  <c r="GO235" i="2"/>
  <c r="GN235" i="2"/>
  <c r="GM235" i="2"/>
  <c r="GL235" i="2"/>
  <c r="GK235" i="2"/>
  <c r="GJ235" i="2"/>
  <c r="GI235" i="2"/>
  <c r="GH235" i="2"/>
  <c r="GG235" i="2"/>
  <c r="GF235" i="2"/>
  <c r="GE235" i="2"/>
  <c r="GD235" i="2"/>
  <c r="GC235" i="2"/>
  <c r="GB235" i="2"/>
  <c r="GA235" i="2"/>
  <c r="FZ235" i="2"/>
  <c r="FY235" i="2"/>
  <c r="FX235" i="2"/>
  <c r="FW235" i="2"/>
  <c r="FV235" i="2"/>
  <c r="FU235" i="2"/>
  <c r="FT235" i="2"/>
  <c r="FS235" i="2"/>
  <c r="FR235" i="2"/>
  <c r="FQ235" i="2"/>
  <c r="FP235" i="2"/>
  <c r="FO235" i="2"/>
  <c r="FN235" i="2"/>
  <c r="FM235" i="2"/>
  <c r="FL235" i="2"/>
  <c r="FK235" i="2"/>
  <c r="FJ235" i="2"/>
  <c r="FI235" i="2"/>
  <c r="FH235" i="2"/>
  <c r="FG235" i="2"/>
  <c r="FF235" i="2"/>
  <c r="FE235" i="2"/>
  <c r="FD235" i="2"/>
  <c r="FC235" i="2"/>
  <c r="FB235" i="2"/>
  <c r="FA235" i="2"/>
  <c r="EZ235" i="2"/>
  <c r="EY235" i="2"/>
  <c r="EX235" i="2"/>
  <c r="EW235" i="2"/>
  <c r="EV235" i="2"/>
  <c r="EU235" i="2"/>
  <c r="ET235" i="2"/>
  <c r="ES235" i="2"/>
  <c r="ER235" i="2"/>
  <c r="EQ235" i="2"/>
  <c r="EP235" i="2"/>
  <c r="EO235" i="2"/>
  <c r="EN235" i="2"/>
  <c r="EM235" i="2"/>
  <c r="EL235" i="2"/>
  <c r="EK235" i="2"/>
  <c r="EJ235" i="2"/>
  <c r="EI235" i="2"/>
  <c r="EH235" i="2"/>
  <c r="EG235" i="2"/>
  <c r="EF235" i="2"/>
  <c r="EE235" i="2"/>
  <c r="ED235" i="2"/>
  <c r="EC235" i="2"/>
  <c r="EB235" i="2"/>
  <c r="EA235" i="2"/>
  <c r="DZ235" i="2"/>
  <c r="DY235" i="2"/>
  <c r="DX235" i="2"/>
  <c r="DW235" i="2"/>
  <c r="DV235" i="2"/>
  <c r="DU235" i="2"/>
  <c r="DT235" i="2"/>
  <c r="DS235" i="2"/>
  <c r="DR235" i="2"/>
  <c r="DQ235" i="2"/>
  <c r="DP235" i="2"/>
  <c r="DO235" i="2"/>
  <c r="DN235" i="2"/>
  <c r="DM235" i="2"/>
  <c r="DL235" i="2"/>
  <c r="DK235" i="2"/>
  <c r="DJ235" i="2"/>
  <c r="DI235" i="2"/>
  <c r="DH235" i="2"/>
  <c r="DG235" i="2"/>
  <c r="DF235" i="2"/>
  <c r="DE235" i="2"/>
  <c r="DD235" i="2"/>
  <c r="DC235" i="2"/>
  <c r="DB235" i="2"/>
  <c r="DA235" i="2"/>
  <c r="CZ235" i="2"/>
  <c r="CY235" i="2"/>
  <c r="CX235" i="2"/>
  <c r="CW235" i="2"/>
  <c r="CV235" i="2"/>
  <c r="CU235" i="2"/>
  <c r="CT235" i="2"/>
  <c r="CS235" i="2"/>
  <c r="CR235" i="2"/>
  <c r="CQ235" i="2"/>
  <c r="CP235" i="2"/>
  <c r="CO235" i="2"/>
  <c r="CN235" i="2"/>
  <c r="CM235" i="2"/>
  <c r="CL235" i="2"/>
  <c r="CK235" i="2"/>
  <c r="CJ235" i="2"/>
  <c r="CI235" i="2"/>
  <c r="CH235" i="2"/>
  <c r="CG235" i="2"/>
  <c r="CF235" i="2"/>
  <c r="CE235" i="2"/>
  <c r="CD235" i="2"/>
  <c r="CC235" i="2"/>
  <c r="CB235" i="2"/>
  <c r="CA235" i="2"/>
  <c r="BZ235" i="2"/>
  <c r="BY235" i="2"/>
  <c r="BX235" i="2"/>
  <c r="BW235" i="2"/>
  <c r="BV235" i="2"/>
  <c r="BU235" i="2"/>
  <c r="BT235" i="2"/>
  <c r="BS235" i="2"/>
  <c r="BR235" i="2"/>
  <c r="BQ235" i="2"/>
  <c r="BP235" i="2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GP231" i="2"/>
  <c r="GO231" i="2"/>
  <c r="GN231" i="2"/>
  <c r="GM231" i="2"/>
  <c r="GL231" i="2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X231" i="2"/>
  <c r="FW231" i="2"/>
  <c r="FV231" i="2"/>
  <c r="FU231" i="2"/>
  <c r="FT231" i="2"/>
  <c r="FS231" i="2"/>
  <c r="FR231" i="2"/>
  <c r="FQ231" i="2"/>
  <c r="FP231" i="2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EU231" i="2"/>
  <c r="ET231" i="2"/>
  <c r="ES231" i="2"/>
  <c r="ER231" i="2"/>
  <c r="EQ231" i="2"/>
  <c r="EP231" i="2"/>
  <c r="EO231" i="2"/>
  <c r="EN231" i="2"/>
  <c r="EM231" i="2"/>
  <c r="EL231" i="2"/>
  <c r="EK231" i="2"/>
  <c r="EJ231" i="2"/>
  <c r="EI231" i="2"/>
  <c r="EH231" i="2"/>
  <c r="EG231" i="2"/>
  <c r="EF231" i="2"/>
  <c r="EE231" i="2"/>
  <c r="ED231" i="2"/>
  <c r="EC231" i="2"/>
  <c r="EB231" i="2"/>
  <c r="EA231" i="2"/>
  <c r="DZ231" i="2"/>
  <c r="DY231" i="2"/>
  <c r="DX231" i="2"/>
  <c r="DW231" i="2"/>
  <c r="DV231" i="2"/>
  <c r="DU231" i="2"/>
  <c r="DT231" i="2"/>
  <c r="DS231" i="2"/>
  <c r="DR231" i="2"/>
  <c r="DQ231" i="2"/>
  <c r="DP231" i="2"/>
  <c r="DO231" i="2"/>
  <c r="DN231" i="2"/>
  <c r="DM231" i="2"/>
  <c r="DL231" i="2"/>
  <c r="DK231" i="2"/>
  <c r="DJ231" i="2"/>
  <c r="DI231" i="2"/>
  <c r="DH231" i="2"/>
  <c r="DG231" i="2"/>
  <c r="DF231" i="2"/>
  <c r="DE231" i="2"/>
  <c r="DD231" i="2"/>
  <c r="DC231" i="2"/>
  <c r="DB231" i="2"/>
  <c r="DA231" i="2"/>
  <c r="CZ231" i="2"/>
  <c r="CY231" i="2"/>
  <c r="CX231" i="2"/>
  <c r="CW231" i="2"/>
  <c r="CV231" i="2"/>
  <c r="CU231" i="2"/>
  <c r="CT231" i="2"/>
  <c r="CS231" i="2"/>
  <c r="CR231" i="2"/>
  <c r="CQ231" i="2"/>
  <c r="CP231" i="2"/>
  <c r="CO231" i="2"/>
  <c r="CN231" i="2"/>
  <c r="CM231" i="2"/>
  <c r="CL231" i="2"/>
  <c r="CK231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GP230" i="2"/>
  <c r="GO230" i="2"/>
  <c r="GN230" i="2"/>
  <c r="GM230" i="2"/>
  <c r="GL230" i="2"/>
  <c r="GK230" i="2"/>
  <c r="GJ230" i="2"/>
  <c r="GI230" i="2"/>
  <c r="GH230" i="2"/>
  <c r="GG230" i="2"/>
  <c r="GF230" i="2"/>
  <c r="GE230" i="2"/>
  <c r="GD230" i="2"/>
  <c r="GC230" i="2"/>
  <c r="GB230" i="2"/>
  <c r="GA230" i="2"/>
  <c r="FZ230" i="2"/>
  <c r="FY230" i="2"/>
  <c r="FX230" i="2"/>
  <c r="FW230" i="2"/>
  <c r="FV230" i="2"/>
  <c r="FU230" i="2"/>
  <c r="FT230" i="2"/>
  <c r="FS230" i="2"/>
  <c r="FR230" i="2"/>
  <c r="FQ230" i="2"/>
  <c r="FP230" i="2"/>
  <c r="FO230" i="2"/>
  <c r="FN230" i="2"/>
  <c r="FM230" i="2"/>
  <c r="FL230" i="2"/>
  <c r="FK230" i="2"/>
  <c r="FJ230" i="2"/>
  <c r="FI230" i="2"/>
  <c r="FH230" i="2"/>
  <c r="FG230" i="2"/>
  <c r="FF230" i="2"/>
  <c r="FE230" i="2"/>
  <c r="FD230" i="2"/>
  <c r="FC230" i="2"/>
  <c r="FB230" i="2"/>
  <c r="FA230" i="2"/>
  <c r="EZ230" i="2"/>
  <c r="EY230" i="2"/>
  <c r="EX230" i="2"/>
  <c r="EW230" i="2"/>
  <c r="EV230" i="2"/>
  <c r="EU230" i="2"/>
  <c r="ET230" i="2"/>
  <c r="ES230" i="2"/>
  <c r="ER230" i="2"/>
  <c r="EQ230" i="2"/>
  <c r="EP230" i="2"/>
  <c r="EO230" i="2"/>
  <c r="EN230" i="2"/>
  <c r="EM230" i="2"/>
  <c r="EL230" i="2"/>
  <c r="EK230" i="2"/>
  <c r="EJ230" i="2"/>
  <c r="EI230" i="2"/>
  <c r="EH230" i="2"/>
  <c r="EG230" i="2"/>
  <c r="EF230" i="2"/>
  <c r="EE230" i="2"/>
  <c r="ED230" i="2"/>
  <c r="EC230" i="2"/>
  <c r="EB230" i="2"/>
  <c r="EA230" i="2"/>
  <c r="DZ230" i="2"/>
  <c r="DY230" i="2"/>
  <c r="DX230" i="2"/>
  <c r="DW230" i="2"/>
  <c r="DV230" i="2"/>
  <c r="DU230" i="2"/>
  <c r="DT230" i="2"/>
  <c r="DS230" i="2"/>
  <c r="DR230" i="2"/>
  <c r="DQ230" i="2"/>
  <c r="DP230" i="2"/>
  <c r="DO230" i="2"/>
  <c r="DN230" i="2"/>
  <c r="DM230" i="2"/>
  <c r="DL230" i="2"/>
  <c r="DK230" i="2"/>
  <c r="DJ230" i="2"/>
  <c r="DI230" i="2"/>
  <c r="DH230" i="2"/>
  <c r="DG230" i="2"/>
  <c r="DF230" i="2"/>
  <c r="DE230" i="2"/>
  <c r="DD230" i="2"/>
  <c r="DC230" i="2"/>
  <c r="DB230" i="2"/>
  <c r="DA230" i="2"/>
  <c r="CZ230" i="2"/>
  <c r="CY230" i="2"/>
  <c r="CX230" i="2"/>
  <c r="CW230" i="2"/>
  <c r="CV230" i="2"/>
  <c r="CU230" i="2"/>
  <c r="CT230" i="2"/>
  <c r="CS230" i="2"/>
  <c r="CR230" i="2"/>
  <c r="CQ230" i="2"/>
  <c r="CP230" i="2"/>
  <c r="CO230" i="2"/>
  <c r="CN230" i="2"/>
  <c r="CM230" i="2"/>
  <c r="CL230" i="2"/>
  <c r="CK230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GP235" i="1" l="1"/>
  <c r="GO235" i="1"/>
  <c r="GN235" i="1"/>
  <c r="GM235" i="1"/>
  <c r="GL235" i="1"/>
  <c r="GK235" i="1"/>
  <c r="GJ235" i="1"/>
  <c r="GI235" i="1"/>
  <c r="GH235" i="1"/>
  <c r="GG235" i="1"/>
  <c r="GF235" i="1"/>
  <c r="GE235" i="1"/>
  <c r="GD235" i="1"/>
  <c r="GC235" i="1"/>
  <c r="GB235" i="1"/>
  <c r="GA235" i="1"/>
  <c r="FZ235" i="1"/>
  <c r="FY235" i="1"/>
  <c r="FX235" i="1"/>
  <c r="FW235" i="1"/>
  <c r="FV235" i="1"/>
  <c r="FU235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FH235" i="1"/>
  <c r="FG235" i="1"/>
  <c r="FF235" i="1"/>
  <c r="FE235" i="1"/>
  <c r="FD235" i="1"/>
  <c r="FC235" i="1"/>
  <c r="FB235" i="1"/>
  <c r="FA235" i="1"/>
  <c r="EZ235" i="1"/>
  <c r="EY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GP231" i="1"/>
  <c r="GO231" i="1"/>
  <c r="GN231" i="1"/>
  <c r="GM231" i="1"/>
  <c r="GL231" i="1"/>
  <c r="GK231" i="1"/>
  <c r="GJ231" i="1"/>
  <c r="GI231" i="1"/>
  <c r="GH231" i="1"/>
  <c r="GG231" i="1"/>
  <c r="GF231" i="1"/>
  <c r="GE231" i="1"/>
  <c r="GD231" i="1"/>
  <c r="GC231" i="1"/>
  <c r="GB231" i="1"/>
  <c r="GA231" i="1"/>
  <c r="FZ231" i="1"/>
  <c r="FY231" i="1"/>
  <c r="FX231" i="1"/>
  <c r="FW231" i="1"/>
  <c r="FV231" i="1"/>
  <c r="FU231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GP230" i="1"/>
  <c r="GO230" i="1"/>
  <c r="GN230" i="1"/>
  <c r="GM230" i="1"/>
  <c r="GL230" i="1"/>
  <c r="GK230" i="1"/>
  <c r="GJ230" i="1"/>
  <c r="GI230" i="1"/>
  <c r="GH230" i="1"/>
  <c r="GG230" i="1"/>
  <c r="GF230" i="1"/>
  <c r="GE230" i="1"/>
  <c r="GD230" i="1"/>
  <c r="GC230" i="1"/>
  <c r="GB230" i="1"/>
  <c r="GA230" i="1"/>
  <c r="FZ230" i="1"/>
  <c r="FY230" i="1"/>
  <c r="FX230" i="1"/>
  <c r="FW230" i="1"/>
  <c r="FV230" i="1"/>
  <c r="FU230" i="1"/>
  <c r="FT230" i="1"/>
  <c r="FS230" i="1"/>
  <c r="FR230" i="1"/>
  <c r="FQ230" i="1"/>
  <c r="FP230" i="1"/>
  <c r="FO230" i="1"/>
  <c r="FN230" i="1"/>
  <c r="FM230" i="1"/>
  <c r="FL230" i="1"/>
  <c r="FK230" i="1"/>
  <c r="FJ230" i="1"/>
  <c r="FI230" i="1"/>
  <c r="FH230" i="1"/>
  <c r="FG230" i="1"/>
  <c r="FF230" i="1"/>
  <c r="FE230" i="1"/>
  <c r="FD230" i="1"/>
  <c r="FC230" i="1"/>
  <c r="FB230" i="1"/>
  <c r="FA230" i="1"/>
  <c r="EZ230" i="1"/>
  <c r="EY230" i="1"/>
  <c r="EX230" i="1"/>
  <c r="EW230" i="1"/>
  <c r="EV230" i="1"/>
  <c r="EU230" i="1"/>
  <c r="ET230" i="1"/>
  <c r="ES230" i="1"/>
  <c r="ER230" i="1"/>
  <c r="EQ230" i="1"/>
  <c r="EP230" i="1"/>
  <c r="EO230" i="1"/>
  <c r="EN230" i="1"/>
  <c r="EM230" i="1"/>
  <c r="EL230" i="1"/>
  <c r="EK230" i="1"/>
  <c r="EJ230" i="1"/>
  <c r="EI230" i="1"/>
  <c r="EH230" i="1"/>
  <c r="EG230" i="1"/>
  <c r="EF230" i="1"/>
  <c r="EE230" i="1"/>
  <c r="ED230" i="1"/>
  <c r="EC230" i="1"/>
  <c r="EB230" i="1"/>
  <c r="EA230" i="1"/>
  <c r="DZ230" i="1"/>
  <c r="DY230" i="1"/>
  <c r="DX230" i="1"/>
  <c r="DW230" i="1"/>
  <c r="DV230" i="1"/>
  <c r="DU230" i="1"/>
  <c r="DT230" i="1"/>
  <c r="DS230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</calcChain>
</file>

<file path=xl/sharedStrings.xml><?xml version="1.0" encoding="utf-8"?>
<sst xmlns="http://schemas.openxmlformats.org/spreadsheetml/2006/main" count="1723" uniqueCount="738">
  <si>
    <t>Cuadro N° 4.1.2</t>
  </si>
  <si>
    <t>BOLIVIA: CUADRO UTILIZACIÓN, 2017</t>
  </si>
  <si>
    <t>(En millones de bolivianos corrientes)</t>
  </si>
  <si>
    <t>UTILIZACIÓN DE PRODUCTOS</t>
  </si>
  <si>
    <t>010101</t>
  </si>
  <si>
    <t>010102</t>
  </si>
  <si>
    <t>010103</t>
  </si>
  <si>
    <t>010104</t>
  </si>
  <si>
    <t>010105</t>
  </si>
  <si>
    <t>010201</t>
  </si>
  <si>
    <t>010202</t>
  </si>
  <si>
    <t>010203</t>
  </si>
  <si>
    <t>010204</t>
  </si>
  <si>
    <t>010301</t>
  </si>
  <si>
    <t>010302</t>
  </si>
  <si>
    <t>010401</t>
  </si>
  <si>
    <t>010402</t>
  </si>
  <si>
    <t>010403</t>
  </si>
  <si>
    <t>010404</t>
  </si>
  <si>
    <t>010501</t>
  </si>
  <si>
    <t>010502</t>
  </si>
  <si>
    <t>010503</t>
  </si>
  <si>
    <t>010601</t>
  </si>
  <si>
    <t>010701</t>
  </si>
  <si>
    <t>010702</t>
  </si>
  <si>
    <t>010801</t>
  </si>
  <si>
    <t>010901</t>
  </si>
  <si>
    <t>011001</t>
  </si>
  <si>
    <t>011101</t>
  </si>
  <si>
    <t>011201</t>
  </si>
  <si>
    <t>011301</t>
  </si>
  <si>
    <t>020101</t>
  </si>
  <si>
    <t>030101</t>
  </si>
  <si>
    <t>030102</t>
  </si>
  <si>
    <t>030103</t>
  </si>
  <si>
    <t>030104</t>
  </si>
  <si>
    <t>030105</t>
  </si>
  <si>
    <t>030199</t>
  </si>
  <si>
    <t>030201</t>
  </si>
  <si>
    <t>030301</t>
  </si>
  <si>
    <t>040101</t>
  </si>
  <si>
    <t>040102</t>
  </si>
  <si>
    <t>040103</t>
  </si>
  <si>
    <t>040201</t>
  </si>
  <si>
    <t>040301</t>
  </si>
  <si>
    <t>040401</t>
  </si>
  <si>
    <t>050101</t>
  </si>
  <si>
    <t>050201</t>
  </si>
  <si>
    <t>060101</t>
  </si>
  <si>
    <t>060102</t>
  </si>
  <si>
    <t>060103</t>
  </si>
  <si>
    <t>060104</t>
  </si>
  <si>
    <t>060105</t>
  </si>
  <si>
    <t>060201</t>
  </si>
  <si>
    <t>060202</t>
  </si>
  <si>
    <t>060203</t>
  </si>
  <si>
    <t>060301</t>
  </si>
  <si>
    <t>070101</t>
  </si>
  <si>
    <t>070102</t>
  </si>
  <si>
    <t>070103</t>
  </si>
  <si>
    <t>070104</t>
  </si>
  <si>
    <t>070105</t>
  </si>
  <si>
    <t>070106</t>
  </si>
  <si>
    <t>070201</t>
  </si>
  <si>
    <t>080101</t>
  </si>
  <si>
    <t>080102</t>
  </si>
  <si>
    <t>080103</t>
  </si>
  <si>
    <t>080199</t>
  </si>
  <si>
    <t>080201</t>
  </si>
  <si>
    <t>090101</t>
  </si>
  <si>
    <t>090102</t>
  </si>
  <si>
    <t>090103</t>
  </si>
  <si>
    <t>090201</t>
  </si>
  <si>
    <t>090202</t>
  </si>
  <si>
    <t>090299</t>
  </si>
  <si>
    <t>090301</t>
  </si>
  <si>
    <t>090302</t>
  </si>
  <si>
    <t>090303</t>
  </si>
  <si>
    <t>090304</t>
  </si>
  <si>
    <t>100101</t>
  </si>
  <si>
    <t>110101</t>
  </si>
  <si>
    <t>110102</t>
  </si>
  <si>
    <t>110103</t>
  </si>
  <si>
    <t>110104</t>
  </si>
  <si>
    <t>110201</t>
  </si>
  <si>
    <t>120101</t>
  </si>
  <si>
    <t>120201</t>
  </si>
  <si>
    <t>120301</t>
  </si>
  <si>
    <t>120401</t>
  </si>
  <si>
    <t>120501</t>
  </si>
  <si>
    <t>120601</t>
  </si>
  <si>
    <t>130101</t>
  </si>
  <si>
    <t>130102</t>
  </si>
  <si>
    <t>130201</t>
  </si>
  <si>
    <t>130301</t>
  </si>
  <si>
    <t>130401</t>
  </si>
  <si>
    <t>140101</t>
  </si>
  <si>
    <t>140201</t>
  </si>
  <si>
    <t>140301</t>
  </si>
  <si>
    <t>140302</t>
  </si>
  <si>
    <t>140401</t>
  </si>
  <si>
    <t>140501</t>
  </si>
  <si>
    <t>140502</t>
  </si>
  <si>
    <t>140503</t>
  </si>
  <si>
    <t>140601</t>
  </si>
  <si>
    <t>150101</t>
  </si>
  <si>
    <t>150201</t>
  </si>
  <si>
    <t>150202</t>
  </si>
  <si>
    <t>150203</t>
  </si>
  <si>
    <t>160101</t>
  </si>
  <si>
    <t>160201</t>
  </si>
  <si>
    <t>160202</t>
  </si>
  <si>
    <t>160301</t>
  </si>
  <si>
    <t>160401</t>
  </si>
  <si>
    <t>170101</t>
  </si>
  <si>
    <t>180101</t>
  </si>
  <si>
    <t>180102</t>
  </si>
  <si>
    <t>180103</t>
  </si>
  <si>
    <t>180104</t>
  </si>
  <si>
    <t>180201</t>
  </si>
  <si>
    <t>180301</t>
  </si>
  <si>
    <t>180401</t>
  </si>
  <si>
    <t>180501</t>
  </si>
  <si>
    <t>180601</t>
  </si>
  <si>
    <t>180701</t>
  </si>
  <si>
    <t>180801</t>
  </si>
  <si>
    <t>180901</t>
  </si>
  <si>
    <t>181001</t>
  </si>
  <si>
    <t>190101</t>
  </si>
  <si>
    <t>190201</t>
  </si>
  <si>
    <t>190301</t>
  </si>
  <si>
    <t>190302</t>
  </si>
  <si>
    <t>190303</t>
  </si>
  <si>
    <t>190304</t>
  </si>
  <si>
    <t>200101</t>
  </si>
  <si>
    <t>200201</t>
  </si>
  <si>
    <t>200202</t>
  </si>
  <si>
    <t>200203</t>
  </si>
  <si>
    <t>200204</t>
  </si>
  <si>
    <t>200205</t>
  </si>
  <si>
    <t>200301</t>
  </si>
  <si>
    <t>210101</t>
  </si>
  <si>
    <t>210201</t>
  </si>
  <si>
    <t>210301</t>
  </si>
  <si>
    <t>210401</t>
  </si>
  <si>
    <t>210501</t>
  </si>
  <si>
    <t>210601</t>
  </si>
  <si>
    <t>210701</t>
  </si>
  <si>
    <t>210801</t>
  </si>
  <si>
    <t>220101</t>
  </si>
  <si>
    <t>220201</t>
  </si>
  <si>
    <t>220301</t>
  </si>
  <si>
    <t>220401</t>
  </si>
  <si>
    <t>220501</t>
  </si>
  <si>
    <t>230101</t>
  </si>
  <si>
    <t>230102</t>
  </si>
  <si>
    <t>230103</t>
  </si>
  <si>
    <t>230201</t>
  </si>
  <si>
    <t>230301</t>
  </si>
  <si>
    <t>240101</t>
  </si>
  <si>
    <t>240102</t>
  </si>
  <si>
    <t>240103</t>
  </si>
  <si>
    <t>240201</t>
  </si>
  <si>
    <t>250101</t>
  </si>
  <si>
    <t>250201</t>
  </si>
  <si>
    <t>260101</t>
  </si>
  <si>
    <t>260102</t>
  </si>
  <si>
    <t>270101</t>
  </si>
  <si>
    <t>270201</t>
  </si>
  <si>
    <t>270301</t>
  </si>
  <si>
    <t>270401</t>
  </si>
  <si>
    <t>270501</t>
  </si>
  <si>
    <t>270601</t>
  </si>
  <si>
    <t>270701</t>
  </si>
  <si>
    <t>270702</t>
  </si>
  <si>
    <t>280101</t>
  </si>
  <si>
    <t>280102</t>
  </si>
  <si>
    <t>290101</t>
  </si>
  <si>
    <t>290102</t>
  </si>
  <si>
    <t>300101</t>
  </si>
  <si>
    <t>300201</t>
  </si>
  <si>
    <t>300301</t>
  </si>
  <si>
    <t>300401</t>
  </si>
  <si>
    <t>310101</t>
  </si>
  <si>
    <t>310201</t>
  </si>
  <si>
    <t>310301</t>
  </si>
  <si>
    <t>320101</t>
  </si>
  <si>
    <t>320201</t>
  </si>
  <si>
    <t>320301</t>
  </si>
  <si>
    <t>330101</t>
  </si>
  <si>
    <t>340101</t>
  </si>
  <si>
    <t>350101</t>
  </si>
  <si>
    <t>360101</t>
  </si>
  <si>
    <t>370101</t>
  </si>
  <si>
    <t>380101</t>
  </si>
  <si>
    <t>380201</t>
  </si>
  <si>
    <t>380301</t>
  </si>
  <si>
    <t>389999</t>
  </si>
  <si>
    <t>390101</t>
  </si>
  <si>
    <t>DEMANDA TOTAL</t>
  </si>
  <si>
    <t>PRODUCTOS  \  INDUSTRIAS</t>
  </si>
  <si>
    <t>Cultivo de trigo</t>
  </si>
  <si>
    <t>Cultivo de arroz con cáscara</t>
  </si>
  <si>
    <t>Cultivo de maíz</t>
  </si>
  <si>
    <t>Cultivo de quinua</t>
  </si>
  <si>
    <t>Cultivo de cereales diversos (1)</t>
  </si>
  <si>
    <t>Cultivo de leguminosas (2)</t>
  </si>
  <si>
    <t>Cultivo de raíces, bulbos y hortalizas tuberosas (3)</t>
  </si>
  <si>
    <t>Cultivo de hortalizas de hoja o de tallo (4)</t>
  </si>
  <si>
    <t>Cultivo de hortalizas productoras de frutos (5)</t>
  </si>
  <si>
    <t>Cultivo de papa y sus derivados</t>
  </si>
  <si>
    <t>Cultivo de otros tubérculos (6)</t>
  </si>
  <si>
    <t>Cultivo de cítricos (7)</t>
  </si>
  <si>
    <t>Cultivo de uva</t>
  </si>
  <si>
    <t>Cultivo de banano y plátano</t>
  </si>
  <si>
    <t>Cultivo de frutas diversas (8)</t>
  </si>
  <si>
    <t>Cultivo de soya</t>
  </si>
  <si>
    <t>Cultivo de girasol</t>
  </si>
  <si>
    <t>Cultivo de otras oleaginosas (9)</t>
  </si>
  <si>
    <t>Cultivo de fibra (10)</t>
  </si>
  <si>
    <t>Cultivo de café</t>
  </si>
  <si>
    <t>Cultivo de estimulantes diversos (11)</t>
  </si>
  <si>
    <t>Cultivo de especias (12)</t>
  </si>
  <si>
    <t>Cultivo de forrajes (13)</t>
  </si>
  <si>
    <t>Cultivo de flores frescas y desarrollo de plantaciones (14)</t>
  </si>
  <si>
    <t>Cultivo de tabaco en rama</t>
  </si>
  <si>
    <t>Cultivos sacarinos (15)</t>
  </si>
  <si>
    <t>Actividades de apoyo a la agricultura y actividades de poscosecha</t>
  </si>
  <si>
    <t>Cultivo de hoja de coca</t>
  </si>
  <si>
    <t>Cría de ganado bovino</t>
  </si>
  <si>
    <t>Cría de ganado porcino</t>
  </si>
  <si>
    <t>Cría de ganado camélido</t>
  </si>
  <si>
    <t>Cría de ganado ovino y caprino</t>
  </si>
  <si>
    <t>Cría de ganado equino</t>
  </si>
  <si>
    <t>Cría de otros animales vivos (1)</t>
  </si>
  <si>
    <t>Cría de aves de corral (2)</t>
  </si>
  <si>
    <t>Servicios prestados a la Ganadería</t>
  </si>
  <si>
    <t>Extracción de madera</t>
  </si>
  <si>
    <t>Silvicultura y otras actividades forestales (1)</t>
  </si>
  <si>
    <t>Recolección de productos forestales distintos de la madera</t>
  </si>
  <si>
    <t>Captura de peces vivos o frescos  (2)</t>
  </si>
  <si>
    <t>Caza  y captura de animales</t>
  </si>
  <si>
    <t>Actividades de apoyo a la silvicultura</t>
  </si>
  <si>
    <t>Extracción de petróleo crudo y condensado, Extracción de gas natural</t>
  </si>
  <si>
    <t>Servicios de exploración relacionados con la extracción de petróleo y gas</t>
  </si>
  <si>
    <t>Extracción Estaño concentrado</t>
  </si>
  <si>
    <t>Extracción Oro concentrado</t>
  </si>
  <si>
    <t>Extracción Minerales concentrados</t>
  </si>
  <si>
    <t>Extracción Hierro concentrado</t>
  </si>
  <si>
    <t>Extracción Minerales metálicos concentrados diversos (1)</t>
  </si>
  <si>
    <t>Extracción Minerales no metálicos para la industria química (2)</t>
  </si>
  <si>
    <t>Extracción Piedras preciosas y semipreciosas (3)</t>
  </si>
  <si>
    <t>Extracción Minerales no metálicos para la construcción (4)</t>
  </si>
  <si>
    <t>Servicios de exploración, relacionados con la extracción de minerales, perforaciones de prueba y sondeos.</t>
  </si>
  <si>
    <t>Elaboración de carnes frescas, refrigeradas o congeladas de ganado bovino y sus derivados</t>
  </si>
  <si>
    <t>Elaboración de carnes frescas, refrigeradas o congeladas de ganado porcino y sus derivados</t>
  </si>
  <si>
    <t>Elaboración de otras carnes frescas, refrigeradas o congeladas y sus derivados</t>
  </si>
  <si>
    <t>Elaboración de carnes frescas, refrigeradas o congeladas de aves de corral y sus derivados</t>
  </si>
  <si>
    <t>Explotación de mataderos que realizan actividades de matanza</t>
  </si>
  <si>
    <t>Elaboración y conservacion de carnes, embutidos y derivados</t>
  </si>
  <si>
    <t>Elaboración y conservación de pescado</t>
  </si>
  <si>
    <t>Elaboración de leche pasteurizada y subproductos grasos</t>
  </si>
  <si>
    <t>Elaboración de leche en polvo</t>
  </si>
  <si>
    <t>Elaboración de leche fermentada o yogurt</t>
  </si>
  <si>
    <t>Elaboración de otros productos lácteos</t>
  </si>
  <si>
    <t xml:space="preserve">Elaboración de quesos frescos o procesados </t>
  </si>
  <si>
    <t>Elaboración de harina de trigo y subproductos de la molienda de trigo</t>
  </si>
  <si>
    <t>Elaboración de otras harinas y subproductos de cereales</t>
  </si>
  <si>
    <t>Elaboración de arroz descascarillado, molido, pulido y blanqueado</t>
  </si>
  <si>
    <t>Elaboración de pan de batalla</t>
  </si>
  <si>
    <t>Elaboración de fideos y pastas</t>
  </si>
  <si>
    <t>Elaboración de otros productos de panadería</t>
  </si>
  <si>
    <t>Beneficiado de café</t>
  </si>
  <si>
    <t>Beneficiado de castaña</t>
  </si>
  <si>
    <t>Beneficiado de quinua</t>
  </si>
  <si>
    <t>Actividades de servicios de beneficiado</t>
  </si>
  <si>
    <t>Elaboración de azúcar refinada de caña, melaza y otros de industria azucarera</t>
  </si>
  <si>
    <t>Elaboración de aceite y grasa vegetal crudo de soya (1)</t>
  </si>
  <si>
    <t>Elaboración de aceite y grasa vegetal crudo de girasol</t>
  </si>
  <si>
    <t>Elaboración de aceites y grasas vegetales refinados</t>
  </si>
  <si>
    <t>Elaboración de margarina, manteca y aceites mezclados</t>
  </si>
  <si>
    <t>Elaboración de aceites y grasas de origen animal  no comestibles</t>
  </si>
  <si>
    <t>Elaboración de alimentos balanceados</t>
  </si>
  <si>
    <t>Elaboración productos de de cacao y confitería</t>
  </si>
  <si>
    <t>Elaboración y conservación de frutas, legumbres y hortalizas</t>
  </si>
  <si>
    <t>Elaboración de café y sucedáneos</t>
  </si>
  <si>
    <t>Elaboración de té, mates y otras infusiones</t>
  </si>
  <si>
    <t>Elaboración de otros productos alimenticios (1)</t>
  </si>
  <si>
    <t>Elaboración de cerveza y malta</t>
  </si>
  <si>
    <t>Elaboración de vino y otras bebidas alcohólicas fermentadas (1)</t>
  </si>
  <si>
    <t>Elaboración de bebidas alcohólicas destiladas (2)</t>
  </si>
  <si>
    <t>Elaboración de bebidas no alcohólicas bebidas gaseosas, aguas minerales, bebidas no gaseosas y jugos</t>
  </si>
  <si>
    <t>Elaboración de productos de tabaco</t>
  </si>
  <si>
    <t>Preparación e hilatura de fibras textiles</t>
  </si>
  <si>
    <t>Fabricación de tejidos o telas</t>
  </si>
  <si>
    <t>Fabricación de prendas de vestir (1)</t>
  </si>
  <si>
    <t>Fabricación de prendas y accesorios de vestir de cuero natural o artificial y sombreros de fieltro</t>
  </si>
  <si>
    <t>Fabricación de artículos textiles (2)</t>
  </si>
  <si>
    <t>Curtido y adobo de cueros, adobo y teñido de pieles</t>
  </si>
  <si>
    <t>Fabricación de maletas, bolsos de mano, productos y artículos similares de cuero</t>
  </si>
  <si>
    <t>Fabricación de calzados</t>
  </si>
  <si>
    <t>Actividades de servicios prestados a la industria textil y cueros</t>
  </si>
  <si>
    <t>Aserrado y acepilladura de madera (1)</t>
  </si>
  <si>
    <t>Fabricación de tableros, hojas, paneles y otros aglomerados (2)</t>
  </si>
  <si>
    <t>Fabricación de piezas de carpinteria para contrucciones (3)</t>
  </si>
  <si>
    <t>Fabricación de productos y recipientes de madera, artículos de corcho, paja y materiales trenzables (4)</t>
  </si>
  <si>
    <t>Fabricación de pasta de papel, madera u otras materias celulósicas</t>
  </si>
  <si>
    <t>Fabricación de papel y cartón</t>
  </si>
  <si>
    <t>Fabricación de productos y derivados de papel y cartón (1)</t>
  </si>
  <si>
    <t>Impresión</t>
  </si>
  <si>
    <t>Actividades de servicios prestados a la industria de papel, impresión y artículos análogos</t>
  </si>
  <si>
    <t>Fabricacion de Carburantes, Aceites y grasas, Gases de refinería</t>
  </si>
  <si>
    <t>Fabricación de químicos orgánicos básicos excepto alcoholes</t>
  </si>
  <si>
    <t>Fabricación de químicos inorgánicos básicos</t>
  </si>
  <si>
    <t>Fabricación de extractos tintóreos, curtientes y otros colorantes</t>
  </si>
  <si>
    <t>Fabricación de alcoholes</t>
  </si>
  <si>
    <t>Fabricación de abonos y plaguicidas</t>
  </si>
  <si>
    <t>Fabricación de Plásticos en formas primarias (1)</t>
  </si>
  <si>
    <t>Fabricación de pinturas, barnices y productos conexos</t>
  </si>
  <si>
    <t>Fabricación de productos farmacéuticos</t>
  </si>
  <si>
    <t>Fabricación de productos de limpieza y tocador</t>
  </si>
  <si>
    <t>Fabricación de productos de caucho</t>
  </si>
  <si>
    <t>Fabricación de productos de plástico</t>
  </si>
  <si>
    <t>Fabricación de otros productos químicos (2)</t>
  </si>
  <si>
    <t>Fabricación de productos químicos de uso ilícito</t>
  </si>
  <si>
    <t>Fabricación de vidrio y productos de vidrio</t>
  </si>
  <si>
    <t>Fabricación de artículos de cerámica no estructurales,  productos refractarios y productos de arcilla no refractarios estructurales</t>
  </si>
  <si>
    <t>Fabricación de cemento</t>
  </si>
  <si>
    <t>Fabricación de clinker</t>
  </si>
  <si>
    <t>Fabricación de cal viva, cal hidratada, cal hidráulica y yeso (estuco)</t>
  </si>
  <si>
    <t>Fabricación de artículos de concreto (hormigón), de cemento, yeso; piedra de construccion o de talla y otros productos minerales no metalicos</t>
  </si>
  <si>
    <t>Fabricacion de materiales primarios del hierro y aleaciones de minerales metalicos preciosos y sus subproductos</t>
  </si>
  <si>
    <t>Fabricación de estaño metálico fundido</t>
  </si>
  <si>
    <t>Fabricación de Oro metálico fundido</t>
  </si>
  <si>
    <t>Fabricacion de plata metálico fundido</t>
  </si>
  <si>
    <t>Fabricacion de cobre catodos</t>
  </si>
  <si>
    <t>Fabricacion de otros minerales metálicos</t>
  </si>
  <si>
    <t>Fabricación de productos metálicos manufacturados</t>
  </si>
  <si>
    <t>Fabricación de maquinaria y equipo de usos generales (1)</t>
  </si>
  <si>
    <t>Fabricación de maquinaria y equipo de usos especiales (2)</t>
  </si>
  <si>
    <t>Fabricación de aparatos para uso doméstico eléctrico y no eléctrico (3)</t>
  </si>
  <si>
    <t>Fabricación de equipo de informática y maquinas de oficina (4)</t>
  </si>
  <si>
    <t>Fabricación de equipo eléctrico y dispositivos de cableado (5)</t>
  </si>
  <si>
    <t>Fabricación de aparatos de radio, televisión y comunicaciones</t>
  </si>
  <si>
    <t>Fabricación de aparatos médicos, instrumentos ópticos y de precisión (incluye relojes) (6)</t>
  </si>
  <si>
    <t>Fabricacón de maquinaria y equipo de transporte (7)</t>
  </si>
  <si>
    <t>Fabricación de muebles y colchones</t>
  </si>
  <si>
    <t>Fabricación de joyas y artículos conexos</t>
  </si>
  <si>
    <t>Fabricación de instrumentos de música, deporte,  juegos y juguetes</t>
  </si>
  <si>
    <t>Fabricación  de artículos manufacturados diversos</t>
  </si>
  <si>
    <t>Reparación y mantenimiento de maquinaria y equipo e instalacion de productos metalicos</t>
  </si>
  <si>
    <t>Generación de electricidad</t>
  </si>
  <si>
    <t xml:space="preserve">Transmisión de electricidad </t>
  </si>
  <si>
    <t>Distribución de electricidad</t>
  </si>
  <si>
    <t>Captación, tratamiento, distribución de agua (1)</t>
  </si>
  <si>
    <t>Recogida, tratamiento y eliminación de desechos; recuperación de materiales y, evacuación de aguas residuales (2)</t>
  </si>
  <si>
    <t>Construcción de edificaciones residenciales</t>
  </si>
  <si>
    <t>Construcción de edificaciones no residenciales (1)</t>
  </si>
  <si>
    <t xml:space="preserve">Trabajos de reparación y mantenimiento de edificaciones (2) </t>
  </si>
  <si>
    <t>Alquiler de maquinaría y equipo de construcción con operarion y otros servicios para la construcción (3)</t>
  </si>
  <si>
    <t>Construcción de obras de ingeniería civil (1)</t>
  </si>
  <si>
    <t>Actividades de mejoramiento y mantenimiento (2)</t>
  </si>
  <si>
    <t>Comercio al por mayor y menor</t>
  </si>
  <si>
    <t>Reparacion de vehiculos automotores y motocicletas</t>
  </si>
  <si>
    <t>Transporte por ferrocarril de pasajeros y de carga.</t>
  </si>
  <si>
    <t>Transporte por carretera de pasajeros y carga por carretera</t>
  </si>
  <si>
    <t>Transporte urbano de pasajeros y carga</t>
  </si>
  <si>
    <t xml:space="preserve">Transporte por vía aérea de pasajeros y de carga </t>
  </si>
  <si>
    <t xml:space="preserve">Transporte vía Acuática de Pasajeros y Carga. </t>
  </si>
  <si>
    <t>Transporte por ductos</t>
  </si>
  <si>
    <t>Almacenamiento y actividades de apoyo al transporte (1)</t>
  </si>
  <si>
    <t>Actividades postales y de mensajeria (local, nacional e internacional)</t>
  </si>
  <si>
    <t>Actividades de alojamiento (1)</t>
  </si>
  <si>
    <t>Actividades de servicio de comidas y bebidas</t>
  </si>
  <si>
    <t>Actividades de servicios de telefonía y telecomunicaciones (1)</t>
  </si>
  <si>
    <t>Actividades de servicios de programación, transmisión y exhibición y otras actividades de comunicación (2)</t>
  </si>
  <si>
    <t>Banca central</t>
  </si>
  <si>
    <t>Actividades de intermediación financiera</t>
  </si>
  <si>
    <t>Actividades de seguros, reaseguros y fondos de pensiones</t>
  </si>
  <si>
    <t>Actividades de auxiliares financieros</t>
  </si>
  <si>
    <t>Alquiler de edificaciones  residenciales</t>
  </si>
  <si>
    <t>Alquiler de edificaciones no residenciales</t>
  </si>
  <si>
    <t>Actividades inmobiliarias</t>
  </si>
  <si>
    <t>Actividades de arrendamiento de transporte, maquinaria y equipo sin operarios, y de otros productos n.c.p. (1)</t>
  </si>
  <si>
    <t>Actividades de investigación y desarrollo, servicios profesionales, científicos y técnicos (2)</t>
  </si>
  <si>
    <t>Actividades de auxiliares y otros servicios empresariales (3)</t>
  </si>
  <si>
    <t>Actividades de la Administración Pública</t>
  </si>
  <si>
    <t>Educación de mercado</t>
  </si>
  <si>
    <t>Educación de no mercado</t>
  </si>
  <si>
    <t>Salud de mercado</t>
  </si>
  <si>
    <t>Salud de no mercado</t>
  </si>
  <si>
    <t>Actividades de organizaciones empresariales, profesionales y otras representaciones</t>
  </si>
  <si>
    <t>Actividades recreativas, culturales y deportivos</t>
  </si>
  <si>
    <t>Actividades de mantenimiento y reparación de ordenadores, efectos personales y enseres domésticos</t>
  </si>
  <si>
    <t>Actividades de otros servicios (1)</t>
  </si>
  <si>
    <t>Actividades del personal doméstico</t>
  </si>
  <si>
    <t xml:space="preserve"> CONSUMO INTERMEDIO (precio comprador)</t>
  </si>
  <si>
    <t>DEMANDA FINAL</t>
  </si>
  <si>
    <t>DEMANDA  TOTAL (Precio Comprador)</t>
  </si>
  <si>
    <t>CONSUMO FINAL (Precio Comprador)</t>
  </si>
  <si>
    <t>Hogares</t>
  </si>
  <si>
    <t>ISFLHS</t>
  </si>
  <si>
    <t>GOBIERNO GENERAL</t>
  </si>
  <si>
    <t>Gobierno Individual</t>
  </si>
  <si>
    <t>Gobierno Colectivo</t>
  </si>
  <si>
    <t>FORMACIÓN BRUTA DE CAPITAL (Precio Comprador)</t>
  </si>
  <si>
    <t>Objetos valiosos</t>
  </si>
  <si>
    <t>EXPORTACIONES (Precio Comprador)</t>
  </si>
  <si>
    <t>Trigo</t>
  </si>
  <si>
    <t>Arroz con cáscara</t>
  </si>
  <si>
    <t>Maíz</t>
  </si>
  <si>
    <t>Quinua</t>
  </si>
  <si>
    <t>Cereales diversos</t>
  </si>
  <si>
    <t>Leguminosas</t>
  </si>
  <si>
    <t>Raíces, bulbos y hortalizas tuberosas</t>
  </si>
  <si>
    <t>Hortalizas de hoja o de tallo</t>
  </si>
  <si>
    <t>Hortalizas productoras de frutos</t>
  </si>
  <si>
    <t>Papa y sus derivados</t>
  </si>
  <si>
    <t>Otros tubérculos</t>
  </si>
  <si>
    <t>Cítricos</t>
  </si>
  <si>
    <t>Uva</t>
  </si>
  <si>
    <t>Banano y Plátano</t>
  </si>
  <si>
    <t>Frutas diversas</t>
  </si>
  <si>
    <t>Soya</t>
  </si>
  <si>
    <t>Girasol</t>
  </si>
  <si>
    <t>Otras oleaginosas</t>
  </si>
  <si>
    <t>Fibra</t>
  </si>
  <si>
    <t>Café</t>
  </si>
  <si>
    <t>Estimulantes diversos</t>
  </si>
  <si>
    <t>Especias sin elaborar</t>
  </si>
  <si>
    <t>Forrajes</t>
  </si>
  <si>
    <t>Plantas vivas, flores, capullos y semillas de flores</t>
  </si>
  <si>
    <t>Tabaco en rama</t>
  </si>
  <si>
    <t>Cultivos sacarinos</t>
  </si>
  <si>
    <t>Hoja de coca</t>
  </si>
  <si>
    <t>Ganado bovino</t>
  </si>
  <si>
    <t>Ganado porcino</t>
  </si>
  <si>
    <t>Ganado camélido</t>
  </si>
  <si>
    <t>Ganado ovino y caprino</t>
  </si>
  <si>
    <t>Equinos</t>
  </si>
  <si>
    <t>Otros animales vivos</t>
  </si>
  <si>
    <t>Aves de corral</t>
  </si>
  <si>
    <t>Leche cruda</t>
  </si>
  <si>
    <t>030302</t>
  </si>
  <si>
    <t>Huevos</t>
  </si>
  <si>
    <t>030303</t>
  </si>
  <si>
    <t>Cueros y pieles sin curtir</t>
  </si>
  <si>
    <t>030304</t>
  </si>
  <si>
    <t>Lana y pelo ordinario y fino de animales</t>
  </si>
  <si>
    <t>030305</t>
  </si>
  <si>
    <t>Productos de apicultura</t>
  </si>
  <si>
    <t>030306</t>
  </si>
  <si>
    <t>Productos derivados de animales diversos</t>
  </si>
  <si>
    <t>Madera en bruto</t>
  </si>
  <si>
    <t>Productos no maderables</t>
  </si>
  <si>
    <t>Productos de la silvicultura y de otras actividades forestales</t>
  </si>
  <si>
    <t>Peces vivos, frescos o refrigerados</t>
  </si>
  <si>
    <t>Animales vivos cazados y capturados</t>
  </si>
  <si>
    <t>Petróleo crudo y condensado</t>
  </si>
  <si>
    <t>Gas natural</t>
  </si>
  <si>
    <t>Minerales y concentrados de hierro, excepto piritas de hierro tostadas</t>
  </si>
  <si>
    <t>Minerales concentrados de metales no ferrosos (excepto minerales y concentrados de uranio o torio)</t>
  </si>
  <si>
    <t>Minerales y metales preciosos de plata y sus concentrados</t>
  </si>
  <si>
    <t>Minerales y metales preciosos de oro y sus concentrados</t>
  </si>
  <si>
    <t>Minerales y metales de Estaño concentrado</t>
  </si>
  <si>
    <t>060106</t>
  </si>
  <si>
    <t>Minerales y metales de Zinc concentrado</t>
  </si>
  <si>
    <t>060107</t>
  </si>
  <si>
    <t>Minerales y metales de Plomo concentrado</t>
  </si>
  <si>
    <t>060108</t>
  </si>
  <si>
    <t>Otros minerales y metales no ferrosos y sus concentrados (excepto minerales y concentrados de uranio o torio)</t>
  </si>
  <si>
    <t>Piedra de construcción o de talla, y otros</t>
  </si>
  <si>
    <t>Minerales no metálicos para la construcción y otros</t>
  </si>
  <si>
    <t>Minerales no metálicos para la industria química y abonos minerales</t>
  </si>
  <si>
    <t>060302</t>
  </si>
  <si>
    <t>Sal común y cloruro de sodio puro; agua de mar</t>
  </si>
  <si>
    <t>060303</t>
  </si>
  <si>
    <t>Piedras preciosas y semipreciosas; piedra pómez; esmeril; abrasivos naturales; otros minerales</t>
  </si>
  <si>
    <t>Energía generada</t>
  </si>
  <si>
    <t>Agua Natural</t>
  </si>
  <si>
    <t>Carnes frescas, refrigeradas o congeladas de ganado bovino</t>
  </si>
  <si>
    <t>Carnes frescas, refrigeradas o congeladas de ganado porcino</t>
  </si>
  <si>
    <t>Otras carnes frescas, refrigeradas o congeladas</t>
  </si>
  <si>
    <t>080104</t>
  </si>
  <si>
    <t>Carnes frescas, refrigeradas o congeladas de aves de corral</t>
  </si>
  <si>
    <t>080105</t>
  </si>
  <si>
    <t>Despojos comestibles de mamíferos y aves, frescos, refrigerados o congelados</t>
  </si>
  <si>
    <t>080106</t>
  </si>
  <si>
    <t>Conservas de carnes, embutidos y derivados</t>
  </si>
  <si>
    <t>Preparados y conservas de pescado</t>
  </si>
  <si>
    <t>Leche pasteurizada</t>
  </si>
  <si>
    <t>Leche en polvo</t>
  </si>
  <si>
    <t>Quesos frescos o procesados y mantequillas</t>
  </si>
  <si>
    <t>Leche fermentada o yogurt</t>
  </si>
  <si>
    <t>099999</t>
  </si>
  <si>
    <t>Otros productos lácteos</t>
  </si>
  <si>
    <t>Harina de trigo y subproductos</t>
  </si>
  <si>
    <t>100102</t>
  </si>
  <si>
    <t>Otras harinas y subproductos de cereales y vegetales</t>
  </si>
  <si>
    <t>100103</t>
  </si>
  <si>
    <t>Arroz descascarillado</t>
  </si>
  <si>
    <t>100201</t>
  </si>
  <si>
    <t>Pan de batalla</t>
  </si>
  <si>
    <t>100202</t>
  </si>
  <si>
    <t>Fideos y pastas</t>
  </si>
  <si>
    <t>100299</t>
  </si>
  <si>
    <t>Otros productos de panadería</t>
  </si>
  <si>
    <t>100301</t>
  </si>
  <si>
    <t>Café beneficiado</t>
  </si>
  <si>
    <t>100302</t>
  </si>
  <si>
    <t>Castaña beneficiada</t>
  </si>
  <si>
    <t>100303</t>
  </si>
  <si>
    <t>Quinua beneficiada</t>
  </si>
  <si>
    <t>Azúcar refinada de caña</t>
  </si>
  <si>
    <t>Melazas y otros de industria azucarera</t>
  </si>
  <si>
    <t>Aceites crudo de soya</t>
  </si>
  <si>
    <t>120102</t>
  </si>
  <si>
    <t>Aceites crudo de girasol</t>
  </si>
  <si>
    <t>120199</t>
  </si>
  <si>
    <t>Otros aceites crudos y sin refinar</t>
  </si>
  <si>
    <t>Aceite comestibles de soya</t>
  </si>
  <si>
    <t>120202</t>
  </si>
  <si>
    <t>Aceite comestibles de girasol</t>
  </si>
  <si>
    <t>120203</t>
  </si>
  <si>
    <t>Manteca vegetal o cebo industrial</t>
  </si>
  <si>
    <t>120204</t>
  </si>
  <si>
    <t>Otros aceites comestibles refinados</t>
  </si>
  <si>
    <t>Harina y Torta de soya</t>
  </si>
  <si>
    <t>120302</t>
  </si>
  <si>
    <t>Harina y Torta de girasol, otras oleaginosas y productos residuales</t>
  </si>
  <si>
    <t>Aceites y grasas de origen animal</t>
  </si>
  <si>
    <t>Alimentos balanceados</t>
  </si>
  <si>
    <t>Productos de cacao y confitería</t>
  </si>
  <si>
    <t>Vegetales, legumbres, frutas y nueces preparadas o conservadas</t>
  </si>
  <si>
    <t>Productos de café y té</t>
  </si>
  <si>
    <t>130501</t>
  </si>
  <si>
    <t>Productos alimenticios diversos</t>
  </si>
  <si>
    <t>Cerveza</t>
  </si>
  <si>
    <t>140102</t>
  </si>
  <si>
    <t>Malta</t>
  </si>
  <si>
    <t>140103</t>
  </si>
  <si>
    <t>Vino y otras bebidas alcohólicas fermentadas</t>
  </si>
  <si>
    <t>Bebidas alcohólicas destiladas y licores</t>
  </si>
  <si>
    <t>140202</t>
  </si>
  <si>
    <t>Alcohol etílico sin desnaturalizar</t>
  </si>
  <si>
    <t>Bebidas gaseosas, aguas minerales, bebidas no gaseosas y jugos</t>
  </si>
  <si>
    <t>Cigarrillos y otros productos de tabaco</t>
  </si>
  <si>
    <t>Fibras textiles preparados para el hilado</t>
  </si>
  <si>
    <t>Hilados e hilos de fibras textiles natural, sintéticas y artificiales</t>
  </si>
  <si>
    <t>150301</t>
  </si>
  <si>
    <t>Tejidos de fibras textiles naturales, sintéticas y artificiales</t>
  </si>
  <si>
    <t>150401</t>
  </si>
  <si>
    <t>Prendas y accesorios de vestir punto, ganchillo y de tejido plano</t>
  </si>
  <si>
    <t>150402</t>
  </si>
  <si>
    <t>Prendas y accesorios de vestir, de cuero natural, artificial o regenerado o de materiales plásticos; sombreros y otros artículos de tocado</t>
  </si>
  <si>
    <t>150501</t>
  </si>
  <si>
    <t>Artículos textiles (excepto prendas de vestir)</t>
  </si>
  <si>
    <t>150601</t>
  </si>
  <si>
    <t>Cueros curtidos o adobados</t>
  </si>
  <si>
    <t>150602</t>
  </si>
  <si>
    <t>Maletas, bolsos de mano y artículos similares; artículos de talabartería y guarnicionería; otros artículos</t>
  </si>
  <si>
    <t>150603</t>
  </si>
  <si>
    <t>Calzados y partes de calzados</t>
  </si>
  <si>
    <t>Madera aserrada; traviesas; lana, harina de madera</t>
  </si>
  <si>
    <t>Tableros, hojas, paneles y otros aglomerados</t>
  </si>
  <si>
    <t>Piezas de carpintería para la construcción</t>
  </si>
  <si>
    <t>160203</t>
  </si>
  <si>
    <t>Productos y recipientes de madera, artículos de corcho, paja y materiales trenzables</t>
  </si>
  <si>
    <t>Pasta de papel, madera u otras materias celulósicas</t>
  </si>
  <si>
    <t>170102</t>
  </si>
  <si>
    <t>Papel y cartón ; productos de papel y cartón</t>
  </si>
  <si>
    <t>170201</t>
  </si>
  <si>
    <t>Impresos</t>
  </si>
  <si>
    <t>Gasolina automotriz</t>
  </si>
  <si>
    <t>Combustible de Avión y otros productos similares</t>
  </si>
  <si>
    <t>Diesel oil y otros productos similares</t>
  </si>
  <si>
    <t>Petróleo reconstituido</t>
  </si>
  <si>
    <t>180105</t>
  </si>
  <si>
    <t>Otros carburantes</t>
  </si>
  <si>
    <t>Aceites y grasas</t>
  </si>
  <si>
    <t>Gases de refinería</t>
  </si>
  <si>
    <t>Productos químicos orgánicos básicos excepto alcoholes</t>
  </si>
  <si>
    <t>190102</t>
  </si>
  <si>
    <t>Productos químicos inorgánicos básicos</t>
  </si>
  <si>
    <t>190103</t>
  </si>
  <si>
    <t>Extractos tintóreos y curtientes; taninos y sus derivados; materias colorantes</t>
  </si>
  <si>
    <t>190104</t>
  </si>
  <si>
    <t>Alcoholes, fenoles, fenol-alcoholes y sus derivados halogenados, sulfonados, nitrados o nitrosados; alcoholes grasos industriales</t>
  </si>
  <si>
    <t>Abonos y plaguicidas</t>
  </si>
  <si>
    <t>Plásticos en formas primarias</t>
  </si>
  <si>
    <t>190401</t>
  </si>
  <si>
    <t>Pinturas, barnices, productos conexos; colorantes para la pintura artística; tinta</t>
  </si>
  <si>
    <t>190501</t>
  </si>
  <si>
    <t>Productos farmacéuticos</t>
  </si>
  <si>
    <t>190601</t>
  </si>
  <si>
    <t>Productos de limpieza y tocador</t>
  </si>
  <si>
    <t>190701</t>
  </si>
  <si>
    <t>Productos de caucho</t>
  </si>
  <si>
    <t>190801</t>
  </si>
  <si>
    <t>Productos de plástico</t>
  </si>
  <si>
    <t>190901</t>
  </si>
  <si>
    <t>Productos químicos diversos</t>
  </si>
  <si>
    <t>191001</t>
  </si>
  <si>
    <t>Productos químicos de uso ilícito</t>
  </si>
  <si>
    <t>Vidrio y productos de vidrio</t>
  </si>
  <si>
    <t>Artículos de cerámica no estructurales,</t>
  </si>
  <si>
    <t>Cemento</t>
  </si>
  <si>
    <t>200302</t>
  </si>
  <si>
    <t>Clinker</t>
  </si>
  <si>
    <t>200303</t>
  </si>
  <si>
    <t>Cal viva, cal hidratada, cal hidráulica y yeso (estuco)</t>
  </si>
  <si>
    <t>200304</t>
  </si>
  <si>
    <t>Artículos de concreto (hormigón), cemento y yeso; piedra de construcción o de talla y otros productos minerales no metálicos</t>
  </si>
  <si>
    <t>Materiales primarios de la metalurgia del hierro y acero y otros productos aleados de metales preciosos</t>
  </si>
  <si>
    <t>Estaño metálico sin elaborar</t>
  </si>
  <si>
    <t>210202</t>
  </si>
  <si>
    <t>Oro metálico refinado</t>
  </si>
  <si>
    <t>210203</t>
  </si>
  <si>
    <t>Plata metálica refinada</t>
  </si>
  <si>
    <t>210204</t>
  </si>
  <si>
    <t>Cobre refinado</t>
  </si>
  <si>
    <t>210205</t>
  </si>
  <si>
    <t>Minerales metálicos diversos</t>
  </si>
  <si>
    <t>Productos metálicos elaborados</t>
  </si>
  <si>
    <t>Maquinaria, equipo de usos generales, partes y piezas</t>
  </si>
  <si>
    <t>Maquinaria, equipo de usos especiales, partes y piezas</t>
  </si>
  <si>
    <t>Aparatos para uso doméstico eléctrico, no eléctrico, partes y piezas.</t>
  </si>
  <si>
    <t>Maquinaria de oficina, sus partes y piezas.</t>
  </si>
  <si>
    <t>Máquinas, aparatos eléctricos, sus partes y piezas.</t>
  </si>
  <si>
    <t>220601</t>
  </si>
  <si>
    <t>Aparatos de radio, televisión, comunicaciones, sus partes y piezas.</t>
  </si>
  <si>
    <t>220701</t>
  </si>
  <si>
    <t>Aparatos médicos, instrumentos ópticos, de precisión (incluye relojes), sus partes y piezas</t>
  </si>
  <si>
    <t>220801</t>
  </si>
  <si>
    <t>Equipo de transporte, sus partes y piezas.</t>
  </si>
  <si>
    <t>Joyas y artículos conexos</t>
  </si>
  <si>
    <t>Instrumentos de música, artículos de deporte, juegos y juguetes</t>
  </si>
  <si>
    <t>230401</t>
  </si>
  <si>
    <t>Artículos manufacturados diversos</t>
  </si>
  <si>
    <t>230501</t>
  </si>
  <si>
    <t>Desperdicios de la industria de la alimentación</t>
  </si>
  <si>
    <t>230502</t>
  </si>
  <si>
    <t>Desperdicios ó desechos Metálicos y No Metálicos</t>
  </si>
  <si>
    <t>Servicio de distribución de electricidad</t>
  </si>
  <si>
    <t>Servicio de distribución de agua por tuberías</t>
  </si>
  <si>
    <t>Edificaciones residenciales públicas y privadas</t>
  </si>
  <si>
    <t>250102</t>
  </si>
  <si>
    <t>Edificaciones no residenciales públicas y privadas</t>
  </si>
  <si>
    <t>250103</t>
  </si>
  <si>
    <t>Reparación y mantenimiento de edificaciones, alquiler de equipo dotado de operarios y servicios para la construcción</t>
  </si>
  <si>
    <t>Servicios de construcción de obras de ingeniería civil</t>
  </si>
  <si>
    <t>260201</t>
  </si>
  <si>
    <t>Servicios de mejoramiento y mantenimiento</t>
  </si>
  <si>
    <t>Comercio</t>
  </si>
  <si>
    <t>Servicio de transporte urbano de pasajeros y carga</t>
  </si>
  <si>
    <t>280201</t>
  </si>
  <si>
    <t>Servicio de transporte ferroviario de pasajeros y de carga</t>
  </si>
  <si>
    <t>280301</t>
  </si>
  <si>
    <t>Servicio de transporte de pasajeros y carga de larga distancia</t>
  </si>
  <si>
    <t>280401</t>
  </si>
  <si>
    <t>Servicios de Transporte de Pasajeros y Carga por vía Acuática</t>
  </si>
  <si>
    <t>280501</t>
  </si>
  <si>
    <t>Servicio de transporte aéreo de pasajeros y de carga</t>
  </si>
  <si>
    <t>280601</t>
  </si>
  <si>
    <t>Servicio de transporte por tubería</t>
  </si>
  <si>
    <t>280701</t>
  </si>
  <si>
    <t>Servicios apoyo de transporte</t>
  </si>
  <si>
    <t>280702</t>
  </si>
  <si>
    <t>Servicios postales y de mensajería (local, nacional e internacional)</t>
  </si>
  <si>
    <t>Servicios de alojamiento</t>
  </si>
  <si>
    <t>Servicios de comidas y bebidas</t>
  </si>
  <si>
    <t>Servicios de telefonía y telecomunicaciones</t>
  </si>
  <si>
    <t>Servicios de programación, transmisión y exhibición y otras actividades de comunicación</t>
  </si>
  <si>
    <t>Servicios de banca central</t>
  </si>
  <si>
    <t>Servicios implícitos de intermediación financiera</t>
  </si>
  <si>
    <t>Servicios financieros explícitos de intermediación financiera</t>
  </si>
  <si>
    <t>310401</t>
  </si>
  <si>
    <t>Servicios de seguros y fondos de pensiones</t>
  </si>
  <si>
    <t>310501</t>
  </si>
  <si>
    <t>Servicios de auxiliares financieros</t>
  </si>
  <si>
    <t>310601</t>
  </si>
  <si>
    <t>Servicios de reaseguro</t>
  </si>
  <si>
    <t>Alquiler de edificaciones residenciales</t>
  </si>
  <si>
    <t>Servicios inmobiliarios</t>
  </si>
  <si>
    <t>Servicio de arrendamiento de transporte, maquinaria y equipo sin operarios, y de otros productos</t>
  </si>
  <si>
    <t>330201</t>
  </si>
  <si>
    <t>Servicios de investigación y desarrollo, servicios profesionales, científicos y técnicos</t>
  </si>
  <si>
    <t>330301</t>
  </si>
  <si>
    <t>Servicios auxiliares y otros servicios empresariales</t>
  </si>
  <si>
    <t>330302</t>
  </si>
  <si>
    <t>Servicios de prospección y exploración de hidrocarburos; Servicios de apoyo a la extracción de petróleo y gas</t>
  </si>
  <si>
    <t>330303</t>
  </si>
  <si>
    <t>Servicios de prospección y exploración de minerales; Otros servicios de apoyo a la minería</t>
  </si>
  <si>
    <t>330304</t>
  </si>
  <si>
    <t>Servicios de transmisión de electricidad (a comisión o por contrato)</t>
  </si>
  <si>
    <t>Servicios del gobierno general</t>
  </si>
  <si>
    <t>Servicios de educación de mercado</t>
  </si>
  <si>
    <t>Servicios de educación de no mercado</t>
  </si>
  <si>
    <t>Servicios de salud de mercado</t>
  </si>
  <si>
    <t>Servicios de salud de no mercado</t>
  </si>
  <si>
    <t>Servicios de alcantarillado, recolección, tratamiento y eliminación de desechos</t>
  </si>
  <si>
    <t>400101</t>
  </si>
  <si>
    <t>Servicios de organizaciones empresariales, profesionales y otras representaciones</t>
  </si>
  <si>
    <t>400201</t>
  </si>
  <si>
    <t>Servicios recreativos, culturales y deportivos</t>
  </si>
  <si>
    <t>409999</t>
  </si>
  <si>
    <t>Otros servicios</t>
  </si>
  <si>
    <t>410101</t>
  </si>
  <si>
    <t>Servicios domésticos</t>
  </si>
  <si>
    <t>420101</t>
  </si>
  <si>
    <t>Compras Directas de Bienes y Otros Servicios</t>
  </si>
  <si>
    <t>P2</t>
  </si>
  <si>
    <t>CONSUMO INTERMEDIO</t>
  </si>
  <si>
    <t>P1</t>
  </si>
  <si>
    <t>PRODUCCIÓN</t>
  </si>
  <si>
    <t>P11</t>
  </si>
  <si>
    <t>Producción de Mercado</t>
  </si>
  <si>
    <t>P12</t>
  </si>
  <si>
    <t>Producción para Uso Final Propio</t>
  </si>
  <si>
    <t>P13</t>
  </si>
  <si>
    <t>Otra Producción no de Mercado</t>
  </si>
  <si>
    <t>B1b</t>
  </si>
  <si>
    <t>VALOR AGREGADO BRUTO</t>
  </si>
  <si>
    <t>D1</t>
  </si>
  <si>
    <t>REMUNERACION DE ASALARIADOS</t>
  </si>
  <si>
    <t>D2</t>
  </si>
  <si>
    <t>IMPUESTOS SOBRE LA PRODUCCION Y LAS IMPORTACIONES</t>
  </si>
  <si>
    <t>D3</t>
  </si>
  <si>
    <t>SUBVENCIONES</t>
  </si>
  <si>
    <t>B2b</t>
  </si>
  <si>
    <t>EXCEDENTE DE EXPLOTACIÓN</t>
  </si>
  <si>
    <t>B3b</t>
  </si>
  <si>
    <t>INGRESO MIXTO</t>
  </si>
  <si>
    <t>Fuente: Instituto Nacional de Estadística</t>
  </si>
  <si>
    <t>Formación Bruta de Capital Fijo</t>
  </si>
  <si>
    <t>Variaciones de Existencias</t>
  </si>
  <si>
    <t>producto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</si>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</sst>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\ ;\(#,##0\)"/>
    <numFmt numFmtId="165" formatCode="#,##0_ ;[Red]\-#,##0\ "/>
    <numFmt numFmtId="166" formatCode="_-* #,##0.00\ _€_-;\-* #,##0.00\ _€_-;_-* &quot;-&quot;??\ _€_-;_-@_-"/>
    <numFmt numFmtId="167" formatCode="#,##0_ ;\-#,##0\ "/>
  </numFmts>
  <fonts count="21">
    <font>
      <sz val="9"/>
      <color indexed="8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56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sz val="9"/>
      <color indexed="56"/>
      <name val="Arial"/>
      <family val="2"/>
    </font>
    <font>
      <sz val="9"/>
      <color theme="0"/>
      <name val="Arial"/>
      <family val="2"/>
    </font>
    <font>
      <sz val="11"/>
      <color indexed="22"/>
      <name val="Calibri"/>
      <family val="2"/>
    </font>
    <font>
      <sz val="16"/>
      <color theme="0"/>
      <name val="Aptos Narrow"/>
      <family val="2"/>
      <scheme val="minor"/>
    </font>
    <font>
      <sz val="9"/>
      <name val="Arial"/>
      <family val="2"/>
    </font>
    <font>
      <b/>
      <sz val="10"/>
      <color theme="1"/>
      <name val="Arial"/>
      <family val="2"/>
    </font>
    <font>
      <sz val="10"/>
      <color indexed="56"/>
      <name val="Calibri Light"/>
      <family val="2"/>
    </font>
    <font>
      <sz val="11"/>
      <color indexed="17"/>
      <name val="Calibri"/>
      <family val="2"/>
    </font>
    <font>
      <sz val="11"/>
      <color indexed="8"/>
      <name val="Calibri"/>
      <family val="2"/>
    </font>
    <font>
      <b/>
      <sz val="9"/>
      <color indexed="56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/>
      <diagonal/>
    </border>
  </borders>
  <cellStyleXfs count="9">
    <xf numFmtId="0" fontId="0" fillId="0" borderId="0" applyNumberFormat="0" applyFill="0" applyBorder="0" applyProtection="0"/>
    <xf numFmtId="0" fontId="3" fillId="2" borderId="0" applyNumberFormat="0" applyBorder="0" applyAlignment="0" applyProtection="0"/>
    <xf numFmtId="0" fontId="2" fillId="0" borderId="0"/>
    <xf numFmtId="0" fontId="10" fillId="4" borderId="0" applyNumberFormat="0" applyBorder="0" applyAlignment="0" applyProtection="0"/>
    <xf numFmtId="166" fontId="1" fillId="0" borderId="0" applyFont="0" applyFill="0" applyBorder="0" applyAlignment="0" applyProtection="0"/>
    <xf numFmtId="0" fontId="15" fillId="7" borderId="0" applyNumberFormat="0" applyBorder="0" applyAlignment="0" applyProtection="0"/>
    <xf numFmtId="0" fontId="1" fillId="3" borderId="0" applyNumberFormat="0" applyBorder="0" applyAlignment="0" applyProtection="0"/>
    <xf numFmtId="0" fontId="16" fillId="0" borderId="0" applyNumberFormat="0" applyFill="0" applyBorder="0" applyProtection="0"/>
    <xf numFmtId="166" fontId="16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2" applyFont="1"/>
    <xf numFmtId="0" fontId="5" fillId="0" borderId="0" xfId="0" applyFont="1"/>
    <xf numFmtId="164" fontId="6" fillId="0" borderId="0" xfId="0" applyNumberFormat="1" applyFont="1" applyAlignment="1">
      <alignment vertical="center"/>
    </xf>
    <xf numFmtId="164" fontId="7" fillId="0" borderId="0" xfId="2" applyNumberFormat="1" applyFont="1" applyAlignment="1">
      <alignment vertical="center"/>
    </xf>
    <xf numFmtId="0" fontId="8" fillId="0" borderId="0" xfId="2" applyFont="1"/>
    <xf numFmtId="165" fontId="4" fillId="0" borderId="0" xfId="2" applyNumberFormat="1" applyFont="1"/>
    <xf numFmtId="0" fontId="4" fillId="0" borderId="0" xfId="2" applyFont="1" applyAlignment="1">
      <alignment vertical="center"/>
    </xf>
    <xf numFmtId="165" fontId="12" fillId="6" borderId="4" xfId="1" applyNumberFormat="1" applyFont="1" applyFill="1" applyBorder="1" applyAlignment="1">
      <alignment vertical="center" wrapText="1"/>
    </xf>
    <xf numFmtId="165" fontId="12" fillId="6" borderId="5" xfId="1" applyNumberFormat="1" applyFont="1" applyFill="1" applyBorder="1" applyAlignment="1">
      <alignment vertical="center" wrapText="1"/>
    </xf>
    <xf numFmtId="165" fontId="12" fillId="6" borderId="5" xfId="1" applyNumberFormat="1" applyFont="1" applyFill="1" applyBorder="1" applyAlignment="1">
      <alignment vertical="center"/>
    </xf>
    <xf numFmtId="0" fontId="14" fillId="0" borderId="0" xfId="2" applyFont="1" applyAlignment="1">
      <alignment vertical="center"/>
    </xf>
    <xf numFmtId="165" fontId="17" fillId="0" borderId="5" xfId="7" applyNumberFormat="1" applyFont="1" applyBorder="1" applyAlignment="1">
      <alignment vertical="center"/>
    </xf>
    <xf numFmtId="165" fontId="8" fillId="0" borderId="5" xfId="7" applyNumberFormat="1" applyFont="1" applyBorder="1" applyAlignment="1">
      <alignment vertical="center" wrapText="1"/>
    </xf>
    <xf numFmtId="0" fontId="18" fillId="0" borderId="0" xfId="2" applyFont="1"/>
    <xf numFmtId="0" fontId="8" fillId="0" borderId="0" xfId="2" applyFont="1" applyAlignment="1">
      <alignment vertical="center"/>
    </xf>
    <xf numFmtId="49" fontId="9" fillId="9" borderId="8" xfId="2" applyNumberFormat="1" applyFont="1" applyFill="1" applyBorder="1" applyAlignment="1">
      <alignment horizontal="center" vertical="center" wrapText="1"/>
    </xf>
    <xf numFmtId="0" fontId="20" fillId="8" borderId="1" xfId="3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167" fontId="12" fillId="0" borderId="4" xfId="4" applyNumberFormat="1" applyFont="1" applyFill="1" applyBorder="1" applyAlignment="1">
      <alignment vertical="center"/>
    </xf>
    <xf numFmtId="167" fontId="12" fillId="0" borderId="5" xfId="4" applyNumberFormat="1" applyFont="1" applyFill="1" applyBorder="1" applyAlignment="1">
      <alignment vertical="center"/>
    </xf>
    <xf numFmtId="167" fontId="8" fillId="8" borderId="5" xfId="4" applyNumberFormat="1" applyFont="1" applyFill="1" applyBorder="1" applyAlignment="1">
      <alignment vertical="center"/>
    </xf>
    <xf numFmtId="165" fontId="12" fillId="8" borderId="5" xfId="5" applyNumberFormat="1" applyFont="1" applyFill="1" applyBorder="1" applyAlignment="1">
      <alignment horizontal="center" vertical="center"/>
    </xf>
    <xf numFmtId="165" fontId="12" fillId="8" borderId="5" xfId="5" applyNumberFormat="1" applyFont="1" applyFill="1" applyBorder="1" applyAlignment="1">
      <alignment vertical="center" wrapText="1"/>
    </xf>
    <xf numFmtId="167" fontId="8" fillId="8" borderId="4" xfId="4" applyNumberFormat="1" applyFont="1" applyFill="1" applyBorder="1" applyAlignment="1">
      <alignment vertical="center"/>
    </xf>
    <xf numFmtId="165" fontId="12" fillId="6" borderId="4" xfId="2" applyNumberFormat="1" applyFont="1" applyFill="1" applyBorder="1" applyAlignment="1">
      <alignment horizontal="center" vertical="center" wrapText="1"/>
    </xf>
    <xf numFmtId="165" fontId="12" fillId="6" borderId="5" xfId="2" applyNumberFormat="1" applyFont="1" applyFill="1" applyBorder="1" applyAlignment="1">
      <alignment horizontal="center" vertical="center" wrapText="1"/>
    </xf>
    <xf numFmtId="167" fontId="12" fillId="0" borderId="4" xfId="4" applyNumberFormat="1" applyFont="1" applyBorder="1" applyAlignment="1">
      <alignment vertical="center"/>
    </xf>
    <xf numFmtId="167" fontId="12" fillId="0" borderId="5" xfId="4" applyNumberFormat="1" applyFont="1" applyBorder="1" applyAlignment="1">
      <alignment vertical="center"/>
    </xf>
    <xf numFmtId="167" fontId="12" fillId="8" borderId="5" xfId="6" applyNumberFormat="1" applyFont="1" applyFill="1" applyBorder="1" applyAlignment="1">
      <alignment vertical="center"/>
    </xf>
    <xf numFmtId="167" fontId="12" fillId="8" borderId="5" xfId="5" applyNumberFormat="1" applyFont="1" applyFill="1" applyBorder="1" applyAlignment="1">
      <alignment vertical="center"/>
    </xf>
    <xf numFmtId="167" fontId="8" fillId="0" borderId="0" xfId="2" applyNumberFormat="1" applyFont="1" applyAlignment="1">
      <alignment vertical="center"/>
    </xf>
    <xf numFmtId="167" fontId="12" fillId="0" borderId="5" xfId="8" applyNumberFormat="1" applyFont="1" applyBorder="1" applyAlignment="1">
      <alignment vertical="center"/>
    </xf>
    <xf numFmtId="167" fontId="8" fillId="0" borderId="0" xfId="2" applyNumberFormat="1" applyFont="1"/>
    <xf numFmtId="0" fontId="13" fillId="8" borderId="10" xfId="3" applyFont="1" applyFill="1" applyBorder="1" applyAlignment="1">
      <alignment horizontal="center" vertical="center" wrapText="1"/>
    </xf>
    <xf numFmtId="0" fontId="9" fillId="9" borderId="7" xfId="2" applyFont="1" applyFill="1" applyBorder="1" applyAlignment="1">
      <alignment horizontal="center" vertical="center" wrapText="1"/>
    </xf>
    <xf numFmtId="0" fontId="9" fillId="9" borderId="8" xfId="2" applyFont="1" applyFill="1" applyBorder="1" applyAlignment="1">
      <alignment horizontal="center" vertical="center" wrapText="1"/>
    </xf>
    <xf numFmtId="0" fontId="11" fillId="9" borderId="8" xfId="3" applyFont="1" applyFill="1" applyBorder="1" applyAlignment="1">
      <alignment horizontal="center" vertical="center" wrapText="1"/>
    </xf>
    <xf numFmtId="0" fontId="11" fillId="9" borderId="9" xfId="3" applyFont="1" applyFill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 wrapText="1"/>
    </xf>
    <xf numFmtId="0" fontId="12" fillId="8" borderId="4" xfId="2" applyFont="1" applyFill="1" applyBorder="1" applyAlignment="1">
      <alignment horizontal="center" vertical="center" wrapText="1"/>
    </xf>
    <xf numFmtId="0" fontId="12" fillId="8" borderId="3" xfId="2" applyFont="1" applyFill="1" applyBorder="1" applyAlignment="1">
      <alignment horizontal="center" vertical="center" wrapText="1"/>
    </xf>
    <xf numFmtId="0" fontId="12" fillId="8" borderId="6" xfId="2" applyFont="1" applyFill="1" applyBorder="1" applyAlignment="1">
      <alignment horizontal="center" vertical="center" wrapText="1"/>
    </xf>
    <xf numFmtId="0" fontId="12" fillId="8" borderId="1" xfId="2" applyFont="1" applyFill="1" applyBorder="1" applyAlignment="1">
      <alignment horizontal="center" vertical="center" wrapText="1"/>
    </xf>
    <xf numFmtId="0" fontId="12" fillId="8" borderId="12" xfId="2" applyFont="1" applyFill="1" applyBorder="1" applyAlignment="1">
      <alignment horizontal="center" vertical="center" wrapText="1"/>
    </xf>
    <xf numFmtId="0" fontId="12" fillId="8" borderId="13" xfId="2" applyFont="1" applyFill="1" applyBorder="1" applyAlignment="1">
      <alignment horizontal="center" vertical="center" wrapText="1"/>
    </xf>
    <xf numFmtId="0" fontId="12" fillId="8" borderId="14" xfId="2" applyFont="1" applyFill="1" applyBorder="1" applyAlignment="1">
      <alignment horizontal="center" vertical="center" wrapText="1"/>
    </xf>
    <xf numFmtId="0" fontId="12" fillId="8" borderId="15" xfId="2" applyFont="1" applyFill="1" applyBorder="1" applyAlignment="1">
      <alignment horizontal="center" vertical="center" wrapText="1"/>
    </xf>
    <xf numFmtId="0" fontId="20" fillId="8" borderId="1" xfId="2" applyFont="1" applyFill="1" applyBorder="1" applyAlignment="1">
      <alignment horizontal="center" vertical="center" wrapText="1"/>
    </xf>
    <xf numFmtId="0" fontId="19" fillId="10" borderId="1" xfId="3" applyFont="1" applyFill="1" applyBorder="1" applyAlignment="1">
      <alignment horizontal="center" vertical="center" wrapText="1"/>
    </xf>
    <xf numFmtId="0" fontId="13" fillId="8" borderId="10" xfId="3" applyFont="1" applyFill="1" applyBorder="1" applyAlignment="1">
      <alignment horizontal="center" vertical="center" wrapText="1"/>
    </xf>
    <xf numFmtId="0" fontId="13" fillId="8" borderId="11" xfId="3" applyFont="1" applyFill="1" applyBorder="1" applyAlignment="1">
      <alignment horizontal="center" vertical="center" wrapText="1"/>
    </xf>
    <xf numFmtId="0" fontId="9" fillId="9" borderId="7" xfId="2" applyFont="1" applyFill="1" applyBorder="1" applyAlignment="1">
      <alignment vertical="center" wrapText="1"/>
    </xf>
    <xf numFmtId="0" fontId="9" fillId="9" borderId="8" xfId="2" applyFont="1" applyFill="1" applyBorder="1" applyAlignment="1">
      <alignment vertical="center" wrapText="1"/>
    </xf>
    <xf numFmtId="0" fontId="12" fillId="8" borderId="2" xfId="2" applyFont="1" applyFill="1" applyBorder="1" applyAlignment="1">
      <alignment vertical="center" wrapText="1"/>
    </xf>
    <xf numFmtId="0" fontId="12" fillId="8" borderId="4" xfId="2" applyFont="1" applyFill="1" applyBorder="1" applyAlignment="1">
      <alignment vertical="center" wrapText="1"/>
    </xf>
    <xf numFmtId="0" fontId="12" fillId="8" borderId="1" xfId="2" applyFont="1" applyFill="1" applyBorder="1" applyAlignment="1">
      <alignment vertical="center" wrapText="1"/>
    </xf>
    <xf numFmtId="0" fontId="12" fillId="8" borderId="12" xfId="2" applyFont="1" applyFill="1" applyBorder="1" applyAlignment="1">
      <alignment vertical="center" wrapText="1"/>
    </xf>
    <xf numFmtId="0" fontId="12" fillId="8" borderId="14" xfId="2" applyFont="1" applyFill="1" applyBorder="1" applyAlignment="1">
      <alignment vertical="center" wrapText="1"/>
    </xf>
    <xf numFmtId="0" fontId="20" fillId="8" borderId="1" xfId="2" applyFont="1" applyFill="1" applyBorder="1" applyAlignment="1">
      <alignment vertical="center" wrapText="1"/>
    </xf>
    <xf numFmtId="0" fontId="12" fillId="8" borderId="16" xfId="2" applyFont="1" applyFill="1" applyBorder="1" applyAlignment="1">
      <alignment vertical="center" wrapText="1"/>
    </xf>
    <xf numFmtId="0" fontId="19" fillId="10" borderId="14" xfId="3" applyFont="1" applyFill="1" applyBorder="1" applyAlignment="1">
      <alignment horizontal="center" vertical="center" wrapText="1"/>
    </xf>
    <xf numFmtId="0" fontId="13" fillId="8" borderId="17" xfId="3" applyFont="1" applyFill="1" applyBorder="1" applyAlignment="1">
      <alignment horizontal="center" vertical="center" wrapText="1"/>
    </xf>
  </cellXfs>
  <cellStyles count="9">
    <cellStyle name="40% - Énfasis2 2" xfId="6"/>
    <cellStyle name="Buena 2" xfId="5"/>
    <cellStyle name="Énfasis2" xfId="1" builtinId="33"/>
    <cellStyle name="Énfasis2 3" xfId="3"/>
    <cellStyle name="Millares 2 2 2" xfId="8"/>
    <cellStyle name="Millares 2 3" xfId="4"/>
    <cellStyle name="Normal" xfId="0" builtinId="0"/>
    <cellStyle name="Normal 3 3" xfId="7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2</xdr:col>
      <xdr:colOff>1191260</xdr:colOff>
      <xdr:row>5</xdr:row>
      <xdr:rowOff>128270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058A3E-5D61-4439-8AAB-27CF5AA8CA0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266700" y="3810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2</xdr:col>
      <xdr:colOff>1191260</xdr:colOff>
      <xdr:row>5</xdr:row>
      <xdr:rowOff>128270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058A3E-5D61-4439-8AAB-27CF5AA8CA0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243840" y="38100"/>
          <a:ext cx="1678940" cy="9512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C241"/>
  <sheetViews>
    <sheetView showGridLines="0" zoomScaleNormal="100" workbookViewId="0">
      <selection activeCell="B11" sqref="B11:C13"/>
    </sheetView>
  </sheetViews>
  <sheetFormatPr baseColWidth="10" defaultColWidth="11.375" defaultRowHeight="13.2"/>
  <cols>
    <col min="1" max="1" width="4" style="1" customWidth="1"/>
    <col min="2" max="2" width="8" style="1" customWidth="1"/>
    <col min="3" max="3" width="53.375" style="1" customWidth="1"/>
    <col min="4" max="41" width="15.25" style="1" bestFit="1" customWidth="1"/>
    <col min="42" max="42" width="13.625" style="1" bestFit="1" customWidth="1"/>
    <col min="43" max="198" width="13.625" style="1" customWidth="1"/>
    <col min="199" max="199" width="13.625" style="1" bestFit="1" customWidth="1"/>
    <col min="200" max="211" width="16.875" style="1" customWidth="1"/>
    <col min="212" max="212" width="13.625" style="1" customWidth="1"/>
    <col min="213" max="16384" width="11.375" style="1"/>
  </cols>
  <sheetData>
    <row r="1" spans="2:211" ht="13.8">
      <c r="E1" s="2"/>
      <c r="F1" s="3"/>
    </row>
    <row r="2" spans="2:211" ht="13.8">
      <c r="E2" s="2"/>
      <c r="F2" s="2"/>
    </row>
    <row r="3" spans="2:211" ht="13.8">
      <c r="E3" s="2"/>
      <c r="F3" s="2"/>
    </row>
    <row r="7" spans="2:211">
      <c r="B7" s="4" t="s">
        <v>0</v>
      </c>
    </row>
    <row r="8" spans="2:211">
      <c r="B8" s="4" t="s">
        <v>1</v>
      </c>
    </row>
    <row r="9" spans="2:211">
      <c r="B9" s="4" t="s">
        <v>2</v>
      </c>
    </row>
    <row r="10" spans="2:211" ht="6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</row>
    <row r="11" spans="2:211" s="7" customFormat="1" ht="22.5" customHeight="1">
      <c r="B11" s="35" t="s">
        <v>3</v>
      </c>
      <c r="C11" s="36"/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15</v>
      </c>
      <c r="P11" s="16" t="s">
        <v>16</v>
      </c>
      <c r="Q11" s="16" t="s">
        <v>17</v>
      </c>
      <c r="R11" s="16" t="s">
        <v>18</v>
      </c>
      <c r="S11" s="16" t="s">
        <v>19</v>
      </c>
      <c r="T11" s="16" t="s">
        <v>20</v>
      </c>
      <c r="U11" s="16" t="s">
        <v>21</v>
      </c>
      <c r="V11" s="16" t="s">
        <v>22</v>
      </c>
      <c r="W11" s="16" t="s">
        <v>23</v>
      </c>
      <c r="X11" s="16" t="s">
        <v>24</v>
      </c>
      <c r="Y11" s="16" t="s">
        <v>25</v>
      </c>
      <c r="Z11" s="16" t="s">
        <v>26</v>
      </c>
      <c r="AA11" s="16" t="s">
        <v>27</v>
      </c>
      <c r="AB11" s="16" t="s">
        <v>28</v>
      </c>
      <c r="AC11" s="16" t="s">
        <v>29</v>
      </c>
      <c r="AD11" s="16" t="s">
        <v>30</v>
      </c>
      <c r="AE11" s="16" t="s">
        <v>31</v>
      </c>
      <c r="AF11" s="16" t="s">
        <v>32</v>
      </c>
      <c r="AG11" s="16" t="s">
        <v>33</v>
      </c>
      <c r="AH11" s="16" t="s">
        <v>34</v>
      </c>
      <c r="AI11" s="16" t="s">
        <v>35</v>
      </c>
      <c r="AJ11" s="16" t="s">
        <v>36</v>
      </c>
      <c r="AK11" s="16" t="s">
        <v>37</v>
      </c>
      <c r="AL11" s="16" t="s">
        <v>38</v>
      </c>
      <c r="AM11" s="16" t="s">
        <v>39</v>
      </c>
      <c r="AN11" s="16" t="s">
        <v>40</v>
      </c>
      <c r="AO11" s="16" t="s">
        <v>41</v>
      </c>
      <c r="AP11" s="16" t="s">
        <v>42</v>
      </c>
      <c r="AQ11" s="16" t="s">
        <v>43</v>
      </c>
      <c r="AR11" s="16" t="s">
        <v>44</v>
      </c>
      <c r="AS11" s="16" t="s">
        <v>45</v>
      </c>
      <c r="AT11" s="16" t="s">
        <v>46</v>
      </c>
      <c r="AU11" s="16" t="s">
        <v>47</v>
      </c>
      <c r="AV11" s="16" t="s">
        <v>48</v>
      </c>
      <c r="AW11" s="16" t="s">
        <v>49</v>
      </c>
      <c r="AX11" s="16" t="s">
        <v>50</v>
      </c>
      <c r="AY11" s="16" t="s">
        <v>51</v>
      </c>
      <c r="AZ11" s="16" t="s">
        <v>52</v>
      </c>
      <c r="BA11" s="16" t="s">
        <v>53</v>
      </c>
      <c r="BB11" s="16" t="s">
        <v>54</v>
      </c>
      <c r="BC11" s="16" t="s">
        <v>55</v>
      </c>
      <c r="BD11" s="16" t="s">
        <v>56</v>
      </c>
      <c r="BE11" s="16" t="s">
        <v>57</v>
      </c>
      <c r="BF11" s="16" t="s">
        <v>58</v>
      </c>
      <c r="BG11" s="16" t="s">
        <v>59</v>
      </c>
      <c r="BH11" s="16" t="s">
        <v>60</v>
      </c>
      <c r="BI11" s="16" t="s">
        <v>61</v>
      </c>
      <c r="BJ11" s="16" t="s">
        <v>62</v>
      </c>
      <c r="BK11" s="16" t="s">
        <v>63</v>
      </c>
      <c r="BL11" s="16" t="s">
        <v>64</v>
      </c>
      <c r="BM11" s="16" t="s">
        <v>65</v>
      </c>
      <c r="BN11" s="16" t="s">
        <v>66</v>
      </c>
      <c r="BO11" s="16" t="s">
        <v>67</v>
      </c>
      <c r="BP11" s="16" t="s">
        <v>68</v>
      </c>
      <c r="BQ11" s="16" t="s">
        <v>69</v>
      </c>
      <c r="BR11" s="16" t="s">
        <v>70</v>
      </c>
      <c r="BS11" s="16" t="s">
        <v>71</v>
      </c>
      <c r="BT11" s="16" t="s">
        <v>72</v>
      </c>
      <c r="BU11" s="16" t="s">
        <v>73</v>
      </c>
      <c r="BV11" s="16" t="s">
        <v>74</v>
      </c>
      <c r="BW11" s="16" t="s">
        <v>75</v>
      </c>
      <c r="BX11" s="16" t="s">
        <v>76</v>
      </c>
      <c r="BY11" s="16" t="s">
        <v>77</v>
      </c>
      <c r="BZ11" s="16" t="s">
        <v>78</v>
      </c>
      <c r="CA11" s="16" t="s">
        <v>79</v>
      </c>
      <c r="CB11" s="16" t="s">
        <v>80</v>
      </c>
      <c r="CC11" s="16" t="s">
        <v>81</v>
      </c>
      <c r="CD11" s="16" t="s">
        <v>82</v>
      </c>
      <c r="CE11" s="16" t="s">
        <v>83</v>
      </c>
      <c r="CF11" s="16" t="s">
        <v>84</v>
      </c>
      <c r="CG11" s="16" t="s">
        <v>85</v>
      </c>
      <c r="CH11" s="16" t="s">
        <v>86</v>
      </c>
      <c r="CI11" s="16" t="s">
        <v>87</v>
      </c>
      <c r="CJ11" s="16" t="s">
        <v>88</v>
      </c>
      <c r="CK11" s="16" t="s">
        <v>89</v>
      </c>
      <c r="CL11" s="16" t="s">
        <v>90</v>
      </c>
      <c r="CM11" s="16" t="s">
        <v>91</v>
      </c>
      <c r="CN11" s="16" t="s">
        <v>92</v>
      </c>
      <c r="CO11" s="16" t="s">
        <v>93</v>
      </c>
      <c r="CP11" s="16" t="s">
        <v>94</v>
      </c>
      <c r="CQ11" s="16" t="s">
        <v>95</v>
      </c>
      <c r="CR11" s="16" t="s">
        <v>96</v>
      </c>
      <c r="CS11" s="16" t="s">
        <v>97</v>
      </c>
      <c r="CT11" s="16" t="s">
        <v>98</v>
      </c>
      <c r="CU11" s="16" t="s">
        <v>99</v>
      </c>
      <c r="CV11" s="16" t="s">
        <v>100</v>
      </c>
      <c r="CW11" s="16" t="s">
        <v>101</v>
      </c>
      <c r="CX11" s="16" t="s">
        <v>102</v>
      </c>
      <c r="CY11" s="16" t="s">
        <v>103</v>
      </c>
      <c r="CZ11" s="16" t="s">
        <v>104</v>
      </c>
      <c r="DA11" s="16" t="s">
        <v>105</v>
      </c>
      <c r="DB11" s="16" t="s">
        <v>106</v>
      </c>
      <c r="DC11" s="16" t="s">
        <v>107</v>
      </c>
      <c r="DD11" s="16" t="s">
        <v>108</v>
      </c>
      <c r="DE11" s="16" t="s">
        <v>109</v>
      </c>
      <c r="DF11" s="16" t="s">
        <v>110</v>
      </c>
      <c r="DG11" s="16" t="s">
        <v>111</v>
      </c>
      <c r="DH11" s="16" t="s">
        <v>112</v>
      </c>
      <c r="DI11" s="16" t="s">
        <v>113</v>
      </c>
      <c r="DJ11" s="16" t="s">
        <v>114</v>
      </c>
      <c r="DK11" s="16" t="s">
        <v>115</v>
      </c>
      <c r="DL11" s="16" t="s">
        <v>116</v>
      </c>
      <c r="DM11" s="16" t="s">
        <v>117</v>
      </c>
      <c r="DN11" s="16" t="s">
        <v>118</v>
      </c>
      <c r="DO11" s="16" t="s">
        <v>119</v>
      </c>
      <c r="DP11" s="16" t="s">
        <v>120</v>
      </c>
      <c r="DQ11" s="16" t="s">
        <v>121</v>
      </c>
      <c r="DR11" s="16" t="s">
        <v>122</v>
      </c>
      <c r="DS11" s="16" t="s">
        <v>123</v>
      </c>
      <c r="DT11" s="16" t="s">
        <v>124</v>
      </c>
      <c r="DU11" s="16" t="s">
        <v>125</v>
      </c>
      <c r="DV11" s="16" t="s">
        <v>126</v>
      </c>
      <c r="DW11" s="16" t="s">
        <v>127</v>
      </c>
      <c r="DX11" s="16" t="s">
        <v>128</v>
      </c>
      <c r="DY11" s="16" t="s">
        <v>129</v>
      </c>
      <c r="DZ11" s="16" t="s">
        <v>130</v>
      </c>
      <c r="EA11" s="16" t="s">
        <v>131</v>
      </c>
      <c r="EB11" s="16" t="s">
        <v>132</v>
      </c>
      <c r="EC11" s="16" t="s">
        <v>133</v>
      </c>
      <c r="ED11" s="16" t="s">
        <v>134</v>
      </c>
      <c r="EE11" s="16" t="s">
        <v>135</v>
      </c>
      <c r="EF11" s="16" t="s">
        <v>136</v>
      </c>
      <c r="EG11" s="16" t="s">
        <v>137</v>
      </c>
      <c r="EH11" s="16" t="s">
        <v>138</v>
      </c>
      <c r="EI11" s="16" t="s">
        <v>139</v>
      </c>
      <c r="EJ11" s="16" t="s">
        <v>140</v>
      </c>
      <c r="EK11" s="16" t="s">
        <v>141</v>
      </c>
      <c r="EL11" s="16" t="s">
        <v>142</v>
      </c>
      <c r="EM11" s="16" t="s">
        <v>143</v>
      </c>
      <c r="EN11" s="16" t="s">
        <v>144</v>
      </c>
      <c r="EO11" s="16" t="s">
        <v>145</v>
      </c>
      <c r="EP11" s="16" t="s">
        <v>146</v>
      </c>
      <c r="EQ11" s="16" t="s">
        <v>147</v>
      </c>
      <c r="ER11" s="16" t="s">
        <v>148</v>
      </c>
      <c r="ES11" s="16" t="s">
        <v>149</v>
      </c>
      <c r="ET11" s="16" t="s">
        <v>150</v>
      </c>
      <c r="EU11" s="16" t="s">
        <v>151</v>
      </c>
      <c r="EV11" s="16" t="s">
        <v>152</v>
      </c>
      <c r="EW11" s="16" t="s">
        <v>153</v>
      </c>
      <c r="EX11" s="16" t="s">
        <v>154</v>
      </c>
      <c r="EY11" s="16" t="s">
        <v>155</v>
      </c>
      <c r="EZ11" s="16" t="s">
        <v>156</v>
      </c>
      <c r="FA11" s="16" t="s">
        <v>157</v>
      </c>
      <c r="FB11" s="16" t="s">
        <v>158</v>
      </c>
      <c r="FC11" s="16" t="s">
        <v>159</v>
      </c>
      <c r="FD11" s="16" t="s">
        <v>160</v>
      </c>
      <c r="FE11" s="16" t="s">
        <v>161</v>
      </c>
      <c r="FF11" s="16" t="s">
        <v>162</v>
      </c>
      <c r="FG11" s="16" t="s">
        <v>163</v>
      </c>
      <c r="FH11" s="16" t="s">
        <v>164</v>
      </c>
      <c r="FI11" s="16" t="s">
        <v>165</v>
      </c>
      <c r="FJ11" s="16" t="s">
        <v>166</v>
      </c>
      <c r="FK11" s="16" t="s">
        <v>167</v>
      </c>
      <c r="FL11" s="16" t="s">
        <v>168</v>
      </c>
      <c r="FM11" s="16" t="s">
        <v>169</v>
      </c>
      <c r="FN11" s="16" t="s">
        <v>170</v>
      </c>
      <c r="FO11" s="16" t="s">
        <v>171</v>
      </c>
      <c r="FP11" s="16" t="s">
        <v>172</v>
      </c>
      <c r="FQ11" s="16" t="s">
        <v>173</v>
      </c>
      <c r="FR11" s="16" t="s">
        <v>174</v>
      </c>
      <c r="FS11" s="16" t="s">
        <v>175</v>
      </c>
      <c r="FT11" s="16" t="s">
        <v>176</v>
      </c>
      <c r="FU11" s="16" t="s">
        <v>177</v>
      </c>
      <c r="FV11" s="16" t="s">
        <v>178</v>
      </c>
      <c r="FW11" s="16" t="s">
        <v>179</v>
      </c>
      <c r="FX11" s="16" t="s">
        <v>180</v>
      </c>
      <c r="FY11" s="16" t="s">
        <v>181</v>
      </c>
      <c r="FZ11" s="16" t="s">
        <v>182</v>
      </c>
      <c r="GA11" s="16" t="s">
        <v>183</v>
      </c>
      <c r="GB11" s="16" t="s">
        <v>184</v>
      </c>
      <c r="GC11" s="16" t="s">
        <v>185</v>
      </c>
      <c r="GD11" s="16" t="s">
        <v>186</v>
      </c>
      <c r="GE11" s="16" t="s">
        <v>187</v>
      </c>
      <c r="GF11" s="16" t="s">
        <v>188</v>
      </c>
      <c r="GG11" s="16" t="s">
        <v>189</v>
      </c>
      <c r="GH11" s="16" t="s">
        <v>190</v>
      </c>
      <c r="GI11" s="16" t="s">
        <v>191</v>
      </c>
      <c r="GJ11" s="16" t="s">
        <v>192</v>
      </c>
      <c r="GK11" s="16" t="s">
        <v>193</v>
      </c>
      <c r="GL11" s="16" t="s">
        <v>194</v>
      </c>
      <c r="GM11" s="16" t="s">
        <v>195</v>
      </c>
      <c r="GN11" s="16" t="s">
        <v>196</v>
      </c>
      <c r="GO11" s="16" t="s">
        <v>197</v>
      </c>
      <c r="GP11" s="16" t="s">
        <v>198</v>
      </c>
      <c r="GQ11" s="37" t="s">
        <v>199</v>
      </c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8"/>
    </row>
    <row r="12" spans="2:211" s="7" customFormat="1" ht="54.9" customHeight="1">
      <c r="B12" s="39" t="s">
        <v>200</v>
      </c>
      <c r="C12" s="40"/>
      <c r="D12" s="43" t="s">
        <v>201</v>
      </c>
      <c r="E12" s="43" t="s">
        <v>202</v>
      </c>
      <c r="F12" s="43" t="s">
        <v>203</v>
      </c>
      <c r="G12" s="43" t="s">
        <v>204</v>
      </c>
      <c r="H12" s="43" t="s">
        <v>205</v>
      </c>
      <c r="I12" s="43" t="s">
        <v>206</v>
      </c>
      <c r="J12" s="43" t="s">
        <v>207</v>
      </c>
      <c r="K12" s="43" t="s">
        <v>208</v>
      </c>
      <c r="L12" s="43" t="s">
        <v>209</v>
      </c>
      <c r="M12" s="43" t="s">
        <v>210</v>
      </c>
      <c r="N12" s="43" t="s">
        <v>211</v>
      </c>
      <c r="O12" s="43" t="s">
        <v>212</v>
      </c>
      <c r="P12" s="43" t="s">
        <v>213</v>
      </c>
      <c r="Q12" s="43" t="s">
        <v>214</v>
      </c>
      <c r="R12" s="43" t="s">
        <v>215</v>
      </c>
      <c r="S12" s="43" t="s">
        <v>216</v>
      </c>
      <c r="T12" s="43" t="s">
        <v>217</v>
      </c>
      <c r="U12" s="43" t="s">
        <v>218</v>
      </c>
      <c r="V12" s="43" t="s">
        <v>219</v>
      </c>
      <c r="W12" s="43" t="s">
        <v>220</v>
      </c>
      <c r="X12" s="43" t="s">
        <v>221</v>
      </c>
      <c r="Y12" s="43" t="s">
        <v>222</v>
      </c>
      <c r="Z12" s="43" t="s">
        <v>223</v>
      </c>
      <c r="AA12" s="43" t="s">
        <v>224</v>
      </c>
      <c r="AB12" s="43" t="s">
        <v>225</v>
      </c>
      <c r="AC12" s="43" t="s">
        <v>226</v>
      </c>
      <c r="AD12" s="43" t="s">
        <v>227</v>
      </c>
      <c r="AE12" s="43" t="s">
        <v>228</v>
      </c>
      <c r="AF12" s="43" t="s">
        <v>229</v>
      </c>
      <c r="AG12" s="43" t="s">
        <v>230</v>
      </c>
      <c r="AH12" s="43" t="s">
        <v>231</v>
      </c>
      <c r="AI12" s="43" t="s">
        <v>232</v>
      </c>
      <c r="AJ12" s="43" t="s">
        <v>233</v>
      </c>
      <c r="AK12" s="43" t="s">
        <v>234</v>
      </c>
      <c r="AL12" s="43" t="s">
        <v>235</v>
      </c>
      <c r="AM12" s="43" t="s">
        <v>236</v>
      </c>
      <c r="AN12" s="43" t="s">
        <v>237</v>
      </c>
      <c r="AO12" s="43" t="s">
        <v>238</v>
      </c>
      <c r="AP12" s="43" t="s">
        <v>239</v>
      </c>
      <c r="AQ12" s="43" t="s">
        <v>240</v>
      </c>
      <c r="AR12" s="44" t="s">
        <v>241</v>
      </c>
      <c r="AS12" s="46" t="s">
        <v>242</v>
      </c>
      <c r="AT12" s="43" t="s">
        <v>243</v>
      </c>
      <c r="AU12" s="43" t="s">
        <v>244</v>
      </c>
      <c r="AV12" s="43" t="s">
        <v>245</v>
      </c>
      <c r="AW12" s="43" t="s">
        <v>246</v>
      </c>
      <c r="AX12" s="43" t="s">
        <v>247</v>
      </c>
      <c r="AY12" s="43" t="s">
        <v>248</v>
      </c>
      <c r="AZ12" s="43" t="s">
        <v>249</v>
      </c>
      <c r="BA12" s="43" t="s">
        <v>250</v>
      </c>
      <c r="BB12" s="43" t="s">
        <v>251</v>
      </c>
      <c r="BC12" s="43" t="s">
        <v>252</v>
      </c>
      <c r="BD12" s="43" t="s">
        <v>253</v>
      </c>
      <c r="BE12" s="43" t="s">
        <v>254</v>
      </c>
      <c r="BF12" s="43" t="s">
        <v>255</v>
      </c>
      <c r="BG12" s="43" t="s">
        <v>256</v>
      </c>
      <c r="BH12" s="43" t="s">
        <v>257</v>
      </c>
      <c r="BI12" s="43" t="s">
        <v>258</v>
      </c>
      <c r="BJ12" s="43" t="s">
        <v>259</v>
      </c>
      <c r="BK12" s="43" t="s">
        <v>260</v>
      </c>
      <c r="BL12" s="43" t="s">
        <v>261</v>
      </c>
      <c r="BM12" s="43" t="s">
        <v>262</v>
      </c>
      <c r="BN12" s="43" t="s">
        <v>263</v>
      </c>
      <c r="BO12" s="43" t="s">
        <v>264</v>
      </c>
      <c r="BP12" s="43" t="s">
        <v>265</v>
      </c>
      <c r="BQ12" s="43" t="s">
        <v>266</v>
      </c>
      <c r="BR12" s="43" t="s">
        <v>267</v>
      </c>
      <c r="BS12" s="43" t="s">
        <v>268</v>
      </c>
      <c r="BT12" s="43" t="s">
        <v>269</v>
      </c>
      <c r="BU12" s="43" t="s">
        <v>270</v>
      </c>
      <c r="BV12" s="43" t="s">
        <v>271</v>
      </c>
      <c r="BW12" s="43" t="s">
        <v>272</v>
      </c>
      <c r="BX12" s="43" t="s">
        <v>273</v>
      </c>
      <c r="BY12" s="43" t="s">
        <v>274</v>
      </c>
      <c r="BZ12" s="43" t="s">
        <v>275</v>
      </c>
      <c r="CA12" s="43" t="s">
        <v>276</v>
      </c>
      <c r="CB12" s="43" t="s">
        <v>277</v>
      </c>
      <c r="CC12" s="43" t="s">
        <v>278</v>
      </c>
      <c r="CD12" s="43" t="s">
        <v>279</v>
      </c>
      <c r="CE12" s="43" t="s">
        <v>280</v>
      </c>
      <c r="CF12" s="43" t="s">
        <v>281</v>
      </c>
      <c r="CG12" s="43" t="s">
        <v>282</v>
      </c>
      <c r="CH12" s="44" t="s">
        <v>283</v>
      </c>
      <c r="CI12" s="46" t="s">
        <v>284</v>
      </c>
      <c r="CJ12" s="43" t="s">
        <v>285</v>
      </c>
      <c r="CK12" s="43" t="s">
        <v>286</v>
      </c>
      <c r="CL12" s="43" t="s">
        <v>287</v>
      </c>
      <c r="CM12" s="43" t="s">
        <v>288</v>
      </c>
      <c r="CN12" s="43" t="s">
        <v>289</v>
      </c>
      <c r="CO12" s="43" t="s">
        <v>290</v>
      </c>
      <c r="CP12" s="43" t="s">
        <v>291</v>
      </c>
      <c r="CQ12" s="43" t="s">
        <v>292</v>
      </c>
      <c r="CR12" s="43" t="s">
        <v>293</v>
      </c>
      <c r="CS12" s="43" t="s">
        <v>294</v>
      </c>
      <c r="CT12" s="43" t="s">
        <v>295</v>
      </c>
      <c r="CU12" s="43" t="s">
        <v>296</v>
      </c>
      <c r="CV12" s="43" t="s">
        <v>297</v>
      </c>
      <c r="CW12" s="43" t="s">
        <v>298</v>
      </c>
      <c r="CX12" s="43" t="s">
        <v>299</v>
      </c>
      <c r="CY12" s="43" t="s">
        <v>300</v>
      </c>
      <c r="CZ12" s="43" t="s">
        <v>301</v>
      </c>
      <c r="DA12" s="43" t="s">
        <v>302</v>
      </c>
      <c r="DB12" s="43" t="s">
        <v>303</v>
      </c>
      <c r="DC12" s="43" t="s">
        <v>304</v>
      </c>
      <c r="DD12" s="43" t="s">
        <v>305</v>
      </c>
      <c r="DE12" s="43" t="s">
        <v>306</v>
      </c>
      <c r="DF12" s="43" t="s">
        <v>307</v>
      </c>
      <c r="DG12" s="43" t="s">
        <v>308</v>
      </c>
      <c r="DH12" s="43" t="s">
        <v>309</v>
      </c>
      <c r="DI12" s="43" t="s">
        <v>310</v>
      </c>
      <c r="DJ12" s="43" t="s">
        <v>311</v>
      </c>
      <c r="DK12" s="43" t="s">
        <v>312</v>
      </c>
      <c r="DL12" s="43" t="s">
        <v>313</v>
      </c>
      <c r="DM12" s="43" t="s">
        <v>314</v>
      </c>
      <c r="DN12" s="43" t="s">
        <v>315</v>
      </c>
      <c r="DO12" s="43" t="s">
        <v>316</v>
      </c>
      <c r="DP12" s="43" t="s">
        <v>317</v>
      </c>
      <c r="DQ12" s="43" t="s">
        <v>318</v>
      </c>
      <c r="DR12" s="43" t="s">
        <v>319</v>
      </c>
      <c r="DS12" s="43" t="s">
        <v>320</v>
      </c>
      <c r="DT12" s="43" t="s">
        <v>321</v>
      </c>
      <c r="DU12" s="43" t="s">
        <v>322</v>
      </c>
      <c r="DV12" s="43" t="s">
        <v>323</v>
      </c>
      <c r="DW12" s="43" t="s">
        <v>324</v>
      </c>
      <c r="DX12" s="44" t="s">
        <v>325</v>
      </c>
      <c r="DY12" s="46" t="s">
        <v>326</v>
      </c>
      <c r="DZ12" s="43" t="s">
        <v>327</v>
      </c>
      <c r="EA12" s="43" t="s">
        <v>328</v>
      </c>
      <c r="EB12" s="43" t="s">
        <v>329</v>
      </c>
      <c r="EC12" s="43" t="s">
        <v>330</v>
      </c>
      <c r="ED12" s="43" t="s">
        <v>331</v>
      </c>
      <c r="EE12" s="43" t="s">
        <v>332</v>
      </c>
      <c r="EF12" s="43" t="s">
        <v>333</v>
      </c>
      <c r="EG12" s="43" t="s">
        <v>334</v>
      </c>
      <c r="EH12" s="43" t="s">
        <v>335</v>
      </c>
      <c r="EI12" s="43" t="s">
        <v>336</v>
      </c>
      <c r="EJ12" s="43" t="s">
        <v>337</v>
      </c>
      <c r="EK12" s="43" t="s">
        <v>338</v>
      </c>
      <c r="EL12" s="43" t="s">
        <v>339</v>
      </c>
      <c r="EM12" s="43" t="s">
        <v>340</v>
      </c>
      <c r="EN12" s="43" t="s">
        <v>341</v>
      </c>
      <c r="EO12" s="43" t="s">
        <v>342</v>
      </c>
      <c r="EP12" s="43" t="s">
        <v>343</v>
      </c>
      <c r="EQ12" s="43" t="s">
        <v>344</v>
      </c>
      <c r="ER12" s="43" t="s">
        <v>345</v>
      </c>
      <c r="ES12" s="43" t="s">
        <v>346</v>
      </c>
      <c r="ET12" s="43" t="s">
        <v>347</v>
      </c>
      <c r="EU12" s="43" t="s">
        <v>348</v>
      </c>
      <c r="EV12" s="43" t="s">
        <v>349</v>
      </c>
      <c r="EW12" s="43" t="s">
        <v>350</v>
      </c>
      <c r="EX12" s="43" t="s">
        <v>351</v>
      </c>
      <c r="EY12" s="43" t="s">
        <v>352</v>
      </c>
      <c r="EZ12" s="43" t="s">
        <v>353</v>
      </c>
      <c r="FA12" s="43" t="s">
        <v>354</v>
      </c>
      <c r="FB12" s="43" t="s">
        <v>355</v>
      </c>
      <c r="FC12" s="43" t="s">
        <v>356</v>
      </c>
      <c r="FD12" s="43" t="s">
        <v>357</v>
      </c>
      <c r="FE12" s="43" t="s">
        <v>358</v>
      </c>
      <c r="FF12" s="43" t="s">
        <v>359</v>
      </c>
      <c r="FG12" s="43" t="s">
        <v>360</v>
      </c>
      <c r="FH12" s="43" t="s">
        <v>361</v>
      </c>
      <c r="FI12" s="43" t="s">
        <v>362</v>
      </c>
      <c r="FJ12" s="43" t="s">
        <v>363</v>
      </c>
      <c r="FK12" s="43" t="s">
        <v>364</v>
      </c>
      <c r="FL12" s="43" t="s">
        <v>365</v>
      </c>
      <c r="FM12" s="48" t="s">
        <v>366</v>
      </c>
      <c r="FN12" s="39" t="s">
        <v>367</v>
      </c>
      <c r="FO12" s="40" t="s">
        <v>368</v>
      </c>
      <c r="FP12" s="43" t="s">
        <v>369</v>
      </c>
      <c r="FQ12" s="43" t="s">
        <v>370</v>
      </c>
      <c r="FR12" s="43" t="s">
        <v>371</v>
      </c>
      <c r="FS12" s="43" t="s">
        <v>372</v>
      </c>
      <c r="FT12" s="43" t="s">
        <v>373</v>
      </c>
      <c r="FU12" s="43" t="s">
        <v>374</v>
      </c>
      <c r="FV12" s="43" t="s">
        <v>375</v>
      </c>
      <c r="FW12" s="43" t="s">
        <v>376</v>
      </c>
      <c r="FX12" s="43" t="s">
        <v>377</v>
      </c>
      <c r="FY12" s="43" t="s">
        <v>378</v>
      </c>
      <c r="FZ12" s="43" t="s">
        <v>379</v>
      </c>
      <c r="GA12" s="43" t="s">
        <v>380</v>
      </c>
      <c r="GB12" s="43" t="s">
        <v>381</v>
      </c>
      <c r="GC12" s="43" t="s">
        <v>382</v>
      </c>
      <c r="GD12" s="43" t="s">
        <v>383</v>
      </c>
      <c r="GE12" s="43" t="s">
        <v>384</v>
      </c>
      <c r="GF12" s="43" t="s">
        <v>385</v>
      </c>
      <c r="GG12" s="43" t="s">
        <v>386</v>
      </c>
      <c r="GH12" s="43" t="s">
        <v>387</v>
      </c>
      <c r="GI12" s="43" t="s">
        <v>388</v>
      </c>
      <c r="GJ12" s="43" t="s">
        <v>389</v>
      </c>
      <c r="GK12" s="43" t="s">
        <v>390</v>
      </c>
      <c r="GL12" s="43" t="s">
        <v>391</v>
      </c>
      <c r="GM12" s="43" t="s">
        <v>392</v>
      </c>
      <c r="GN12" s="43" t="s">
        <v>393</v>
      </c>
      <c r="GO12" s="43" t="s">
        <v>394</v>
      </c>
      <c r="GP12" s="43" t="s">
        <v>395</v>
      </c>
      <c r="GQ12" s="43" t="s">
        <v>396</v>
      </c>
      <c r="GR12" s="49" t="s">
        <v>397</v>
      </c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50" t="s">
        <v>398</v>
      </c>
    </row>
    <row r="13" spans="2:211" s="7" customFormat="1" ht="54.9" customHeight="1">
      <c r="B13" s="41"/>
      <c r="C13" s="42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5"/>
      <c r="AS13" s="47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5"/>
      <c r="CI13" s="47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5"/>
      <c r="DY13" s="47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8"/>
      <c r="FN13" s="41"/>
      <c r="FO13" s="42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17" t="s">
        <v>399</v>
      </c>
      <c r="GS13" s="18" t="s">
        <v>400</v>
      </c>
      <c r="GT13" s="18" t="s">
        <v>401</v>
      </c>
      <c r="GU13" s="18" t="s">
        <v>402</v>
      </c>
      <c r="GV13" s="18" t="s">
        <v>403</v>
      </c>
      <c r="GW13" s="18" t="s">
        <v>404</v>
      </c>
      <c r="GX13" s="17" t="s">
        <v>405</v>
      </c>
      <c r="GY13" s="18" t="s">
        <v>734</v>
      </c>
      <c r="GZ13" s="18" t="s">
        <v>735</v>
      </c>
      <c r="HA13" s="18" t="s">
        <v>406</v>
      </c>
      <c r="HB13" s="17" t="s">
        <v>407</v>
      </c>
      <c r="HC13" s="51"/>
    </row>
    <row r="14" spans="2:211" s="7" customFormat="1" ht="17.25" customHeight="1">
      <c r="B14" s="25" t="s">
        <v>4</v>
      </c>
      <c r="C14" s="8" t="s">
        <v>408</v>
      </c>
      <c r="D14" s="27">
        <v>35.651334963894598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710.655965312577</v>
      </c>
      <c r="BR14" s="27">
        <v>0</v>
      </c>
      <c r="BS14" s="27">
        <v>0</v>
      </c>
      <c r="BT14" s="27">
        <v>0</v>
      </c>
      <c r="BU14" s="27">
        <v>140.22313448236901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0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>
        <v>0</v>
      </c>
      <c r="GJ14" s="27">
        <v>0</v>
      </c>
      <c r="GK14" s="27">
        <v>0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4">
        <v>886.53043475884056</v>
      </c>
      <c r="GR14" s="24">
        <v>26.1889740736591</v>
      </c>
      <c r="GS14" s="19">
        <v>25.806380345142198</v>
      </c>
      <c r="GT14" s="19">
        <v>0</v>
      </c>
      <c r="GU14" s="19">
        <v>0.3825937285169026</v>
      </c>
      <c r="GV14" s="19">
        <v>0.3825937285169026</v>
      </c>
      <c r="GW14" s="19">
        <v>0</v>
      </c>
      <c r="GX14" s="24">
        <v>80.81075759523732</v>
      </c>
      <c r="GY14" s="19">
        <v>0</v>
      </c>
      <c r="GZ14" s="19">
        <v>80.81075759523732</v>
      </c>
      <c r="HA14" s="19"/>
      <c r="HB14" s="24">
        <v>0</v>
      </c>
      <c r="HC14" s="24">
        <v>993.53016642773696</v>
      </c>
    </row>
    <row r="15" spans="2:211" s="7" customFormat="1" ht="17.25" customHeight="1">
      <c r="B15" s="26" t="s">
        <v>5</v>
      </c>
      <c r="C15" s="9" t="s">
        <v>409</v>
      </c>
      <c r="D15" s="28">
        <v>0</v>
      </c>
      <c r="E15" s="28">
        <v>81.8753731839453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1428.4728142645199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  <c r="EU15" s="28">
        <v>0</v>
      </c>
      <c r="EV15" s="28">
        <v>0</v>
      </c>
      <c r="EW15" s="28">
        <v>0</v>
      </c>
      <c r="EX15" s="28">
        <v>0</v>
      </c>
      <c r="EY15" s="28">
        <v>0</v>
      </c>
      <c r="EZ15" s="28">
        <v>0</v>
      </c>
      <c r="FA15" s="28">
        <v>0</v>
      </c>
      <c r="FB15" s="28">
        <v>0</v>
      </c>
      <c r="FC15" s="28">
        <v>0</v>
      </c>
      <c r="FD15" s="28">
        <v>0</v>
      </c>
      <c r="FE15" s="28">
        <v>0</v>
      </c>
      <c r="FF15" s="28">
        <v>0</v>
      </c>
      <c r="FG15" s="28">
        <v>0</v>
      </c>
      <c r="FH15" s="28">
        <v>0</v>
      </c>
      <c r="FI15" s="28">
        <v>0</v>
      </c>
      <c r="FJ15" s="28">
        <v>0</v>
      </c>
      <c r="FK15" s="28">
        <v>0</v>
      </c>
      <c r="FL15" s="28">
        <v>0</v>
      </c>
      <c r="FM15" s="28">
        <v>0</v>
      </c>
      <c r="FN15" s="28">
        <v>0</v>
      </c>
      <c r="FO15" s="28">
        <v>0</v>
      </c>
      <c r="FP15" s="28">
        <v>0</v>
      </c>
      <c r="FQ15" s="28">
        <v>0</v>
      </c>
      <c r="FR15" s="28">
        <v>0</v>
      </c>
      <c r="FS15" s="28">
        <v>0</v>
      </c>
      <c r="FT15" s="28">
        <v>0</v>
      </c>
      <c r="FU15" s="28">
        <v>0</v>
      </c>
      <c r="FV15" s="28">
        <v>0</v>
      </c>
      <c r="FW15" s="28">
        <v>0</v>
      </c>
      <c r="FX15" s="28">
        <v>0</v>
      </c>
      <c r="FY15" s="28">
        <v>0</v>
      </c>
      <c r="FZ15" s="28">
        <v>0</v>
      </c>
      <c r="GA15" s="28">
        <v>0</v>
      </c>
      <c r="GB15" s="28">
        <v>0</v>
      </c>
      <c r="GC15" s="28">
        <v>0</v>
      </c>
      <c r="GD15" s="28">
        <v>0</v>
      </c>
      <c r="GE15" s="28">
        <v>0</v>
      </c>
      <c r="GF15" s="28">
        <v>0</v>
      </c>
      <c r="GG15" s="28">
        <v>0</v>
      </c>
      <c r="GH15" s="28">
        <v>0</v>
      </c>
      <c r="GI15" s="28">
        <v>0</v>
      </c>
      <c r="GJ15" s="28">
        <v>0</v>
      </c>
      <c r="GK15" s="28">
        <v>0</v>
      </c>
      <c r="GL15" s="28">
        <v>0</v>
      </c>
      <c r="GM15" s="28">
        <v>0</v>
      </c>
      <c r="GN15" s="28">
        <v>0</v>
      </c>
      <c r="GO15" s="28">
        <v>0</v>
      </c>
      <c r="GP15" s="28">
        <v>0</v>
      </c>
      <c r="GQ15" s="21">
        <v>1510.3481874484653</v>
      </c>
      <c r="GR15" s="21">
        <v>0</v>
      </c>
      <c r="GS15" s="20">
        <v>0</v>
      </c>
      <c r="GT15" s="20">
        <v>0</v>
      </c>
      <c r="GU15" s="20">
        <v>0</v>
      </c>
      <c r="GV15" s="20">
        <v>0</v>
      </c>
      <c r="GW15" s="20">
        <v>0</v>
      </c>
      <c r="GX15" s="21">
        <v>-19.831377867519368</v>
      </c>
      <c r="GY15" s="20">
        <v>0</v>
      </c>
      <c r="GZ15" s="20">
        <v>-19.831377867519368</v>
      </c>
      <c r="HA15" s="20"/>
      <c r="HB15" s="21">
        <v>0</v>
      </c>
      <c r="HC15" s="21">
        <v>1490.5168095809458</v>
      </c>
    </row>
    <row r="16" spans="2:211" s="7" customFormat="1" ht="17.25" customHeight="1">
      <c r="B16" s="26" t="s">
        <v>6</v>
      </c>
      <c r="C16" s="9" t="s">
        <v>410</v>
      </c>
      <c r="D16" s="28">
        <v>0</v>
      </c>
      <c r="E16" s="28">
        <v>0</v>
      </c>
      <c r="F16" s="28">
        <v>170.47898434002701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0.187749408040191</v>
      </c>
      <c r="Q16" s="28">
        <v>0</v>
      </c>
      <c r="R16" s="28">
        <v>0</v>
      </c>
      <c r="S16" s="28">
        <v>1.45032338843181E-2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0.74199733569874105</v>
      </c>
      <c r="AF16" s="28">
        <v>519.550061683678</v>
      </c>
      <c r="AG16" s="28">
        <v>292.940469057965</v>
      </c>
      <c r="AH16" s="28">
        <v>0</v>
      </c>
      <c r="AI16" s="28">
        <v>0</v>
      </c>
      <c r="AJ16" s="28">
        <v>0</v>
      </c>
      <c r="AK16" s="28">
        <v>0</v>
      </c>
      <c r="AL16" s="28">
        <v>754.827787452493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42.163399899434999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141.07786240834801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36.318695817821499</v>
      </c>
      <c r="CN16" s="28">
        <v>15.4200496673584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  <c r="EU16" s="28">
        <v>0</v>
      </c>
      <c r="EV16" s="28">
        <v>0</v>
      </c>
      <c r="EW16" s="28">
        <v>0</v>
      </c>
      <c r="EX16" s="28">
        <v>0</v>
      </c>
      <c r="EY16" s="28">
        <v>0</v>
      </c>
      <c r="EZ16" s="28">
        <v>0</v>
      </c>
      <c r="FA16" s="28">
        <v>0</v>
      </c>
      <c r="FB16" s="28">
        <v>0</v>
      </c>
      <c r="FC16" s="28">
        <v>0</v>
      </c>
      <c r="FD16" s="28">
        <v>0</v>
      </c>
      <c r="FE16" s="28">
        <v>0</v>
      </c>
      <c r="FF16" s="28">
        <v>0</v>
      </c>
      <c r="FG16" s="28">
        <v>0</v>
      </c>
      <c r="FH16" s="28">
        <v>0</v>
      </c>
      <c r="FI16" s="28">
        <v>0</v>
      </c>
      <c r="FJ16" s="28">
        <v>0</v>
      </c>
      <c r="FK16" s="28">
        <v>0</v>
      </c>
      <c r="FL16" s="28">
        <v>0</v>
      </c>
      <c r="FM16" s="28">
        <v>0</v>
      </c>
      <c r="FN16" s="28">
        <v>0</v>
      </c>
      <c r="FO16" s="28">
        <v>0</v>
      </c>
      <c r="FP16" s="28">
        <v>0</v>
      </c>
      <c r="FQ16" s="28">
        <v>0</v>
      </c>
      <c r="FR16" s="28">
        <v>0</v>
      </c>
      <c r="FS16" s="28">
        <v>0.94275379028288797</v>
      </c>
      <c r="FT16" s="28">
        <v>74.923783363247395</v>
      </c>
      <c r="FU16" s="28">
        <v>0</v>
      </c>
      <c r="FV16" s="28">
        <v>0</v>
      </c>
      <c r="FW16" s="28">
        <v>0</v>
      </c>
      <c r="FX16" s="28">
        <v>0</v>
      </c>
      <c r="FY16" s="28">
        <v>0</v>
      </c>
      <c r="FZ16" s="28">
        <v>0</v>
      </c>
      <c r="GA16" s="28">
        <v>0</v>
      </c>
      <c r="GB16" s="28">
        <v>0</v>
      </c>
      <c r="GC16" s="28">
        <v>0</v>
      </c>
      <c r="GD16" s="28">
        <v>0</v>
      </c>
      <c r="GE16" s="28">
        <v>0</v>
      </c>
      <c r="GF16" s="28">
        <v>0</v>
      </c>
      <c r="GG16" s="28">
        <v>22.628921033279099</v>
      </c>
      <c r="GH16" s="28">
        <v>0</v>
      </c>
      <c r="GI16" s="28">
        <v>1.0240236024520499</v>
      </c>
      <c r="GJ16" s="28">
        <v>0.27908704748783703</v>
      </c>
      <c r="GK16" s="28">
        <v>11.1708075504731</v>
      </c>
      <c r="GL16" s="28">
        <v>0</v>
      </c>
      <c r="GM16" s="28">
        <v>0</v>
      </c>
      <c r="GN16" s="28">
        <v>0</v>
      </c>
      <c r="GO16" s="28">
        <v>0</v>
      </c>
      <c r="GP16" s="28">
        <v>0</v>
      </c>
      <c r="GQ16" s="21">
        <v>2084.6909366919758</v>
      </c>
      <c r="GR16" s="21">
        <v>73.994489763369103</v>
      </c>
      <c r="GS16" s="20">
        <v>72.01680726090737</v>
      </c>
      <c r="GT16" s="20">
        <v>0</v>
      </c>
      <c r="GU16" s="20">
        <v>1.9776825024617297</v>
      </c>
      <c r="GV16" s="20">
        <v>1.9776825024617297</v>
      </c>
      <c r="GW16" s="20">
        <v>0</v>
      </c>
      <c r="GX16" s="21">
        <v>285.38900640154191</v>
      </c>
      <c r="GY16" s="20">
        <v>0</v>
      </c>
      <c r="GZ16" s="20">
        <v>285.38900640154191</v>
      </c>
      <c r="HA16" s="20"/>
      <c r="HB16" s="21">
        <v>152.37857050080001</v>
      </c>
      <c r="HC16" s="21">
        <v>2596.4530033576866</v>
      </c>
    </row>
    <row r="17" spans="2:211" s="7" customFormat="1" ht="17.25" customHeight="1">
      <c r="B17" s="26" t="s">
        <v>7</v>
      </c>
      <c r="C17" s="9" t="s">
        <v>411</v>
      </c>
      <c r="D17" s="28">
        <v>0</v>
      </c>
      <c r="E17" s="28">
        <v>0</v>
      </c>
      <c r="F17" s="28">
        <v>0</v>
      </c>
      <c r="G17" s="28">
        <v>37.800652555419497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333.79478967418299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  <c r="EU17" s="28">
        <v>0</v>
      </c>
      <c r="EV17" s="28">
        <v>0</v>
      </c>
      <c r="EW17" s="28">
        <v>0</v>
      </c>
      <c r="EX17" s="28">
        <v>0</v>
      </c>
      <c r="EY17" s="28">
        <v>0</v>
      </c>
      <c r="EZ17" s="28">
        <v>0</v>
      </c>
      <c r="FA17" s="28">
        <v>0</v>
      </c>
      <c r="FB17" s="28">
        <v>0</v>
      </c>
      <c r="FC17" s="28">
        <v>0</v>
      </c>
      <c r="FD17" s="28">
        <v>0</v>
      </c>
      <c r="FE17" s="28">
        <v>0</v>
      </c>
      <c r="FF17" s="28">
        <v>0</v>
      </c>
      <c r="FG17" s="28">
        <v>0</v>
      </c>
      <c r="FH17" s="28">
        <v>0</v>
      </c>
      <c r="FI17" s="28">
        <v>0</v>
      </c>
      <c r="FJ17" s="28">
        <v>0</v>
      </c>
      <c r="FK17" s="28">
        <v>0</v>
      </c>
      <c r="FL17" s="28">
        <v>0</v>
      </c>
      <c r="FM17" s="28">
        <v>0</v>
      </c>
      <c r="FN17" s="28">
        <v>0</v>
      </c>
      <c r="FO17" s="28">
        <v>0</v>
      </c>
      <c r="FP17" s="28">
        <v>0</v>
      </c>
      <c r="FQ17" s="28">
        <v>0</v>
      </c>
      <c r="FR17" s="28">
        <v>0</v>
      </c>
      <c r="FS17" s="28">
        <v>0</v>
      </c>
      <c r="FT17" s="28">
        <v>0</v>
      </c>
      <c r="FU17" s="28">
        <v>0</v>
      </c>
      <c r="FV17" s="28">
        <v>0</v>
      </c>
      <c r="FW17" s="28">
        <v>0</v>
      </c>
      <c r="FX17" s="28">
        <v>0</v>
      </c>
      <c r="FY17" s="28">
        <v>0</v>
      </c>
      <c r="FZ17" s="28">
        <v>0</v>
      </c>
      <c r="GA17" s="28">
        <v>0</v>
      </c>
      <c r="GB17" s="28">
        <v>0</v>
      </c>
      <c r="GC17" s="28">
        <v>0</v>
      </c>
      <c r="GD17" s="28">
        <v>0</v>
      </c>
      <c r="GE17" s="28">
        <v>0</v>
      </c>
      <c r="GF17" s="28">
        <v>0</v>
      </c>
      <c r="GG17" s="28">
        <v>0</v>
      </c>
      <c r="GH17" s="28">
        <v>0</v>
      </c>
      <c r="GI17" s="28">
        <v>0</v>
      </c>
      <c r="GJ17" s="28">
        <v>0</v>
      </c>
      <c r="GK17" s="28">
        <v>0</v>
      </c>
      <c r="GL17" s="28">
        <v>0</v>
      </c>
      <c r="GM17" s="28">
        <v>0</v>
      </c>
      <c r="GN17" s="28">
        <v>0</v>
      </c>
      <c r="GO17" s="28">
        <v>0</v>
      </c>
      <c r="GP17" s="28">
        <v>0</v>
      </c>
      <c r="GQ17" s="21">
        <v>371.5954422296025</v>
      </c>
      <c r="GR17" s="21">
        <v>8.0836822774461901</v>
      </c>
      <c r="GS17" s="20">
        <v>8.0836822774461901</v>
      </c>
      <c r="GT17" s="20">
        <v>0</v>
      </c>
      <c r="GU17" s="20">
        <v>0</v>
      </c>
      <c r="GV17" s="20">
        <v>0</v>
      </c>
      <c r="GW17" s="20">
        <v>0</v>
      </c>
      <c r="GX17" s="21">
        <v>1.6794244059558747</v>
      </c>
      <c r="GY17" s="20">
        <v>0</v>
      </c>
      <c r="GZ17" s="20">
        <v>1.6794244059558747</v>
      </c>
      <c r="HA17" s="20"/>
      <c r="HB17" s="21">
        <v>0</v>
      </c>
      <c r="HC17" s="21">
        <v>381.3585489130046</v>
      </c>
    </row>
    <row r="18" spans="2:211" s="7" customFormat="1" ht="17.25" customHeight="1">
      <c r="B18" s="26" t="s">
        <v>8</v>
      </c>
      <c r="C18" s="9" t="s">
        <v>412</v>
      </c>
      <c r="D18" s="28">
        <v>0</v>
      </c>
      <c r="E18" s="28">
        <v>0</v>
      </c>
      <c r="F18" s="28">
        <v>0</v>
      </c>
      <c r="G18" s="28">
        <v>0</v>
      </c>
      <c r="H18" s="28">
        <v>130.09989594717999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0.20203563695443699</v>
      </c>
      <c r="AF18" s="28">
        <v>475.15289128168899</v>
      </c>
      <c r="AG18" s="28">
        <v>148.780450911087</v>
      </c>
      <c r="AH18" s="28">
        <v>0</v>
      </c>
      <c r="AI18" s="28">
        <v>0</v>
      </c>
      <c r="AJ18" s="28">
        <v>0</v>
      </c>
      <c r="AK18" s="28">
        <v>0</v>
      </c>
      <c r="AL18" s="28">
        <v>297.82321566730502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4.3157573549591604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17.0394319577141</v>
      </c>
      <c r="CH18" s="28">
        <v>0</v>
      </c>
      <c r="CI18" s="28">
        <v>5.9592299461364702</v>
      </c>
      <c r="CJ18" s="28">
        <v>0</v>
      </c>
      <c r="CK18" s="28">
        <v>0</v>
      </c>
      <c r="CL18" s="28">
        <v>9.8806529122791797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  <c r="EU18" s="28">
        <v>0</v>
      </c>
      <c r="EV18" s="28">
        <v>0</v>
      </c>
      <c r="EW18" s="28">
        <v>0</v>
      </c>
      <c r="EX18" s="28">
        <v>0</v>
      </c>
      <c r="EY18" s="28">
        <v>0</v>
      </c>
      <c r="EZ18" s="28">
        <v>0</v>
      </c>
      <c r="FA18" s="28">
        <v>0</v>
      </c>
      <c r="FB18" s="28">
        <v>0</v>
      </c>
      <c r="FC18" s="28">
        <v>0</v>
      </c>
      <c r="FD18" s="28">
        <v>0</v>
      </c>
      <c r="FE18" s="28">
        <v>0</v>
      </c>
      <c r="FF18" s="28">
        <v>0</v>
      </c>
      <c r="FG18" s="28">
        <v>0</v>
      </c>
      <c r="FH18" s="28">
        <v>0</v>
      </c>
      <c r="FI18" s="28">
        <v>0</v>
      </c>
      <c r="FJ18" s="28">
        <v>0</v>
      </c>
      <c r="FK18" s="28">
        <v>0</v>
      </c>
      <c r="FL18" s="28">
        <v>0</v>
      </c>
      <c r="FM18" s="28">
        <v>0</v>
      </c>
      <c r="FN18" s="28">
        <v>0</v>
      </c>
      <c r="FO18" s="28">
        <v>0</v>
      </c>
      <c r="FP18" s="28">
        <v>0</v>
      </c>
      <c r="FQ18" s="28">
        <v>0</v>
      </c>
      <c r="FR18" s="28">
        <v>0</v>
      </c>
      <c r="FS18" s="28">
        <v>0</v>
      </c>
      <c r="FT18" s="28">
        <v>0</v>
      </c>
      <c r="FU18" s="28">
        <v>0</v>
      </c>
      <c r="FV18" s="28">
        <v>0</v>
      </c>
      <c r="FW18" s="28">
        <v>0</v>
      </c>
      <c r="FX18" s="28">
        <v>0</v>
      </c>
      <c r="FY18" s="28">
        <v>0</v>
      </c>
      <c r="FZ18" s="28">
        <v>0</v>
      </c>
      <c r="GA18" s="28">
        <v>0</v>
      </c>
      <c r="GB18" s="28">
        <v>0</v>
      </c>
      <c r="GC18" s="28">
        <v>0</v>
      </c>
      <c r="GD18" s="28">
        <v>0</v>
      </c>
      <c r="GE18" s="28">
        <v>0</v>
      </c>
      <c r="GF18" s="28">
        <v>0</v>
      </c>
      <c r="GG18" s="28">
        <v>7.8767366068999696</v>
      </c>
      <c r="GH18" s="28">
        <v>0</v>
      </c>
      <c r="GI18" s="28">
        <v>0</v>
      </c>
      <c r="GJ18" s="28">
        <v>0.13954352374391801</v>
      </c>
      <c r="GK18" s="28">
        <v>0</v>
      </c>
      <c r="GL18" s="28">
        <v>0</v>
      </c>
      <c r="GM18" s="28">
        <v>0</v>
      </c>
      <c r="GN18" s="28">
        <v>0</v>
      </c>
      <c r="GO18" s="28">
        <v>0</v>
      </c>
      <c r="GP18" s="28">
        <v>0</v>
      </c>
      <c r="GQ18" s="21">
        <v>1097.2698417459483</v>
      </c>
      <c r="GR18" s="21">
        <v>76.5375966367655</v>
      </c>
      <c r="GS18" s="20">
        <v>76.485970360568459</v>
      </c>
      <c r="GT18" s="20">
        <v>0</v>
      </c>
      <c r="GU18" s="20">
        <v>5.1626276197040716E-2</v>
      </c>
      <c r="GV18" s="20">
        <v>5.1626276197040716E-2</v>
      </c>
      <c r="GW18" s="20">
        <v>0</v>
      </c>
      <c r="GX18" s="21">
        <v>82.949407119743782</v>
      </c>
      <c r="GY18" s="20">
        <v>0</v>
      </c>
      <c r="GZ18" s="20">
        <v>82.949407119743782</v>
      </c>
      <c r="HA18" s="20"/>
      <c r="HB18" s="21">
        <v>25.710098224799999</v>
      </c>
      <c r="HC18" s="21">
        <v>1282.4669437272576</v>
      </c>
    </row>
    <row r="19" spans="2:211" s="7" customFormat="1" ht="17.25" customHeight="1">
      <c r="B19" s="26" t="s">
        <v>9</v>
      </c>
      <c r="C19" s="9" t="s">
        <v>413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112.722962185543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1.5038669541250899E-2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5.6873570206721999E-2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12.8724727630615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  <c r="EU19" s="28">
        <v>0</v>
      </c>
      <c r="EV19" s="28">
        <v>0</v>
      </c>
      <c r="EW19" s="28">
        <v>0</v>
      </c>
      <c r="EX19" s="28">
        <v>0</v>
      </c>
      <c r="EY19" s="28">
        <v>0</v>
      </c>
      <c r="EZ19" s="28">
        <v>0</v>
      </c>
      <c r="FA19" s="28">
        <v>0</v>
      </c>
      <c r="FB19" s="28">
        <v>0</v>
      </c>
      <c r="FC19" s="28">
        <v>0</v>
      </c>
      <c r="FD19" s="28">
        <v>0</v>
      </c>
      <c r="FE19" s="28">
        <v>0</v>
      </c>
      <c r="FF19" s="28">
        <v>0</v>
      </c>
      <c r="FG19" s="28">
        <v>0</v>
      </c>
      <c r="FH19" s="28">
        <v>0</v>
      </c>
      <c r="FI19" s="28">
        <v>0</v>
      </c>
      <c r="FJ19" s="28">
        <v>0</v>
      </c>
      <c r="FK19" s="28">
        <v>0</v>
      </c>
      <c r="FL19" s="28">
        <v>0</v>
      </c>
      <c r="FM19" s="28">
        <v>0</v>
      </c>
      <c r="FN19" s="28">
        <v>0</v>
      </c>
      <c r="FO19" s="28">
        <v>0</v>
      </c>
      <c r="FP19" s="28">
        <v>0</v>
      </c>
      <c r="FQ19" s="28">
        <v>0</v>
      </c>
      <c r="FR19" s="28">
        <v>0</v>
      </c>
      <c r="FS19" s="28">
        <v>1.10587628079001</v>
      </c>
      <c r="FT19" s="28">
        <v>87.887670930076396</v>
      </c>
      <c r="FU19" s="28">
        <v>0</v>
      </c>
      <c r="FV19" s="28">
        <v>0</v>
      </c>
      <c r="FW19" s="28">
        <v>0</v>
      </c>
      <c r="FX19" s="28">
        <v>0</v>
      </c>
      <c r="FY19" s="28">
        <v>0</v>
      </c>
      <c r="FZ19" s="28">
        <v>0</v>
      </c>
      <c r="GA19" s="28">
        <v>0</v>
      </c>
      <c r="GB19" s="28">
        <v>0</v>
      </c>
      <c r="GC19" s="28">
        <v>0</v>
      </c>
      <c r="GD19" s="28">
        <v>0</v>
      </c>
      <c r="GE19" s="28">
        <v>0</v>
      </c>
      <c r="GF19" s="28">
        <v>0</v>
      </c>
      <c r="GG19" s="28">
        <v>7.2724531240488703</v>
      </c>
      <c r="GH19" s="28">
        <v>0</v>
      </c>
      <c r="GI19" s="28">
        <v>0</v>
      </c>
      <c r="GJ19" s="28">
        <v>0.55817409497567405</v>
      </c>
      <c r="GK19" s="28">
        <v>0</v>
      </c>
      <c r="GL19" s="28">
        <v>0</v>
      </c>
      <c r="GM19" s="28">
        <v>0</v>
      </c>
      <c r="GN19" s="28">
        <v>0</v>
      </c>
      <c r="GO19" s="28">
        <v>0</v>
      </c>
      <c r="GP19" s="28">
        <v>0</v>
      </c>
      <c r="GQ19" s="21">
        <v>222.49152161824313</v>
      </c>
      <c r="GR19" s="21">
        <v>1179.8458895792201</v>
      </c>
      <c r="GS19" s="20">
        <v>1175.6669130508233</v>
      </c>
      <c r="GT19" s="20">
        <v>0</v>
      </c>
      <c r="GU19" s="20">
        <v>4.1789765283967784</v>
      </c>
      <c r="GV19" s="20">
        <v>4.1789765283967784</v>
      </c>
      <c r="GW19" s="20">
        <v>0</v>
      </c>
      <c r="GX19" s="21">
        <v>83.478672116911127</v>
      </c>
      <c r="GY19" s="20">
        <v>0</v>
      </c>
      <c r="GZ19" s="20">
        <v>83.478672116911127</v>
      </c>
      <c r="HA19" s="20"/>
      <c r="HB19" s="21">
        <v>102.816508476</v>
      </c>
      <c r="HC19" s="21">
        <v>1588.6325917903744</v>
      </c>
    </row>
    <row r="20" spans="2:211" s="7" customFormat="1" ht="17.25" customHeight="1">
      <c r="B20" s="26" t="s">
        <v>10</v>
      </c>
      <c r="C20" s="9" t="s">
        <v>414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21.353455892585799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1.0330612703130199E-2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5.74858127060753E-2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21.3858190452843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  <c r="EU20" s="28">
        <v>0</v>
      </c>
      <c r="EV20" s="28">
        <v>0</v>
      </c>
      <c r="EW20" s="28">
        <v>0</v>
      </c>
      <c r="EX20" s="28">
        <v>0</v>
      </c>
      <c r="EY20" s="28">
        <v>0</v>
      </c>
      <c r="EZ20" s="28">
        <v>0</v>
      </c>
      <c r="FA20" s="28">
        <v>0</v>
      </c>
      <c r="FB20" s="28">
        <v>0</v>
      </c>
      <c r="FC20" s="28">
        <v>0</v>
      </c>
      <c r="FD20" s="28">
        <v>0</v>
      </c>
      <c r="FE20" s="28">
        <v>0</v>
      </c>
      <c r="FF20" s="28">
        <v>0</v>
      </c>
      <c r="FG20" s="28">
        <v>0</v>
      </c>
      <c r="FH20" s="28">
        <v>0</v>
      </c>
      <c r="FI20" s="28">
        <v>0</v>
      </c>
      <c r="FJ20" s="28">
        <v>0</v>
      </c>
      <c r="FK20" s="28">
        <v>0</v>
      </c>
      <c r="FL20" s="28">
        <v>0</v>
      </c>
      <c r="FM20" s="28">
        <v>0</v>
      </c>
      <c r="FN20" s="28">
        <v>0</v>
      </c>
      <c r="FO20" s="28">
        <v>0</v>
      </c>
      <c r="FP20" s="28">
        <v>0</v>
      </c>
      <c r="FQ20" s="28">
        <v>0</v>
      </c>
      <c r="FR20" s="28">
        <v>0</v>
      </c>
      <c r="FS20" s="28">
        <v>0.75380775281311596</v>
      </c>
      <c r="FT20" s="28">
        <v>71.672915787712299</v>
      </c>
      <c r="FU20" s="28">
        <v>0</v>
      </c>
      <c r="FV20" s="28">
        <v>0</v>
      </c>
      <c r="FW20" s="28">
        <v>0</v>
      </c>
      <c r="FX20" s="28">
        <v>0</v>
      </c>
      <c r="FY20" s="28">
        <v>0</v>
      </c>
      <c r="FZ20" s="28">
        <v>0</v>
      </c>
      <c r="GA20" s="28">
        <v>0</v>
      </c>
      <c r="GB20" s="28">
        <v>0</v>
      </c>
      <c r="GC20" s="28">
        <v>0</v>
      </c>
      <c r="GD20" s="28">
        <v>0</v>
      </c>
      <c r="GE20" s="28">
        <v>0</v>
      </c>
      <c r="GF20" s="28">
        <v>0</v>
      </c>
      <c r="GG20" s="28">
        <v>1.9789478153667901</v>
      </c>
      <c r="GH20" s="28">
        <v>0.120810475575372</v>
      </c>
      <c r="GI20" s="28">
        <v>0.371849793616786</v>
      </c>
      <c r="GJ20" s="28">
        <v>0.22308677911198699</v>
      </c>
      <c r="GK20" s="28">
        <v>4.0564128328973403</v>
      </c>
      <c r="GL20" s="28">
        <v>0</v>
      </c>
      <c r="GM20" s="28">
        <v>0</v>
      </c>
      <c r="GN20" s="28">
        <v>0</v>
      </c>
      <c r="GO20" s="28">
        <v>0</v>
      </c>
      <c r="GP20" s="28">
        <v>0</v>
      </c>
      <c r="GQ20" s="21">
        <v>121.98492260037305</v>
      </c>
      <c r="GR20" s="21">
        <v>283.78495022287001</v>
      </c>
      <c r="GS20" s="20">
        <v>283.77016144583439</v>
      </c>
      <c r="GT20" s="20">
        <v>0</v>
      </c>
      <c r="GU20" s="20">
        <v>1.4788777035610622E-2</v>
      </c>
      <c r="GV20" s="20">
        <v>1.4788777035610622E-2</v>
      </c>
      <c r="GW20" s="20">
        <v>0</v>
      </c>
      <c r="GX20" s="21">
        <v>2.0467916794236078</v>
      </c>
      <c r="GY20" s="20">
        <v>0</v>
      </c>
      <c r="GZ20" s="20">
        <v>2.0467916794236078</v>
      </c>
      <c r="HA20" s="20"/>
      <c r="HB20" s="21">
        <v>1.2251946216</v>
      </c>
      <c r="HC20" s="21">
        <v>409.04185912426669</v>
      </c>
    </row>
    <row r="21" spans="2:211" s="7" customFormat="1" ht="17.25" customHeight="1">
      <c r="B21" s="26" t="s">
        <v>11</v>
      </c>
      <c r="C21" s="9" t="s">
        <v>415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7.0185667129046596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5.2536557823567601E-2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2.1513014805436499E-2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1.0970236898133601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  <c r="EU21" s="28">
        <v>0</v>
      </c>
      <c r="EV21" s="28">
        <v>0</v>
      </c>
      <c r="EW21" s="28">
        <v>0</v>
      </c>
      <c r="EX21" s="28">
        <v>0</v>
      </c>
      <c r="EY21" s="28">
        <v>0</v>
      </c>
      <c r="EZ21" s="28">
        <v>0</v>
      </c>
      <c r="FA21" s="28">
        <v>0</v>
      </c>
      <c r="FB21" s="28">
        <v>0</v>
      </c>
      <c r="FC21" s="28">
        <v>0</v>
      </c>
      <c r="FD21" s="28">
        <v>0</v>
      </c>
      <c r="FE21" s="28">
        <v>0</v>
      </c>
      <c r="FF21" s="28">
        <v>0</v>
      </c>
      <c r="FG21" s="28">
        <v>0</v>
      </c>
      <c r="FH21" s="28">
        <v>0</v>
      </c>
      <c r="FI21" s="28">
        <v>0</v>
      </c>
      <c r="FJ21" s="28">
        <v>0</v>
      </c>
      <c r="FK21" s="28">
        <v>0</v>
      </c>
      <c r="FL21" s="28">
        <v>0</v>
      </c>
      <c r="FM21" s="28">
        <v>0</v>
      </c>
      <c r="FN21" s="28">
        <v>0</v>
      </c>
      <c r="FO21" s="28">
        <v>0</v>
      </c>
      <c r="FP21" s="28">
        <v>0</v>
      </c>
      <c r="FQ21" s="28">
        <v>0</v>
      </c>
      <c r="FR21" s="28">
        <v>0</v>
      </c>
      <c r="FS21" s="28">
        <v>0.25934273927578</v>
      </c>
      <c r="FT21" s="28">
        <v>16.407188826155298</v>
      </c>
      <c r="FU21" s="28">
        <v>0</v>
      </c>
      <c r="FV21" s="28">
        <v>0</v>
      </c>
      <c r="FW21" s="28">
        <v>0</v>
      </c>
      <c r="FX21" s="28">
        <v>0</v>
      </c>
      <c r="FY21" s="28">
        <v>0</v>
      </c>
      <c r="FZ21" s="28">
        <v>0</v>
      </c>
      <c r="GA21" s="28">
        <v>0</v>
      </c>
      <c r="GB21" s="28">
        <v>0</v>
      </c>
      <c r="GC21" s="28">
        <v>0</v>
      </c>
      <c r="GD21" s="28">
        <v>0</v>
      </c>
      <c r="GE21" s="28">
        <v>0</v>
      </c>
      <c r="GF21" s="28">
        <v>0</v>
      </c>
      <c r="GG21" s="28">
        <v>1.46965701969901</v>
      </c>
      <c r="GH21" s="28">
        <v>0</v>
      </c>
      <c r="GI21" s="28">
        <v>0.51615026189990898</v>
      </c>
      <c r="GJ21" s="28">
        <v>0.72924692769250898</v>
      </c>
      <c r="GK21" s="28">
        <v>5.6305491680111501</v>
      </c>
      <c r="GL21" s="28">
        <v>0</v>
      </c>
      <c r="GM21" s="28">
        <v>0</v>
      </c>
      <c r="GN21" s="28">
        <v>0</v>
      </c>
      <c r="GO21" s="28">
        <v>0</v>
      </c>
      <c r="GP21" s="28">
        <v>0</v>
      </c>
      <c r="GQ21" s="21">
        <v>33.201774918080694</v>
      </c>
      <c r="GR21" s="21">
        <v>49.563171771996302</v>
      </c>
      <c r="GS21" s="20">
        <v>49.563171771996302</v>
      </c>
      <c r="GT21" s="20">
        <v>0</v>
      </c>
      <c r="GU21" s="20">
        <v>0</v>
      </c>
      <c r="GV21" s="20">
        <v>0</v>
      </c>
      <c r="GW21" s="20">
        <v>0</v>
      </c>
      <c r="GX21" s="21">
        <v>-0.25932922360254895</v>
      </c>
      <c r="GY21" s="20">
        <v>0</v>
      </c>
      <c r="GZ21" s="20">
        <v>-0.25932922360254895</v>
      </c>
      <c r="HA21" s="20"/>
      <c r="HB21" s="21">
        <v>1.9455288E-3</v>
      </c>
      <c r="HC21" s="21">
        <v>82.507562995274441</v>
      </c>
    </row>
    <row r="22" spans="2:211" s="7" customFormat="1" ht="17.25" customHeight="1">
      <c r="B22" s="26" t="s">
        <v>12</v>
      </c>
      <c r="C22" s="9" t="s">
        <v>416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20.096925701677598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0.17753731213424501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3.7483734267905099E-2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0.997505962848663</v>
      </c>
      <c r="CJ22" s="28">
        <v>0</v>
      </c>
      <c r="CK22" s="28">
        <v>0</v>
      </c>
      <c r="CL22" s="28">
        <v>1.0611040263946001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  <c r="EU22" s="28">
        <v>0</v>
      </c>
      <c r="EV22" s="28">
        <v>0</v>
      </c>
      <c r="EW22" s="28">
        <v>0</v>
      </c>
      <c r="EX22" s="28">
        <v>0</v>
      </c>
      <c r="EY22" s="28">
        <v>0</v>
      </c>
      <c r="EZ22" s="28">
        <v>0</v>
      </c>
      <c r="FA22" s="28">
        <v>0</v>
      </c>
      <c r="FB22" s="28">
        <v>0</v>
      </c>
      <c r="FC22" s="28">
        <v>0</v>
      </c>
      <c r="FD22" s="28">
        <v>0</v>
      </c>
      <c r="FE22" s="28">
        <v>0</v>
      </c>
      <c r="FF22" s="28">
        <v>0</v>
      </c>
      <c r="FG22" s="28">
        <v>0</v>
      </c>
      <c r="FH22" s="28">
        <v>0</v>
      </c>
      <c r="FI22" s="28">
        <v>0</v>
      </c>
      <c r="FJ22" s="28">
        <v>0</v>
      </c>
      <c r="FK22" s="28">
        <v>0</v>
      </c>
      <c r="FL22" s="28">
        <v>0</v>
      </c>
      <c r="FM22" s="28">
        <v>0</v>
      </c>
      <c r="FN22" s="28">
        <v>0</v>
      </c>
      <c r="FO22" s="28">
        <v>0</v>
      </c>
      <c r="FP22" s="28">
        <v>0</v>
      </c>
      <c r="FQ22" s="28">
        <v>0</v>
      </c>
      <c r="FR22" s="28">
        <v>0</v>
      </c>
      <c r="FS22" s="28">
        <v>1.9697511021599301</v>
      </c>
      <c r="FT22" s="28">
        <v>153.823118317085</v>
      </c>
      <c r="FU22" s="28">
        <v>0</v>
      </c>
      <c r="FV22" s="28">
        <v>0</v>
      </c>
      <c r="FW22" s="28">
        <v>0</v>
      </c>
      <c r="FX22" s="28">
        <v>0</v>
      </c>
      <c r="FY22" s="28">
        <v>0</v>
      </c>
      <c r="FZ22" s="28">
        <v>0</v>
      </c>
      <c r="GA22" s="28">
        <v>0</v>
      </c>
      <c r="GB22" s="28">
        <v>0</v>
      </c>
      <c r="GC22" s="28">
        <v>0</v>
      </c>
      <c r="GD22" s="28">
        <v>0</v>
      </c>
      <c r="GE22" s="28">
        <v>0</v>
      </c>
      <c r="GF22" s="28">
        <v>0</v>
      </c>
      <c r="GG22" s="28">
        <v>2.83186350195448</v>
      </c>
      <c r="GH22" s="28">
        <v>0</v>
      </c>
      <c r="GI22" s="28">
        <v>2.5399290122146501</v>
      </c>
      <c r="GJ22" s="28">
        <v>0.224954143113722</v>
      </c>
      <c r="GK22" s="28">
        <v>1.3670473202545399</v>
      </c>
      <c r="GL22" s="28">
        <v>0</v>
      </c>
      <c r="GM22" s="28">
        <v>0</v>
      </c>
      <c r="GN22" s="28">
        <v>0</v>
      </c>
      <c r="GO22" s="28">
        <v>0</v>
      </c>
      <c r="GP22" s="28">
        <v>0</v>
      </c>
      <c r="GQ22" s="21">
        <v>185.12722013410536</v>
      </c>
      <c r="GR22" s="21">
        <v>322.36932408860298</v>
      </c>
      <c r="GS22" s="20">
        <v>317.69122420933809</v>
      </c>
      <c r="GT22" s="20">
        <v>0</v>
      </c>
      <c r="GU22" s="20">
        <v>4.6780998792648969</v>
      </c>
      <c r="GV22" s="20">
        <v>4.6780998792648969</v>
      </c>
      <c r="GW22" s="20">
        <v>0</v>
      </c>
      <c r="GX22" s="21">
        <v>7.6529600381167828</v>
      </c>
      <c r="GY22" s="20">
        <v>0</v>
      </c>
      <c r="GZ22" s="20">
        <v>7.6529600381167828</v>
      </c>
      <c r="HA22" s="20"/>
      <c r="HB22" s="21">
        <v>3.5472577512000001</v>
      </c>
      <c r="HC22" s="21">
        <v>518.69676201202515</v>
      </c>
    </row>
    <row r="23" spans="2:211" s="7" customFormat="1" ht="17.25" customHeight="1">
      <c r="B23" s="26" t="s">
        <v>13</v>
      </c>
      <c r="C23" s="9" t="s">
        <v>417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223.558789268185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9.5886738944352901E-2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0.25189386911491501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12.341436555815299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4.6902561187744096</v>
      </c>
      <c r="CJ23" s="28">
        <v>0</v>
      </c>
      <c r="CK23" s="28">
        <v>0</v>
      </c>
      <c r="CL23" s="28">
        <v>40.973422782472099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  <c r="EU23" s="28">
        <v>0</v>
      </c>
      <c r="EV23" s="28">
        <v>0</v>
      </c>
      <c r="EW23" s="28">
        <v>0</v>
      </c>
      <c r="EX23" s="28">
        <v>0</v>
      </c>
      <c r="EY23" s="28">
        <v>0</v>
      </c>
      <c r="EZ23" s="28">
        <v>0</v>
      </c>
      <c r="FA23" s="28">
        <v>0</v>
      </c>
      <c r="FB23" s="28">
        <v>0</v>
      </c>
      <c r="FC23" s="28">
        <v>0</v>
      </c>
      <c r="FD23" s="28">
        <v>0</v>
      </c>
      <c r="FE23" s="28">
        <v>0</v>
      </c>
      <c r="FF23" s="28">
        <v>0</v>
      </c>
      <c r="FG23" s="28">
        <v>0</v>
      </c>
      <c r="FH23" s="28">
        <v>0</v>
      </c>
      <c r="FI23" s="28">
        <v>0</v>
      </c>
      <c r="FJ23" s="28">
        <v>0</v>
      </c>
      <c r="FK23" s="28">
        <v>0</v>
      </c>
      <c r="FL23" s="28">
        <v>0</v>
      </c>
      <c r="FM23" s="28">
        <v>0</v>
      </c>
      <c r="FN23" s="28">
        <v>0</v>
      </c>
      <c r="FO23" s="28">
        <v>0</v>
      </c>
      <c r="FP23" s="28">
        <v>0</v>
      </c>
      <c r="FQ23" s="28">
        <v>0</v>
      </c>
      <c r="FR23" s="28">
        <v>0</v>
      </c>
      <c r="FS23" s="28">
        <v>6.5426758780906296</v>
      </c>
      <c r="FT23" s="28">
        <v>1123.16295667192</v>
      </c>
      <c r="FU23" s="28">
        <v>0</v>
      </c>
      <c r="FV23" s="28">
        <v>0</v>
      </c>
      <c r="FW23" s="28">
        <v>0</v>
      </c>
      <c r="FX23" s="28">
        <v>0</v>
      </c>
      <c r="FY23" s="28">
        <v>0</v>
      </c>
      <c r="FZ23" s="28">
        <v>0</v>
      </c>
      <c r="GA23" s="28">
        <v>0</v>
      </c>
      <c r="GB23" s="28">
        <v>0</v>
      </c>
      <c r="GC23" s="28">
        <v>0</v>
      </c>
      <c r="GD23" s="28">
        <v>0</v>
      </c>
      <c r="GE23" s="28">
        <v>0</v>
      </c>
      <c r="GF23" s="28">
        <v>0</v>
      </c>
      <c r="GG23" s="28">
        <v>19.130837844606901</v>
      </c>
      <c r="GH23" s="28">
        <v>0.36950215014897397</v>
      </c>
      <c r="GI23" s="28">
        <v>0.84493070551928495</v>
      </c>
      <c r="GJ23" s="28">
        <v>0.51129827003929496</v>
      </c>
      <c r="GK23" s="28">
        <v>9.2171296464657004</v>
      </c>
      <c r="GL23" s="28">
        <v>0</v>
      </c>
      <c r="GM23" s="28">
        <v>0</v>
      </c>
      <c r="GN23" s="28">
        <v>0</v>
      </c>
      <c r="GO23" s="28">
        <v>0</v>
      </c>
      <c r="GP23" s="28">
        <v>0</v>
      </c>
      <c r="GQ23" s="21">
        <v>1441.6910165000961</v>
      </c>
      <c r="GR23" s="21">
        <v>2696.6143715524499</v>
      </c>
      <c r="GS23" s="20">
        <v>2696.5364158753923</v>
      </c>
      <c r="GT23" s="20">
        <v>0</v>
      </c>
      <c r="GU23" s="20">
        <v>7.7955677057531481E-2</v>
      </c>
      <c r="GV23" s="20">
        <v>7.7955677057531481E-2</v>
      </c>
      <c r="GW23" s="20">
        <v>0</v>
      </c>
      <c r="GX23" s="21">
        <v>10.040740316460926</v>
      </c>
      <c r="GY23" s="20">
        <v>0</v>
      </c>
      <c r="GZ23" s="20">
        <v>10.040740316460926</v>
      </c>
      <c r="HA23" s="20"/>
      <c r="HB23" s="21">
        <v>9.7211230848000003</v>
      </c>
      <c r="HC23" s="21">
        <v>4158.0672514538064</v>
      </c>
    </row>
    <row r="24" spans="2:211" s="7" customFormat="1" ht="17.25" customHeight="1">
      <c r="B24" s="26" t="s">
        <v>14</v>
      </c>
      <c r="C24" s="9" t="s">
        <v>418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27.736834294171899</v>
      </c>
      <c r="O24" s="28">
        <v>0</v>
      </c>
      <c r="P24" s="28">
        <v>0</v>
      </c>
      <c r="Q24" s="28">
        <v>0</v>
      </c>
      <c r="R24" s="28">
        <v>0</v>
      </c>
      <c r="S24" s="28">
        <v>1.81130346034548E-2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7.0678501322755896E-2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16.9411557597242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0.409196372677403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0.55320445526850204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  <c r="EU24" s="28">
        <v>0</v>
      </c>
      <c r="EV24" s="28">
        <v>0</v>
      </c>
      <c r="EW24" s="28">
        <v>0</v>
      </c>
      <c r="EX24" s="28">
        <v>0</v>
      </c>
      <c r="EY24" s="28">
        <v>0</v>
      </c>
      <c r="EZ24" s="28">
        <v>0</v>
      </c>
      <c r="FA24" s="28">
        <v>0</v>
      </c>
      <c r="FB24" s="28">
        <v>0</v>
      </c>
      <c r="FC24" s="28">
        <v>0</v>
      </c>
      <c r="FD24" s="28">
        <v>0</v>
      </c>
      <c r="FE24" s="28">
        <v>0</v>
      </c>
      <c r="FF24" s="28">
        <v>0</v>
      </c>
      <c r="FG24" s="28">
        <v>0</v>
      </c>
      <c r="FH24" s="28">
        <v>0</v>
      </c>
      <c r="FI24" s="28">
        <v>0</v>
      </c>
      <c r="FJ24" s="28">
        <v>0</v>
      </c>
      <c r="FK24" s="28">
        <v>0</v>
      </c>
      <c r="FL24" s="28">
        <v>0</v>
      </c>
      <c r="FM24" s="28">
        <v>0</v>
      </c>
      <c r="FN24" s="28">
        <v>0</v>
      </c>
      <c r="FO24" s="28">
        <v>0</v>
      </c>
      <c r="FP24" s="28">
        <v>0</v>
      </c>
      <c r="FQ24" s="28">
        <v>0</v>
      </c>
      <c r="FR24" s="28">
        <v>0</v>
      </c>
      <c r="FS24" s="28">
        <v>1.3028133520874301</v>
      </c>
      <c r="FT24" s="28">
        <v>104.040115424414</v>
      </c>
      <c r="FU24" s="28">
        <v>0</v>
      </c>
      <c r="FV24" s="28">
        <v>0</v>
      </c>
      <c r="FW24" s="28">
        <v>0</v>
      </c>
      <c r="FX24" s="28">
        <v>0</v>
      </c>
      <c r="FY24" s="28">
        <v>0</v>
      </c>
      <c r="FZ24" s="28">
        <v>0</v>
      </c>
      <c r="GA24" s="28">
        <v>0</v>
      </c>
      <c r="GB24" s="28">
        <v>0</v>
      </c>
      <c r="GC24" s="28">
        <v>0</v>
      </c>
      <c r="GD24" s="28">
        <v>0</v>
      </c>
      <c r="GE24" s="28">
        <v>0</v>
      </c>
      <c r="GF24" s="28">
        <v>0</v>
      </c>
      <c r="GG24" s="28">
        <v>0</v>
      </c>
      <c r="GH24" s="28">
        <v>0</v>
      </c>
      <c r="GI24" s="28">
        <v>0</v>
      </c>
      <c r="GJ24" s="28">
        <v>1.0465764280793901</v>
      </c>
      <c r="GK24" s="28">
        <v>0</v>
      </c>
      <c r="GL24" s="28">
        <v>0</v>
      </c>
      <c r="GM24" s="28">
        <v>0</v>
      </c>
      <c r="GN24" s="28">
        <v>0</v>
      </c>
      <c r="GO24" s="28">
        <v>0</v>
      </c>
      <c r="GP24" s="28">
        <v>0</v>
      </c>
      <c r="GQ24" s="21">
        <v>152.11868762234965</v>
      </c>
      <c r="GR24" s="21">
        <v>500.67902823781799</v>
      </c>
      <c r="GS24" s="20">
        <v>500.67902823781799</v>
      </c>
      <c r="GT24" s="20">
        <v>0</v>
      </c>
      <c r="GU24" s="20">
        <v>0</v>
      </c>
      <c r="GV24" s="20">
        <v>0</v>
      </c>
      <c r="GW24" s="20">
        <v>0</v>
      </c>
      <c r="GX24" s="21">
        <v>19.086687866946889</v>
      </c>
      <c r="GY24" s="20">
        <v>0</v>
      </c>
      <c r="GZ24" s="20">
        <v>19.086687866946889</v>
      </c>
      <c r="HA24" s="20"/>
      <c r="HB24" s="21">
        <v>0.29675178000000002</v>
      </c>
      <c r="HC24" s="21">
        <v>672.18115550711457</v>
      </c>
    </row>
    <row r="25" spans="2:211" s="7" customFormat="1" ht="17.25" customHeight="1">
      <c r="B25" s="26" t="s">
        <v>15</v>
      </c>
      <c r="C25" s="9" t="s">
        <v>419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36.533189079811997</v>
      </c>
      <c r="P25" s="28">
        <v>0</v>
      </c>
      <c r="Q25" s="28">
        <v>0</v>
      </c>
      <c r="R25" s="28">
        <v>0</v>
      </c>
      <c r="S25" s="28">
        <v>1.9302256835052298E-2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1.18977882224104E-2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3.21295710095742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31.634325027465799</v>
      </c>
      <c r="CJ25" s="28">
        <v>0</v>
      </c>
      <c r="CK25" s="28">
        <v>0</v>
      </c>
      <c r="CL25" s="28">
        <v>6.9118694970305796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0</v>
      </c>
      <c r="FL25" s="28">
        <v>0</v>
      </c>
      <c r="FM25" s="28">
        <v>0</v>
      </c>
      <c r="FN25" s="28">
        <v>0</v>
      </c>
      <c r="FO25" s="28">
        <v>0</v>
      </c>
      <c r="FP25" s="28">
        <v>0</v>
      </c>
      <c r="FQ25" s="28">
        <v>0</v>
      </c>
      <c r="FR25" s="28">
        <v>0</v>
      </c>
      <c r="FS25" s="28">
        <v>1.25470470499241</v>
      </c>
      <c r="FT25" s="28">
        <v>99.715561444192502</v>
      </c>
      <c r="FU25" s="28">
        <v>0</v>
      </c>
      <c r="FV25" s="28">
        <v>0</v>
      </c>
      <c r="FW25" s="28">
        <v>0</v>
      </c>
      <c r="FX25" s="28">
        <v>0</v>
      </c>
      <c r="FY25" s="28">
        <v>0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0</v>
      </c>
      <c r="GF25" s="28">
        <v>0</v>
      </c>
      <c r="GG25" s="28">
        <v>3.2398773820403801</v>
      </c>
      <c r="GH25" s="28">
        <v>0.205251791761106</v>
      </c>
      <c r="GI25" s="28">
        <v>0.63292055967777106</v>
      </c>
      <c r="GJ25" s="28">
        <v>0.84293659229363305</v>
      </c>
      <c r="GK25" s="28">
        <v>6.9043660223927104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1">
        <v>191.11915924767391</v>
      </c>
      <c r="GR25" s="21">
        <v>666.53254837950601</v>
      </c>
      <c r="GS25" s="20">
        <v>657.58858119632293</v>
      </c>
      <c r="GT25" s="20">
        <v>0</v>
      </c>
      <c r="GU25" s="20">
        <v>8.9439671831830285</v>
      </c>
      <c r="GV25" s="20">
        <v>8.9439671831830285</v>
      </c>
      <c r="GW25" s="20">
        <v>0</v>
      </c>
      <c r="GX25" s="21">
        <v>-1.134286133685805</v>
      </c>
      <c r="GY25" s="20">
        <v>0</v>
      </c>
      <c r="GZ25" s="20">
        <v>-1.134286133685805</v>
      </c>
      <c r="HA25" s="20"/>
      <c r="HB25" s="21">
        <v>13.667825280000001</v>
      </c>
      <c r="HC25" s="21">
        <v>870.1852467734941</v>
      </c>
    </row>
    <row r="26" spans="2:211" s="7" customFormat="1" ht="17.25" customHeight="1">
      <c r="B26" s="26" t="s">
        <v>16</v>
      </c>
      <c r="C26" s="9" t="s">
        <v>420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15.5209093956533</v>
      </c>
      <c r="Q26" s="28">
        <v>0</v>
      </c>
      <c r="R26" s="28">
        <v>0</v>
      </c>
      <c r="S26" s="28">
        <v>1.62114399678593E-4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1.5818122988720299E-3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38.920022710247601</v>
      </c>
      <c r="CO26" s="28">
        <v>10.989475738196999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1.05379231953009E-2</v>
      </c>
      <c r="FT26" s="28">
        <v>0.83748385073725995</v>
      </c>
      <c r="FU26" s="28">
        <v>0</v>
      </c>
      <c r="FV26" s="28">
        <v>0</v>
      </c>
      <c r="FW26" s="28">
        <v>0</v>
      </c>
      <c r="FX26" s="28">
        <v>0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</v>
      </c>
      <c r="GG26" s="28">
        <v>0.471647887455243</v>
      </c>
      <c r="GH26" s="28">
        <v>0</v>
      </c>
      <c r="GI26" s="28">
        <v>6.5616043144000893E-2</v>
      </c>
      <c r="GJ26" s="28">
        <v>0</v>
      </c>
      <c r="GK26" s="28">
        <v>0.715788374828496</v>
      </c>
      <c r="GL26" s="28">
        <v>0</v>
      </c>
      <c r="GM26" s="28">
        <v>0</v>
      </c>
      <c r="GN26" s="28">
        <v>0</v>
      </c>
      <c r="GO26" s="28">
        <v>0</v>
      </c>
      <c r="GP26" s="28">
        <v>0</v>
      </c>
      <c r="GQ26" s="21">
        <v>67.533225850156782</v>
      </c>
      <c r="GR26" s="21">
        <v>46.664325340150498</v>
      </c>
      <c r="GS26" s="20">
        <v>46.664325340150498</v>
      </c>
      <c r="GT26" s="20">
        <v>0</v>
      </c>
      <c r="GU26" s="20">
        <v>0</v>
      </c>
      <c r="GV26" s="20">
        <v>0</v>
      </c>
      <c r="GW26" s="20">
        <v>0</v>
      </c>
      <c r="GX26" s="21">
        <v>-0.10457323087025827</v>
      </c>
      <c r="GY26" s="20">
        <v>0</v>
      </c>
      <c r="GZ26" s="20">
        <v>-0.10457323087025827</v>
      </c>
      <c r="HA26" s="20"/>
      <c r="HB26" s="21">
        <v>0</v>
      </c>
      <c r="HC26" s="21">
        <v>114.09297795943702</v>
      </c>
    </row>
    <row r="27" spans="2:211" s="7" customFormat="1" ht="17.25" customHeight="1">
      <c r="B27" s="26" t="s">
        <v>17</v>
      </c>
      <c r="C27" s="9" t="s">
        <v>421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39.700238579776602</v>
      </c>
      <c r="R27" s="28">
        <v>0</v>
      </c>
      <c r="S27" s="28">
        <v>2.3555003539771101E-2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4.4717755523010001E-2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9.26964272526105E-2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8.1821584701538104</v>
      </c>
      <c r="CJ27" s="28">
        <v>0</v>
      </c>
      <c r="CK27" s="28">
        <v>0</v>
      </c>
      <c r="CL27" s="28">
        <v>48.287845936586002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</v>
      </c>
      <c r="FL27" s="28">
        <v>0</v>
      </c>
      <c r="FM27" s="28">
        <v>0</v>
      </c>
      <c r="FN27" s="28">
        <v>0</v>
      </c>
      <c r="FO27" s="28">
        <v>0</v>
      </c>
      <c r="FP27" s="28">
        <v>0</v>
      </c>
      <c r="FQ27" s="28">
        <v>0</v>
      </c>
      <c r="FR27" s="28">
        <v>0</v>
      </c>
      <c r="FS27" s="28">
        <v>1.7411202169487701</v>
      </c>
      <c r="FT27" s="28">
        <v>151.030053947488</v>
      </c>
      <c r="FU27" s="28">
        <v>0</v>
      </c>
      <c r="FV27" s="28">
        <v>0</v>
      </c>
      <c r="FW27" s="28">
        <v>0</v>
      </c>
      <c r="FX27" s="28">
        <v>0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</v>
      </c>
      <c r="GG27" s="28">
        <v>5.6970838317410299</v>
      </c>
      <c r="GH27" s="28">
        <v>0.55941880960004997</v>
      </c>
      <c r="GI27" s="28">
        <v>0.68321557556596002</v>
      </c>
      <c r="GJ27" s="28">
        <v>0.85775499468209804</v>
      </c>
      <c r="GK27" s="28">
        <v>7.4530212896049202</v>
      </c>
      <c r="GL27" s="28">
        <v>0</v>
      </c>
      <c r="GM27" s="28">
        <v>0</v>
      </c>
      <c r="GN27" s="28">
        <v>0</v>
      </c>
      <c r="GO27" s="28">
        <v>0</v>
      </c>
      <c r="GP27" s="28">
        <v>0</v>
      </c>
      <c r="GQ27" s="21">
        <v>264.35288083846285</v>
      </c>
      <c r="GR27" s="21">
        <v>1451.6207560543501</v>
      </c>
      <c r="GS27" s="20">
        <v>1439.0453020225159</v>
      </c>
      <c r="GT27" s="20">
        <v>0</v>
      </c>
      <c r="GU27" s="20">
        <v>12.575454031834187</v>
      </c>
      <c r="GV27" s="20">
        <v>12.575454031834187</v>
      </c>
      <c r="GW27" s="20">
        <v>0</v>
      </c>
      <c r="GX27" s="21">
        <v>6.716026540015933E-3</v>
      </c>
      <c r="GY27" s="20">
        <v>0</v>
      </c>
      <c r="GZ27" s="20">
        <v>6.716026540015933E-3</v>
      </c>
      <c r="HA27" s="20"/>
      <c r="HB27" s="21">
        <v>272.28873720000001</v>
      </c>
      <c r="HC27" s="21">
        <v>1988.269090119353</v>
      </c>
    </row>
    <row r="28" spans="2:211" s="7" customFormat="1" ht="17.25" customHeight="1">
      <c r="B28" s="26" t="s">
        <v>18</v>
      </c>
      <c r="C28" s="9" t="s">
        <v>422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146.89186459614601</v>
      </c>
      <c r="S28" s="28">
        <v>2.95519732598453E-2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0.23507289251870001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33.043266886964503</v>
      </c>
      <c r="BO28" s="28">
        <v>13.9199046681686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3.1442459702305299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213.56114038586901</v>
      </c>
      <c r="CJ28" s="28">
        <v>0</v>
      </c>
      <c r="CK28" s="28">
        <v>0</v>
      </c>
      <c r="CL28" s="28">
        <v>0</v>
      </c>
      <c r="CM28" s="28">
        <v>23.599588292995101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  <c r="EU28" s="28">
        <v>0</v>
      </c>
      <c r="EV28" s="28">
        <v>0</v>
      </c>
      <c r="EW28" s="28">
        <v>0</v>
      </c>
      <c r="EX28" s="28">
        <v>0</v>
      </c>
      <c r="EY28" s="28">
        <v>0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</v>
      </c>
      <c r="FG28" s="28">
        <v>0</v>
      </c>
      <c r="FH28" s="28">
        <v>0</v>
      </c>
      <c r="FI28" s="28">
        <v>0</v>
      </c>
      <c r="FJ28" s="28">
        <v>0</v>
      </c>
      <c r="FK28" s="28">
        <v>0</v>
      </c>
      <c r="FL28" s="28">
        <v>0</v>
      </c>
      <c r="FM28" s="28">
        <v>0</v>
      </c>
      <c r="FN28" s="28">
        <v>0</v>
      </c>
      <c r="FO28" s="28">
        <v>0</v>
      </c>
      <c r="FP28" s="28">
        <v>0</v>
      </c>
      <c r="FQ28" s="28">
        <v>0</v>
      </c>
      <c r="FR28" s="28">
        <v>0</v>
      </c>
      <c r="FS28" s="28">
        <v>1.32862851428479</v>
      </c>
      <c r="FT28" s="28">
        <v>105.590532756847</v>
      </c>
      <c r="FU28" s="28">
        <v>0</v>
      </c>
      <c r="FV28" s="28">
        <v>0</v>
      </c>
      <c r="FW28" s="28">
        <v>0</v>
      </c>
      <c r="FX28" s="28">
        <v>0</v>
      </c>
      <c r="FY28" s="28">
        <v>0.121645752075226</v>
      </c>
      <c r="FZ28" s="28">
        <v>0</v>
      </c>
      <c r="GA28" s="28">
        <v>0</v>
      </c>
      <c r="GB28" s="28">
        <v>0</v>
      </c>
      <c r="GC28" s="28">
        <v>0</v>
      </c>
      <c r="GD28" s="28">
        <v>0</v>
      </c>
      <c r="GE28" s="28">
        <v>0</v>
      </c>
      <c r="GF28" s="28">
        <v>0</v>
      </c>
      <c r="GG28" s="28">
        <v>5.7643247695051896</v>
      </c>
      <c r="GH28" s="28">
        <v>2.2490561386953298</v>
      </c>
      <c r="GI28" s="28">
        <v>0.92967314097827602</v>
      </c>
      <c r="GJ28" s="28">
        <v>3.2872984532477401</v>
      </c>
      <c r="GK28" s="28">
        <v>10.141562868125799</v>
      </c>
      <c r="GL28" s="28">
        <v>0</v>
      </c>
      <c r="GM28" s="28">
        <v>0</v>
      </c>
      <c r="GN28" s="28">
        <v>0</v>
      </c>
      <c r="GO28" s="28">
        <v>0</v>
      </c>
      <c r="GP28" s="28">
        <v>0</v>
      </c>
      <c r="GQ28" s="21">
        <v>563.83735805991103</v>
      </c>
      <c r="GR28" s="21">
        <v>1655.0251695942</v>
      </c>
      <c r="GS28" s="20">
        <v>1632.4273575088218</v>
      </c>
      <c r="GT28" s="20">
        <v>0</v>
      </c>
      <c r="GU28" s="20">
        <v>22.597812085378109</v>
      </c>
      <c r="GV28" s="20">
        <v>22.597812085378109</v>
      </c>
      <c r="GW28" s="20">
        <v>0</v>
      </c>
      <c r="GX28" s="21">
        <v>1.3403954495902322</v>
      </c>
      <c r="GY28" s="20">
        <v>0</v>
      </c>
      <c r="GZ28" s="20">
        <v>1.3403954495902322</v>
      </c>
      <c r="HA28" s="20"/>
      <c r="HB28" s="21">
        <v>1.9929751200000001</v>
      </c>
      <c r="HC28" s="21">
        <v>2222.1958982237015</v>
      </c>
    </row>
    <row r="29" spans="2:211" s="7" customFormat="1" ht="17.25" customHeight="1">
      <c r="B29" s="26" t="s">
        <v>19</v>
      </c>
      <c r="C29" s="10" t="s">
        <v>423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209.04378962383601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18.9260646042876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2966.20807873802</v>
      </c>
      <c r="CC29" s="28">
        <v>0</v>
      </c>
      <c r="CD29" s="28">
        <v>1391.8816768500501</v>
      </c>
      <c r="CE29" s="28">
        <v>451.99082027547303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7.0582809259400596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0</v>
      </c>
      <c r="EV29" s="28">
        <v>0</v>
      </c>
      <c r="EW29" s="28">
        <v>0</v>
      </c>
      <c r="EX29" s="28">
        <v>0</v>
      </c>
      <c r="EY29" s="28">
        <v>0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0</v>
      </c>
      <c r="FF29" s="28">
        <v>0</v>
      </c>
      <c r="FG29" s="28">
        <v>0</v>
      </c>
      <c r="FH29" s="28">
        <v>0</v>
      </c>
      <c r="FI29" s="28">
        <v>0</v>
      </c>
      <c r="FJ29" s="28">
        <v>0</v>
      </c>
      <c r="FK29" s="28">
        <v>0</v>
      </c>
      <c r="FL29" s="28">
        <v>0</v>
      </c>
      <c r="FM29" s="28">
        <v>0</v>
      </c>
      <c r="FN29" s="28">
        <v>0</v>
      </c>
      <c r="FO29" s="28">
        <v>0</v>
      </c>
      <c r="FP29" s="28">
        <v>0</v>
      </c>
      <c r="FQ29" s="28">
        <v>0</v>
      </c>
      <c r="FR29" s="28">
        <v>0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0</v>
      </c>
      <c r="FY29" s="28">
        <v>0</v>
      </c>
      <c r="FZ29" s="28">
        <v>0</v>
      </c>
      <c r="GA29" s="28">
        <v>0</v>
      </c>
      <c r="GB29" s="28">
        <v>0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28">
        <v>0</v>
      </c>
      <c r="GL29" s="28">
        <v>0</v>
      </c>
      <c r="GM29" s="28">
        <v>0</v>
      </c>
      <c r="GN29" s="28">
        <v>0</v>
      </c>
      <c r="GO29" s="28">
        <v>0</v>
      </c>
      <c r="GP29" s="28">
        <v>0</v>
      </c>
      <c r="GQ29" s="21">
        <v>5045.108711017604</v>
      </c>
      <c r="GR29" s="21">
        <v>0.78006246033126603</v>
      </c>
      <c r="GS29" s="20">
        <v>0.78006246033126603</v>
      </c>
      <c r="GT29" s="20">
        <v>0</v>
      </c>
      <c r="GU29" s="20">
        <v>0</v>
      </c>
      <c r="GV29" s="20">
        <v>0</v>
      </c>
      <c r="GW29" s="20">
        <v>0</v>
      </c>
      <c r="GX29" s="21">
        <v>125.68796788170602</v>
      </c>
      <c r="GY29" s="20">
        <v>0</v>
      </c>
      <c r="GZ29" s="20">
        <v>125.68796788170602</v>
      </c>
      <c r="HA29" s="20"/>
      <c r="HB29" s="21">
        <v>38.722743974399997</v>
      </c>
      <c r="HC29" s="21">
        <v>5210.2994853340415</v>
      </c>
    </row>
    <row r="30" spans="2:211" s="7" customFormat="1" ht="17.25" customHeight="1">
      <c r="B30" s="26" t="s">
        <v>20</v>
      </c>
      <c r="C30" s="9" t="s">
        <v>424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23.681023246683299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187.501114025551</v>
      </c>
      <c r="CD30" s="28">
        <v>113.009976611531</v>
      </c>
      <c r="CE30" s="28">
        <v>10.773668132011201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0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  <c r="EU30" s="28">
        <v>0</v>
      </c>
      <c r="EV30" s="28">
        <v>0</v>
      </c>
      <c r="EW30" s="28">
        <v>0</v>
      </c>
      <c r="EX30" s="28">
        <v>0</v>
      </c>
      <c r="EY30" s="28">
        <v>0</v>
      </c>
      <c r="EZ30" s="28">
        <v>0</v>
      </c>
      <c r="FA30" s="28">
        <v>0</v>
      </c>
      <c r="FB30" s="28">
        <v>0</v>
      </c>
      <c r="FC30" s="28">
        <v>0</v>
      </c>
      <c r="FD30" s="28">
        <v>0</v>
      </c>
      <c r="FE30" s="28">
        <v>0</v>
      </c>
      <c r="FF30" s="28">
        <v>0</v>
      </c>
      <c r="FG30" s="28">
        <v>0</v>
      </c>
      <c r="FH30" s="28">
        <v>0</v>
      </c>
      <c r="FI30" s="28">
        <v>0</v>
      </c>
      <c r="FJ30" s="28">
        <v>0</v>
      </c>
      <c r="FK30" s="28">
        <v>0</v>
      </c>
      <c r="FL30" s="28">
        <v>0</v>
      </c>
      <c r="FM30" s="28">
        <v>0</v>
      </c>
      <c r="FN30" s="28">
        <v>0</v>
      </c>
      <c r="FO30" s="28">
        <v>0</v>
      </c>
      <c r="FP30" s="28">
        <v>0</v>
      </c>
      <c r="FQ30" s="28">
        <v>0</v>
      </c>
      <c r="FR30" s="28">
        <v>0</v>
      </c>
      <c r="FS30" s="28">
        <v>0</v>
      </c>
      <c r="FT30" s="28">
        <v>0</v>
      </c>
      <c r="FU30" s="28">
        <v>0</v>
      </c>
      <c r="FV30" s="28">
        <v>0</v>
      </c>
      <c r="FW30" s="28">
        <v>0</v>
      </c>
      <c r="FX30" s="28">
        <v>0</v>
      </c>
      <c r="FY30" s="28">
        <v>0</v>
      </c>
      <c r="FZ30" s="28">
        <v>0</v>
      </c>
      <c r="GA30" s="28">
        <v>0</v>
      </c>
      <c r="GB30" s="28">
        <v>0</v>
      </c>
      <c r="GC30" s="28">
        <v>0</v>
      </c>
      <c r="GD30" s="28">
        <v>0</v>
      </c>
      <c r="GE30" s="28">
        <v>0</v>
      </c>
      <c r="GF30" s="28">
        <v>0</v>
      </c>
      <c r="GG30" s="28">
        <v>0</v>
      </c>
      <c r="GH30" s="28">
        <v>0</v>
      </c>
      <c r="GI30" s="28">
        <v>0</v>
      </c>
      <c r="GJ30" s="28">
        <v>0</v>
      </c>
      <c r="GK30" s="28">
        <v>0</v>
      </c>
      <c r="GL30" s="28">
        <v>0</v>
      </c>
      <c r="GM30" s="28">
        <v>0</v>
      </c>
      <c r="GN30" s="28">
        <v>0</v>
      </c>
      <c r="GO30" s="28">
        <v>0</v>
      </c>
      <c r="GP30" s="28">
        <v>0</v>
      </c>
      <c r="GQ30" s="21">
        <v>334.96578201577734</v>
      </c>
      <c r="GR30" s="21">
        <v>6.2270576737124603</v>
      </c>
      <c r="GS30" s="20">
        <v>6.2270576737124603</v>
      </c>
      <c r="GT30" s="20">
        <v>0</v>
      </c>
      <c r="GU30" s="20">
        <v>0</v>
      </c>
      <c r="GV30" s="20">
        <v>0</v>
      </c>
      <c r="GW30" s="20">
        <v>0</v>
      </c>
      <c r="GX30" s="21">
        <v>-19.286903846460589</v>
      </c>
      <c r="GY30" s="20">
        <v>0</v>
      </c>
      <c r="GZ30" s="20">
        <v>-19.286903846460589</v>
      </c>
      <c r="HA30" s="20"/>
      <c r="HB30" s="21">
        <v>11.3596115064</v>
      </c>
      <c r="HC30" s="21">
        <v>333.2655473494292</v>
      </c>
    </row>
    <row r="31" spans="2:211" s="7" customFormat="1" ht="17.25" customHeight="1">
      <c r="B31" s="26" t="s">
        <v>21</v>
      </c>
      <c r="C31" s="9" t="s">
        <v>425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1.1171428526926701E-2</v>
      </c>
      <c r="T31" s="28">
        <v>0</v>
      </c>
      <c r="U31" s="28">
        <v>106.905551242793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2.29188107471608E-2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1.3833354657500201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2.4799611079920099</v>
      </c>
      <c r="CC31" s="28">
        <v>0.135940000264756</v>
      </c>
      <c r="CD31" s="28">
        <v>1.7859976810415099</v>
      </c>
      <c r="CE31" s="28">
        <v>0.60728436081935799</v>
      </c>
      <c r="CF31" s="28">
        <v>0</v>
      </c>
      <c r="CG31" s="28">
        <v>0</v>
      </c>
      <c r="CH31" s="28">
        <v>77.208964384458</v>
      </c>
      <c r="CI31" s="28">
        <v>0</v>
      </c>
      <c r="CJ31" s="28">
        <v>0</v>
      </c>
      <c r="CK31" s="28">
        <v>0</v>
      </c>
      <c r="CL31" s="28">
        <v>29.807530462738299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28">
        <v>0</v>
      </c>
      <c r="EY31" s="28">
        <v>0</v>
      </c>
      <c r="EZ31" s="28">
        <v>0</v>
      </c>
      <c r="FA31" s="28">
        <v>0</v>
      </c>
      <c r="FB31" s="28">
        <v>0</v>
      </c>
      <c r="FC31" s="28">
        <v>0</v>
      </c>
      <c r="FD31" s="28">
        <v>0</v>
      </c>
      <c r="FE31" s="28">
        <v>0</v>
      </c>
      <c r="FF31" s="28">
        <v>0</v>
      </c>
      <c r="FG31" s="28">
        <v>0</v>
      </c>
      <c r="FH31" s="28">
        <v>0</v>
      </c>
      <c r="FI31" s="28">
        <v>0</v>
      </c>
      <c r="FJ31" s="28">
        <v>0</v>
      </c>
      <c r="FK31" s="28">
        <v>0</v>
      </c>
      <c r="FL31" s="28">
        <v>0</v>
      </c>
      <c r="FM31" s="28">
        <v>0</v>
      </c>
      <c r="FN31" s="28">
        <v>0</v>
      </c>
      <c r="FO31" s="28">
        <v>0</v>
      </c>
      <c r="FP31" s="28">
        <v>0</v>
      </c>
      <c r="FQ31" s="28">
        <v>0</v>
      </c>
      <c r="FR31" s="28">
        <v>0</v>
      </c>
      <c r="FS31" s="28">
        <v>0.72617642869445798</v>
      </c>
      <c r="FT31" s="28">
        <v>57.7116591710273</v>
      </c>
      <c r="FU31" s="28">
        <v>0</v>
      </c>
      <c r="FV31" s="28">
        <v>0</v>
      </c>
      <c r="FW31" s="28">
        <v>0</v>
      </c>
      <c r="FX31" s="28">
        <v>0</v>
      </c>
      <c r="FY31" s="28">
        <v>0</v>
      </c>
      <c r="FZ31" s="28">
        <v>0</v>
      </c>
      <c r="GA31" s="28">
        <v>0</v>
      </c>
      <c r="GB31" s="28">
        <v>0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28">
        <v>0</v>
      </c>
      <c r="GI31" s="28">
        <v>0</v>
      </c>
      <c r="GJ31" s="28">
        <v>0.41863057123175501</v>
      </c>
      <c r="GK31" s="28">
        <v>0</v>
      </c>
      <c r="GL31" s="28">
        <v>0</v>
      </c>
      <c r="GM31" s="28">
        <v>0</v>
      </c>
      <c r="GN31" s="28">
        <v>0</v>
      </c>
      <c r="GO31" s="28">
        <v>0</v>
      </c>
      <c r="GP31" s="28">
        <v>0</v>
      </c>
      <c r="GQ31" s="21">
        <v>279.20512111608434</v>
      </c>
      <c r="GR31" s="21">
        <v>174.795598027208</v>
      </c>
      <c r="GS31" s="20">
        <v>172.80054284115843</v>
      </c>
      <c r="GT31" s="20">
        <v>0</v>
      </c>
      <c r="GU31" s="20">
        <v>1.9950551860495744</v>
      </c>
      <c r="GV31" s="20">
        <v>1.9950551860495744</v>
      </c>
      <c r="GW31" s="20">
        <v>0</v>
      </c>
      <c r="GX31" s="21">
        <v>21.160001072723059</v>
      </c>
      <c r="GY31" s="20">
        <v>0</v>
      </c>
      <c r="GZ31" s="20">
        <v>21.160001072723059</v>
      </c>
      <c r="HA31" s="20"/>
      <c r="HB31" s="21">
        <v>254.49455920080001</v>
      </c>
      <c r="HC31" s="21">
        <v>729.65527941681546</v>
      </c>
    </row>
    <row r="32" spans="2:211" s="7" customFormat="1" ht="17.25" customHeight="1">
      <c r="B32" s="26" t="s">
        <v>22</v>
      </c>
      <c r="C32" s="9" t="s">
        <v>426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3.1995247712316202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16.0372948101802</v>
      </c>
      <c r="CS32" s="28">
        <v>0</v>
      </c>
      <c r="CT32" s="28">
        <v>0</v>
      </c>
      <c r="CU32" s="28">
        <v>8.9570670648810094E-3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0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</v>
      </c>
      <c r="FL32" s="28">
        <v>0</v>
      </c>
      <c r="FM32" s="28">
        <v>0</v>
      </c>
      <c r="FN32" s="28">
        <v>0</v>
      </c>
      <c r="FO32" s="28">
        <v>0</v>
      </c>
      <c r="FP32" s="28">
        <v>0</v>
      </c>
      <c r="FQ32" s="28">
        <v>0</v>
      </c>
      <c r="FR32" s="28">
        <v>0</v>
      </c>
      <c r="FS32" s="28">
        <v>0</v>
      </c>
      <c r="FT32" s="28">
        <v>0</v>
      </c>
      <c r="FU32" s="28">
        <v>0</v>
      </c>
      <c r="FV32" s="28">
        <v>0</v>
      </c>
      <c r="FW32" s="28">
        <v>0</v>
      </c>
      <c r="FX32" s="28">
        <v>0</v>
      </c>
      <c r="FY32" s="28">
        <v>0</v>
      </c>
      <c r="FZ32" s="28">
        <v>0</v>
      </c>
      <c r="GA32" s="28">
        <v>0</v>
      </c>
      <c r="GB32" s="28">
        <v>0</v>
      </c>
      <c r="GC32" s="28">
        <v>0</v>
      </c>
      <c r="GD32" s="28">
        <v>0</v>
      </c>
      <c r="GE32" s="28">
        <v>0</v>
      </c>
      <c r="GF32" s="28">
        <v>0</v>
      </c>
      <c r="GG32" s="28">
        <v>0</v>
      </c>
      <c r="GH32" s="28">
        <v>0</v>
      </c>
      <c r="GI32" s="28">
        <v>0</v>
      </c>
      <c r="GJ32" s="28">
        <v>0</v>
      </c>
      <c r="GK32" s="28">
        <v>0</v>
      </c>
      <c r="GL32" s="28">
        <v>0</v>
      </c>
      <c r="GM32" s="28">
        <v>0</v>
      </c>
      <c r="GN32" s="28">
        <v>0</v>
      </c>
      <c r="GO32" s="28">
        <v>0</v>
      </c>
      <c r="GP32" s="28">
        <v>0</v>
      </c>
      <c r="GQ32" s="21">
        <v>19.245776648476721</v>
      </c>
      <c r="GR32" s="21">
        <v>0</v>
      </c>
      <c r="GS32" s="20">
        <v>0</v>
      </c>
      <c r="GT32" s="20">
        <v>0</v>
      </c>
      <c r="GU32" s="20">
        <v>0</v>
      </c>
      <c r="GV32" s="20">
        <v>0</v>
      </c>
      <c r="GW32" s="20">
        <v>0</v>
      </c>
      <c r="GX32" s="21">
        <v>6.124548553924531E-2</v>
      </c>
      <c r="GY32" s="20">
        <v>0</v>
      </c>
      <c r="GZ32" s="20">
        <v>6.124548553924531E-2</v>
      </c>
      <c r="HA32" s="20"/>
      <c r="HB32" s="21">
        <v>0</v>
      </c>
      <c r="HC32" s="21">
        <v>19.307022134015966</v>
      </c>
    </row>
    <row r="33" spans="2:211" s="7" customFormat="1" ht="17.25" customHeight="1">
      <c r="B33" s="26" t="s">
        <v>23</v>
      </c>
      <c r="C33" s="9" t="s">
        <v>427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1.5960892673871101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0.39657257612461699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226.39816017652399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</v>
      </c>
      <c r="FC33" s="28">
        <v>0</v>
      </c>
      <c r="FD33" s="28">
        <v>0</v>
      </c>
      <c r="FE33" s="28">
        <v>0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0</v>
      </c>
      <c r="FL33" s="28">
        <v>0</v>
      </c>
      <c r="FM33" s="28">
        <v>0</v>
      </c>
      <c r="FN33" s="28">
        <v>0</v>
      </c>
      <c r="FO33" s="28">
        <v>0</v>
      </c>
      <c r="FP33" s="28">
        <v>0</v>
      </c>
      <c r="FQ33" s="28">
        <v>0</v>
      </c>
      <c r="FR33" s="28">
        <v>0</v>
      </c>
      <c r="FS33" s="28">
        <v>1.44610054008012E-2</v>
      </c>
      <c r="FT33" s="28">
        <v>1.1492642586345501</v>
      </c>
      <c r="FU33" s="28">
        <v>0</v>
      </c>
      <c r="FV33" s="28">
        <v>0</v>
      </c>
      <c r="FW33" s="28">
        <v>0</v>
      </c>
      <c r="FX33" s="28">
        <v>0</v>
      </c>
      <c r="FY33" s="28">
        <v>0</v>
      </c>
      <c r="FZ33" s="28">
        <v>0</v>
      </c>
      <c r="GA33" s="28">
        <v>0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1">
        <v>229.55454728407108</v>
      </c>
      <c r="GR33" s="21">
        <v>1.0353117750778</v>
      </c>
      <c r="GS33" s="20">
        <v>1.0353117750778</v>
      </c>
      <c r="GT33" s="20">
        <v>0</v>
      </c>
      <c r="GU33" s="20">
        <v>0</v>
      </c>
      <c r="GV33" s="20">
        <v>0</v>
      </c>
      <c r="GW33" s="20">
        <v>0</v>
      </c>
      <c r="GX33" s="21">
        <v>-2.2089129815786515</v>
      </c>
      <c r="GY33" s="20">
        <v>0</v>
      </c>
      <c r="GZ33" s="20">
        <v>-2.2089129815786515</v>
      </c>
      <c r="HA33" s="20"/>
      <c r="HB33" s="21">
        <v>5.2523291999999999E-2</v>
      </c>
      <c r="HC33" s="21">
        <v>228.43346936957019</v>
      </c>
    </row>
    <row r="34" spans="2:211" s="7" customFormat="1" ht="17.25" customHeight="1">
      <c r="B34" s="26" t="s">
        <v>24</v>
      </c>
      <c r="C34" s="9" t="s">
        <v>428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1.76191500287189</v>
      </c>
      <c r="T34" s="28">
        <v>0</v>
      </c>
      <c r="U34" s="28">
        <v>0</v>
      </c>
      <c r="V34" s="28">
        <v>0</v>
      </c>
      <c r="W34" s="28">
        <v>0</v>
      </c>
      <c r="X34" s="28">
        <v>16.1501405574903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6.9379479183486997E-2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122.570151336675</v>
      </c>
      <c r="CI34" s="28">
        <v>0</v>
      </c>
      <c r="CJ34" s="28">
        <v>0</v>
      </c>
      <c r="CK34" s="28">
        <v>5.20438420720905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0.19189324171467401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0</v>
      </c>
      <c r="EC34" s="28">
        <v>0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  <c r="EU34" s="28">
        <v>0</v>
      </c>
      <c r="EV34" s="28">
        <v>0</v>
      </c>
      <c r="EW34" s="28">
        <v>0</v>
      </c>
      <c r="EX34" s="28">
        <v>0</v>
      </c>
      <c r="EY34" s="28">
        <v>0</v>
      </c>
      <c r="EZ34" s="28">
        <v>0</v>
      </c>
      <c r="FA34" s="28">
        <v>0</v>
      </c>
      <c r="FB34" s="28">
        <v>0</v>
      </c>
      <c r="FC34" s="28">
        <v>0</v>
      </c>
      <c r="FD34" s="28">
        <v>0</v>
      </c>
      <c r="FE34" s="28">
        <v>0</v>
      </c>
      <c r="FF34" s="28">
        <v>0</v>
      </c>
      <c r="FG34" s="28">
        <v>0</v>
      </c>
      <c r="FH34" s="28">
        <v>0</v>
      </c>
      <c r="FI34" s="28">
        <v>0</v>
      </c>
      <c r="FJ34" s="28">
        <v>0</v>
      </c>
      <c r="FK34" s="28">
        <v>0</v>
      </c>
      <c r="FL34" s="28">
        <v>0</v>
      </c>
      <c r="FM34" s="28">
        <v>0</v>
      </c>
      <c r="FN34" s="28">
        <v>0</v>
      </c>
      <c r="FO34" s="28">
        <v>0</v>
      </c>
      <c r="FP34" s="28">
        <v>0</v>
      </c>
      <c r="FQ34" s="28">
        <v>0</v>
      </c>
      <c r="FR34" s="28">
        <v>0</v>
      </c>
      <c r="FS34" s="28">
        <v>0</v>
      </c>
      <c r="FT34" s="28">
        <v>0</v>
      </c>
      <c r="FU34" s="28">
        <v>0</v>
      </c>
      <c r="FV34" s="28">
        <v>0</v>
      </c>
      <c r="FW34" s="28">
        <v>0</v>
      </c>
      <c r="FX34" s="28">
        <v>0</v>
      </c>
      <c r="FY34" s="28">
        <v>0</v>
      </c>
      <c r="FZ34" s="28">
        <v>0</v>
      </c>
      <c r="GA34" s="28">
        <v>0</v>
      </c>
      <c r="GB34" s="28">
        <v>0</v>
      </c>
      <c r="GC34" s="28">
        <v>0</v>
      </c>
      <c r="GD34" s="28">
        <v>0</v>
      </c>
      <c r="GE34" s="28">
        <v>0</v>
      </c>
      <c r="GF34" s="28">
        <v>0</v>
      </c>
      <c r="GG34" s="28">
        <v>0</v>
      </c>
      <c r="GH34" s="28">
        <v>0</v>
      </c>
      <c r="GI34" s="28">
        <v>0</v>
      </c>
      <c r="GJ34" s="28">
        <v>0</v>
      </c>
      <c r="GK34" s="28">
        <v>0</v>
      </c>
      <c r="GL34" s="28">
        <v>0</v>
      </c>
      <c r="GM34" s="28">
        <v>0</v>
      </c>
      <c r="GN34" s="28">
        <v>0</v>
      </c>
      <c r="GO34" s="28">
        <v>0</v>
      </c>
      <c r="GP34" s="28">
        <v>0</v>
      </c>
      <c r="GQ34" s="21">
        <v>145.94786382514437</v>
      </c>
      <c r="GR34" s="21">
        <v>2.3035308558493699</v>
      </c>
      <c r="GS34" s="20">
        <v>2.3035308558493699</v>
      </c>
      <c r="GT34" s="20">
        <v>0</v>
      </c>
      <c r="GU34" s="20">
        <v>0</v>
      </c>
      <c r="GV34" s="20">
        <v>0</v>
      </c>
      <c r="GW34" s="20">
        <v>0</v>
      </c>
      <c r="GX34" s="21">
        <v>-0.62710083651120363</v>
      </c>
      <c r="GY34" s="20">
        <v>0</v>
      </c>
      <c r="GZ34" s="20">
        <v>-0.62710083651120363</v>
      </c>
      <c r="HA34" s="20"/>
      <c r="HB34" s="21">
        <v>6.8610521856000002</v>
      </c>
      <c r="HC34" s="21">
        <v>154.48534603008252</v>
      </c>
    </row>
    <row r="35" spans="2:211" s="7" customFormat="1" ht="17.25" customHeight="1">
      <c r="B35" s="26" t="s">
        <v>25</v>
      </c>
      <c r="C35" s="9" t="s">
        <v>429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0.34461119191258299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1.71241590709896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1.18855553523329E-2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8.0590630416310791</v>
      </c>
      <c r="CL35" s="28">
        <v>1.6447463581992099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  <c r="EU35" s="28">
        <v>0</v>
      </c>
      <c r="EV35" s="28">
        <v>0</v>
      </c>
      <c r="EW35" s="28">
        <v>0</v>
      </c>
      <c r="EX35" s="28">
        <v>0</v>
      </c>
      <c r="EY35" s="28">
        <v>0</v>
      </c>
      <c r="EZ35" s="28">
        <v>0</v>
      </c>
      <c r="FA35" s="28">
        <v>0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0</v>
      </c>
      <c r="FK35" s="28">
        <v>0</v>
      </c>
      <c r="FL35" s="28">
        <v>0</v>
      </c>
      <c r="FM35" s="28">
        <v>0</v>
      </c>
      <c r="FN35" s="28">
        <v>0</v>
      </c>
      <c r="FO35" s="28">
        <v>0</v>
      </c>
      <c r="FP35" s="28">
        <v>0</v>
      </c>
      <c r="FQ35" s="28">
        <v>0</v>
      </c>
      <c r="FR35" s="28">
        <v>0</v>
      </c>
      <c r="FS35" s="28">
        <v>0.174107289120881</v>
      </c>
      <c r="FT35" s="28">
        <v>13.8368860952984</v>
      </c>
      <c r="FU35" s="28">
        <v>0</v>
      </c>
      <c r="FV35" s="28">
        <v>0</v>
      </c>
      <c r="FW35" s="28">
        <v>0</v>
      </c>
      <c r="FX35" s="28">
        <v>0</v>
      </c>
      <c r="FY35" s="28">
        <v>0</v>
      </c>
      <c r="FZ35" s="28">
        <v>0</v>
      </c>
      <c r="GA35" s="28">
        <v>0</v>
      </c>
      <c r="GB35" s="28">
        <v>0</v>
      </c>
      <c r="GC35" s="28">
        <v>0</v>
      </c>
      <c r="GD35" s="28">
        <v>0</v>
      </c>
      <c r="GE35" s="28">
        <v>0</v>
      </c>
      <c r="GF35" s="28">
        <v>0</v>
      </c>
      <c r="GG35" s="28">
        <v>0</v>
      </c>
      <c r="GH35" s="28">
        <v>0</v>
      </c>
      <c r="GI35" s="28">
        <v>0</v>
      </c>
      <c r="GJ35" s="28">
        <v>0</v>
      </c>
      <c r="GK35" s="28">
        <v>0</v>
      </c>
      <c r="GL35" s="28">
        <v>0</v>
      </c>
      <c r="GM35" s="28">
        <v>0</v>
      </c>
      <c r="GN35" s="28">
        <v>0</v>
      </c>
      <c r="GO35" s="28">
        <v>0</v>
      </c>
      <c r="GP35" s="28">
        <v>0</v>
      </c>
      <c r="GQ35" s="21">
        <v>25.783715438613363</v>
      </c>
      <c r="GR35" s="21">
        <v>65.212476671818493</v>
      </c>
      <c r="GS35" s="20">
        <v>65.178418118305487</v>
      </c>
      <c r="GT35" s="20">
        <v>0</v>
      </c>
      <c r="GU35" s="20">
        <v>3.4058553513011264E-2</v>
      </c>
      <c r="GV35" s="20">
        <v>3.4058553513011264E-2</v>
      </c>
      <c r="GW35" s="20">
        <v>0</v>
      </c>
      <c r="GX35" s="21">
        <v>0.18278091032961741</v>
      </c>
      <c r="GY35" s="20">
        <v>0</v>
      </c>
      <c r="GZ35" s="20">
        <v>0.18278091032961741</v>
      </c>
      <c r="HA35" s="20"/>
      <c r="HB35" s="21">
        <v>14.750735856</v>
      </c>
      <c r="HC35" s="21">
        <v>105.92970887676147</v>
      </c>
    </row>
    <row r="36" spans="2:211" s="7" customFormat="1" ht="17.25" customHeight="1">
      <c r="B36" s="26" t="s">
        <v>26</v>
      </c>
      <c r="C36" s="9" t="s">
        <v>430</v>
      </c>
      <c r="D36" s="28">
        <v>1.2888032965911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56.283587165632099</v>
      </c>
      <c r="AA36" s="28">
        <v>0</v>
      </c>
      <c r="AB36" s="28">
        <v>0</v>
      </c>
      <c r="AC36" s="28">
        <v>0</v>
      </c>
      <c r="AD36" s="28">
        <v>0</v>
      </c>
      <c r="AE36" s="28">
        <v>6.5661324398717804</v>
      </c>
      <c r="AF36" s="28">
        <v>402.04116500045302</v>
      </c>
      <c r="AG36" s="28">
        <v>0</v>
      </c>
      <c r="AH36" s="28">
        <v>9.0053139930969603</v>
      </c>
      <c r="AI36" s="28">
        <v>44.6588620576767</v>
      </c>
      <c r="AJ36" s="28">
        <v>6.6832568868009004</v>
      </c>
      <c r="AK36" s="28">
        <v>0.87973516592397505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  <c r="EU36" s="28">
        <v>0</v>
      </c>
      <c r="EV36" s="28">
        <v>0</v>
      </c>
      <c r="EW36" s="28">
        <v>0</v>
      </c>
      <c r="EX36" s="28">
        <v>0</v>
      </c>
      <c r="EY36" s="28">
        <v>0</v>
      </c>
      <c r="EZ36" s="28">
        <v>0</v>
      </c>
      <c r="FA36" s="28">
        <v>0</v>
      </c>
      <c r="FB36" s="28">
        <v>0</v>
      </c>
      <c r="FC36" s="28">
        <v>0</v>
      </c>
      <c r="FD36" s="28">
        <v>0</v>
      </c>
      <c r="FE36" s="28">
        <v>0</v>
      </c>
      <c r="FF36" s="28">
        <v>0</v>
      </c>
      <c r="FG36" s="28">
        <v>0</v>
      </c>
      <c r="FH36" s="28">
        <v>0</v>
      </c>
      <c r="FI36" s="28">
        <v>0</v>
      </c>
      <c r="FJ36" s="28">
        <v>0</v>
      </c>
      <c r="FK36" s="28">
        <v>0</v>
      </c>
      <c r="FL36" s="28">
        <v>0</v>
      </c>
      <c r="FM36" s="28">
        <v>0</v>
      </c>
      <c r="FN36" s="28">
        <v>0</v>
      </c>
      <c r="FO36" s="28">
        <v>0</v>
      </c>
      <c r="FP36" s="28">
        <v>0</v>
      </c>
      <c r="FQ36" s="28">
        <v>0</v>
      </c>
      <c r="FR36" s="28">
        <v>0</v>
      </c>
      <c r="FS36" s="28">
        <v>0</v>
      </c>
      <c r="FT36" s="28">
        <v>0</v>
      </c>
      <c r="FU36" s="28">
        <v>0</v>
      </c>
      <c r="FV36" s="28">
        <v>0</v>
      </c>
      <c r="FW36" s="28">
        <v>0</v>
      </c>
      <c r="FX36" s="28">
        <v>0</v>
      </c>
      <c r="FY36" s="28">
        <v>0</v>
      </c>
      <c r="FZ36" s="28">
        <v>0</v>
      </c>
      <c r="GA36" s="28">
        <v>0</v>
      </c>
      <c r="GB36" s="28">
        <v>0</v>
      </c>
      <c r="GC36" s="28">
        <v>0</v>
      </c>
      <c r="GD36" s="28">
        <v>0</v>
      </c>
      <c r="GE36" s="28">
        <v>0</v>
      </c>
      <c r="GF36" s="28">
        <v>0</v>
      </c>
      <c r="GG36" s="28">
        <v>0</v>
      </c>
      <c r="GH36" s="28">
        <v>4.0258667744779801</v>
      </c>
      <c r="GI36" s="28">
        <v>0</v>
      </c>
      <c r="GJ36" s="28">
        <v>0</v>
      </c>
      <c r="GK36" s="28">
        <v>0</v>
      </c>
      <c r="GL36" s="28">
        <v>0</v>
      </c>
      <c r="GM36" s="28">
        <v>0</v>
      </c>
      <c r="GN36" s="28">
        <v>0</v>
      </c>
      <c r="GO36" s="28">
        <v>0</v>
      </c>
      <c r="GP36" s="28">
        <v>0</v>
      </c>
      <c r="GQ36" s="21">
        <v>531.43272278052405</v>
      </c>
      <c r="GR36" s="21">
        <v>0.63922530258682397</v>
      </c>
      <c r="GS36" s="20">
        <v>0.63922530258682397</v>
      </c>
      <c r="GT36" s="20">
        <v>0</v>
      </c>
      <c r="GU36" s="20">
        <v>0</v>
      </c>
      <c r="GV36" s="20">
        <v>0</v>
      </c>
      <c r="GW36" s="20">
        <v>0</v>
      </c>
      <c r="GX36" s="21">
        <v>3.0009289917992543</v>
      </c>
      <c r="GY36" s="20">
        <v>0</v>
      </c>
      <c r="GZ36" s="20">
        <v>3.0009289917992543</v>
      </c>
      <c r="HA36" s="20"/>
      <c r="HB36" s="21">
        <v>0.26775120000000002</v>
      </c>
      <c r="HC36" s="21">
        <v>535.34062827491016</v>
      </c>
    </row>
    <row r="37" spans="2:211" s="7" customFormat="1" ht="17.25" customHeight="1">
      <c r="B37" s="26" t="s">
        <v>27</v>
      </c>
      <c r="C37" s="9" t="s">
        <v>431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6.3070879956130801E-4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9.1683547489432904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0.121299101561987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  <c r="EU37" s="28">
        <v>0</v>
      </c>
      <c r="EV37" s="28">
        <v>0</v>
      </c>
      <c r="EW37" s="28">
        <v>0</v>
      </c>
      <c r="EX37" s="28">
        <v>0</v>
      </c>
      <c r="EY37" s="28">
        <v>0</v>
      </c>
      <c r="EZ37" s="28">
        <v>0</v>
      </c>
      <c r="FA37" s="28">
        <v>0</v>
      </c>
      <c r="FB37" s="28">
        <v>0</v>
      </c>
      <c r="FC37" s="28">
        <v>0</v>
      </c>
      <c r="FD37" s="28">
        <v>5.2008911830995496E-6</v>
      </c>
      <c r="FE37" s="28">
        <v>0</v>
      </c>
      <c r="FF37" s="28">
        <v>0</v>
      </c>
      <c r="FG37" s="28">
        <v>0</v>
      </c>
      <c r="FH37" s="28">
        <v>0</v>
      </c>
      <c r="FI37" s="28">
        <v>0</v>
      </c>
      <c r="FJ37" s="28">
        <v>0</v>
      </c>
      <c r="FK37" s="28">
        <v>0</v>
      </c>
      <c r="FL37" s="28">
        <v>0</v>
      </c>
      <c r="FM37" s="28">
        <v>0</v>
      </c>
      <c r="FN37" s="28">
        <v>0</v>
      </c>
      <c r="FO37" s="28">
        <v>0</v>
      </c>
      <c r="FP37" s="28">
        <v>0</v>
      </c>
      <c r="FQ37" s="28">
        <v>0</v>
      </c>
      <c r="FR37" s="28">
        <v>0</v>
      </c>
      <c r="FS37" s="28">
        <v>4.0997967494278802E-2</v>
      </c>
      <c r="FT37" s="28">
        <v>3.2582450121500801</v>
      </c>
      <c r="FU37" s="28">
        <v>0</v>
      </c>
      <c r="FV37" s="28">
        <v>0</v>
      </c>
      <c r="FW37" s="28">
        <v>0</v>
      </c>
      <c r="FX37" s="28">
        <v>0</v>
      </c>
      <c r="FY37" s="28">
        <v>0</v>
      </c>
      <c r="FZ37" s="28">
        <v>0</v>
      </c>
      <c r="GA37" s="28">
        <v>0</v>
      </c>
      <c r="GB37" s="28">
        <v>0</v>
      </c>
      <c r="GC37" s="28">
        <v>0</v>
      </c>
      <c r="GD37" s="28">
        <v>0</v>
      </c>
      <c r="GE37" s="28">
        <v>0</v>
      </c>
      <c r="GF37" s="28">
        <v>0</v>
      </c>
      <c r="GG37" s="28">
        <v>32.283468969596299</v>
      </c>
      <c r="GH37" s="28">
        <v>0</v>
      </c>
      <c r="GI37" s="28">
        <v>0</v>
      </c>
      <c r="GJ37" s="28">
        <v>0</v>
      </c>
      <c r="GK37" s="28">
        <v>0</v>
      </c>
      <c r="GL37" s="28">
        <v>0</v>
      </c>
      <c r="GM37" s="28">
        <v>0</v>
      </c>
      <c r="GN37" s="28">
        <v>0</v>
      </c>
      <c r="GO37" s="28">
        <v>16.0127252869245</v>
      </c>
      <c r="GP37" s="28">
        <v>0</v>
      </c>
      <c r="GQ37" s="21">
        <v>60.885726996361178</v>
      </c>
      <c r="GR37" s="21">
        <v>8.0331900041494197</v>
      </c>
      <c r="GS37" s="20">
        <v>8.0331900041494197</v>
      </c>
      <c r="GT37" s="20">
        <v>0</v>
      </c>
      <c r="GU37" s="20">
        <v>0</v>
      </c>
      <c r="GV37" s="20">
        <v>0</v>
      </c>
      <c r="GW37" s="20">
        <v>0</v>
      </c>
      <c r="GX37" s="21">
        <v>33.946745341307427</v>
      </c>
      <c r="GY37" s="20">
        <v>33.820888928798603</v>
      </c>
      <c r="GZ37" s="20">
        <v>0.12585641250882346</v>
      </c>
      <c r="HA37" s="20"/>
      <c r="HB37" s="21">
        <v>2.7555635280000002</v>
      </c>
      <c r="HC37" s="21">
        <v>105.62122586981802</v>
      </c>
    </row>
    <row r="38" spans="2:211" s="7" customFormat="1" ht="17.25" customHeight="1">
      <c r="B38" s="26" t="s">
        <v>28</v>
      </c>
      <c r="C38" s="10" t="s">
        <v>432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4.3745957824374004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28.3486530632251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  <c r="EU38" s="28">
        <v>0</v>
      </c>
      <c r="EV38" s="28">
        <v>0</v>
      </c>
      <c r="EW38" s="28">
        <v>0</v>
      </c>
      <c r="EX38" s="28">
        <v>0</v>
      </c>
      <c r="EY38" s="28">
        <v>0</v>
      </c>
      <c r="EZ38" s="28">
        <v>0</v>
      </c>
      <c r="FA38" s="28">
        <v>0</v>
      </c>
      <c r="FB38" s="28">
        <v>0</v>
      </c>
      <c r="FC38" s="28">
        <v>0</v>
      </c>
      <c r="FD38" s="28">
        <v>0</v>
      </c>
      <c r="FE38" s="28">
        <v>0</v>
      </c>
      <c r="FF38" s="28">
        <v>0</v>
      </c>
      <c r="FG38" s="28">
        <v>0</v>
      </c>
      <c r="FH38" s="28">
        <v>0</v>
      </c>
      <c r="FI38" s="28">
        <v>0</v>
      </c>
      <c r="FJ38" s="28">
        <v>0</v>
      </c>
      <c r="FK38" s="28">
        <v>0</v>
      </c>
      <c r="FL38" s="28">
        <v>0</v>
      </c>
      <c r="FM38" s="28">
        <v>0</v>
      </c>
      <c r="FN38" s="28">
        <v>0</v>
      </c>
      <c r="FO38" s="28">
        <v>0</v>
      </c>
      <c r="FP38" s="28">
        <v>0</v>
      </c>
      <c r="FQ38" s="28">
        <v>0</v>
      </c>
      <c r="FR38" s="28">
        <v>0</v>
      </c>
      <c r="FS38" s="28">
        <v>0</v>
      </c>
      <c r="FT38" s="28">
        <v>0</v>
      </c>
      <c r="FU38" s="28">
        <v>0</v>
      </c>
      <c r="FV38" s="28">
        <v>0</v>
      </c>
      <c r="FW38" s="28">
        <v>0</v>
      </c>
      <c r="FX38" s="28">
        <v>0</v>
      </c>
      <c r="FY38" s="28">
        <v>0</v>
      </c>
      <c r="FZ38" s="28">
        <v>0</v>
      </c>
      <c r="GA38" s="28">
        <v>0</v>
      </c>
      <c r="GB38" s="28">
        <v>0</v>
      </c>
      <c r="GC38" s="28">
        <v>0</v>
      </c>
      <c r="GD38" s="28">
        <v>0</v>
      </c>
      <c r="GE38" s="28">
        <v>0</v>
      </c>
      <c r="GF38" s="28">
        <v>0</v>
      </c>
      <c r="GG38" s="28">
        <v>0</v>
      </c>
      <c r="GH38" s="28">
        <v>0</v>
      </c>
      <c r="GI38" s="28">
        <v>0</v>
      </c>
      <c r="GJ38" s="28">
        <v>0</v>
      </c>
      <c r="GK38" s="28">
        <v>0</v>
      </c>
      <c r="GL38" s="28">
        <v>0</v>
      </c>
      <c r="GM38" s="28">
        <v>0</v>
      </c>
      <c r="GN38" s="28">
        <v>0</v>
      </c>
      <c r="GO38" s="28">
        <v>0</v>
      </c>
      <c r="GP38" s="28">
        <v>0</v>
      </c>
      <c r="GQ38" s="21">
        <v>32.723248845662503</v>
      </c>
      <c r="GR38" s="21">
        <v>0</v>
      </c>
      <c r="GS38" s="20">
        <v>0</v>
      </c>
      <c r="GT38" s="20">
        <v>0</v>
      </c>
      <c r="GU38" s="20">
        <v>0</v>
      </c>
      <c r="GV38" s="20">
        <v>0</v>
      </c>
      <c r="GW38" s="20">
        <v>0</v>
      </c>
      <c r="GX38" s="21">
        <v>-1.2938848590479068</v>
      </c>
      <c r="GY38" s="20">
        <v>0</v>
      </c>
      <c r="GZ38" s="20">
        <v>-1.2938848590479068</v>
      </c>
      <c r="HA38" s="20"/>
      <c r="HB38" s="21">
        <v>0</v>
      </c>
      <c r="HC38" s="21">
        <v>31.429363986614597</v>
      </c>
    </row>
    <row r="39" spans="2:211" s="7" customFormat="1" ht="17.25" customHeight="1">
      <c r="B39" s="26" t="s">
        <v>29</v>
      </c>
      <c r="C39" s="9" t="s">
        <v>433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104.469741301019</v>
      </c>
      <c r="AD39" s="28">
        <v>0</v>
      </c>
      <c r="AE39" s="28">
        <v>0</v>
      </c>
      <c r="AF39" s="28">
        <v>2.0001892830533001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1063.5600096876001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0.13524133307324701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41.076565172842699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  <c r="EU39" s="28">
        <v>0</v>
      </c>
      <c r="EV39" s="28">
        <v>0</v>
      </c>
      <c r="EW39" s="28">
        <v>0</v>
      </c>
      <c r="EX39" s="28">
        <v>0</v>
      </c>
      <c r="EY39" s="28">
        <v>0</v>
      </c>
      <c r="EZ39" s="28">
        <v>0</v>
      </c>
      <c r="FA39" s="28">
        <v>0</v>
      </c>
      <c r="FB39" s="28">
        <v>0</v>
      </c>
      <c r="FC39" s="28">
        <v>0</v>
      </c>
      <c r="FD39" s="28">
        <v>0</v>
      </c>
      <c r="FE39" s="28">
        <v>0</v>
      </c>
      <c r="FF39" s="28">
        <v>0</v>
      </c>
      <c r="FG39" s="28">
        <v>0</v>
      </c>
      <c r="FH39" s="28">
        <v>0</v>
      </c>
      <c r="FI39" s="28">
        <v>0</v>
      </c>
      <c r="FJ39" s="28">
        <v>0</v>
      </c>
      <c r="FK39" s="28">
        <v>0</v>
      </c>
      <c r="FL39" s="28">
        <v>0</v>
      </c>
      <c r="FM39" s="28">
        <v>0</v>
      </c>
      <c r="FN39" s="28">
        <v>0</v>
      </c>
      <c r="FO39" s="28">
        <v>0</v>
      </c>
      <c r="FP39" s="28">
        <v>0</v>
      </c>
      <c r="FQ39" s="28">
        <v>0</v>
      </c>
      <c r="FR39" s="28">
        <v>0</v>
      </c>
      <c r="FS39" s="28">
        <v>0</v>
      </c>
      <c r="FT39" s="28">
        <v>0</v>
      </c>
      <c r="FU39" s="28">
        <v>0</v>
      </c>
      <c r="FV39" s="28">
        <v>0</v>
      </c>
      <c r="FW39" s="28">
        <v>0</v>
      </c>
      <c r="FX39" s="28">
        <v>0</v>
      </c>
      <c r="FY39" s="28">
        <v>0</v>
      </c>
      <c r="FZ39" s="28">
        <v>0</v>
      </c>
      <c r="GA39" s="28">
        <v>0</v>
      </c>
      <c r="GB39" s="28">
        <v>0</v>
      </c>
      <c r="GC39" s="28">
        <v>0</v>
      </c>
      <c r="GD39" s="28">
        <v>0</v>
      </c>
      <c r="GE39" s="28">
        <v>0</v>
      </c>
      <c r="GF39" s="28">
        <v>0</v>
      </c>
      <c r="GG39" s="28">
        <v>0</v>
      </c>
      <c r="GH39" s="28">
        <v>0</v>
      </c>
      <c r="GI39" s="28">
        <v>0</v>
      </c>
      <c r="GJ39" s="28">
        <v>0</v>
      </c>
      <c r="GK39" s="28">
        <v>0</v>
      </c>
      <c r="GL39" s="28">
        <v>0</v>
      </c>
      <c r="GM39" s="28">
        <v>0</v>
      </c>
      <c r="GN39" s="28">
        <v>0</v>
      </c>
      <c r="GO39" s="28">
        <v>0</v>
      </c>
      <c r="GP39" s="28">
        <v>0</v>
      </c>
      <c r="GQ39" s="21">
        <v>1211.2417467775883</v>
      </c>
      <c r="GR39" s="21">
        <v>0.136912651507614</v>
      </c>
      <c r="GS39" s="20">
        <v>0.136912651507614</v>
      </c>
      <c r="GT39" s="20">
        <v>0</v>
      </c>
      <c r="GU39" s="20">
        <v>0</v>
      </c>
      <c r="GV39" s="20">
        <v>0</v>
      </c>
      <c r="GW39" s="20">
        <v>0</v>
      </c>
      <c r="GX39" s="21">
        <v>4.1478648751506171</v>
      </c>
      <c r="GY39" s="20">
        <v>0</v>
      </c>
      <c r="GZ39" s="20">
        <v>4.1478648751506171</v>
      </c>
      <c r="HA39" s="20"/>
      <c r="HB39" s="21">
        <v>0</v>
      </c>
      <c r="HC39" s="21">
        <v>1215.5265243042465</v>
      </c>
    </row>
    <row r="40" spans="2:211" s="7" customFormat="1" ht="17.25" customHeight="1">
      <c r="B40" s="26" t="s">
        <v>31</v>
      </c>
      <c r="C40" s="9" t="s">
        <v>434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2.2406468375836499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61.523005972170502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20.9944248199463</v>
      </c>
      <c r="CL40" s="28">
        <v>0</v>
      </c>
      <c r="CM40" s="28">
        <v>0</v>
      </c>
      <c r="CN40" s="28">
        <v>0</v>
      </c>
      <c r="CO40" s="28">
        <v>1.51858246326447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</v>
      </c>
      <c r="CZ40" s="28">
        <v>0</v>
      </c>
      <c r="DA40" s="28">
        <v>0</v>
      </c>
      <c r="DB40" s="28">
        <v>0</v>
      </c>
      <c r="DC40" s="28">
        <v>0</v>
      </c>
      <c r="DD40" s="28">
        <v>0</v>
      </c>
      <c r="DE40" s="28">
        <v>0</v>
      </c>
      <c r="DF40" s="28">
        <v>0</v>
      </c>
      <c r="DG40" s="28">
        <v>0</v>
      </c>
      <c r="DH40" s="28">
        <v>0</v>
      </c>
      <c r="DI40" s="28">
        <v>0</v>
      </c>
      <c r="DJ40" s="28">
        <v>0</v>
      </c>
      <c r="DK40" s="28">
        <v>0</v>
      </c>
      <c r="DL40" s="28">
        <v>0</v>
      </c>
      <c r="DM40" s="28">
        <v>0</v>
      </c>
      <c r="DN40" s="28">
        <v>0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</v>
      </c>
      <c r="DX40" s="28">
        <v>0</v>
      </c>
      <c r="DY40" s="28">
        <v>0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0</v>
      </c>
      <c r="EF40" s="28">
        <v>0</v>
      </c>
      <c r="EG40" s="28">
        <v>0</v>
      </c>
      <c r="EH40" s="28">
        <v>0</v>
      </c>
      <c r="EI40" s="28">
        <v>0</v>
      </c>
      <c r="EJ40" s="28">
        <v>0</v>
      </c>
      <c r="EK40" s="28">
        <v>0</v>
      </c>
      <c r="EL40" s="28">
        <v>0</v>
      </c>
      <c r="EM40" s="28">
        <v>0</v>
      </c>
      <c r="EN40" s="28">
        <v>0</v>
      </c>
      <c r="EO40" s="28">
        <v>0</v>
      </c>
      <c r="EP40" s="28">
        <v>0</v>
      </c>
      <c r="EQ40" s="28">
        <v>0</v>
      </c>
      <c r="ER40" s="28">
        <v>0</v>
      </c>
      <c r="ES40" s="28">
        <v>0</v>
      </c>
      <c r="ET40" s="28">
        <v>0</v>
      </c>
      <c r="EU40" s="28">
        <v>0</v>
      </c>
      <c r="EV40" s="28">
        <v>0</v>
      </c>
      <c r="EW40" s="28">
        <v>0</v>
      </c>
      <c r="EX40" s="28">
        <v>0</v>
      </c>
      <c r="EY40" s="28">
        <v>0</v>
      </c>
      <c r="EZ40" s="28">
        <v>0</v>
      </c>
      <c r="FA40" s="28">
        <v>0</v>
      </c>
      <c r="FB40" s="28">
        <v>0</v>
      </c>
      <c r="FC40" s="28">
        <v>0</v>
      </c>
      <c r="FD40" s="28">
        <v>0</v>
      </c>
      <c r="FE40" s="28">
        <v>0</v>
      </c>
      <c r="FF40" s="28">
        <v>0</v>
      </c>
      <c r="FG40" s="28">
        <v>0</v>
      </c>
      <c r="FH40" s="28">
        <v>0</v>
      </c>
      <c r="FI40" s="28">
        <v>0</v>
      </c>
      <c r="FJ40" s="28">
        <v>0</v>
      </c>
      <c r="FK40" s="28">
        <v>0</v>
      </c>
      <c r="FL40" s="28">
        <v>0</v>
      </c>
      <c r="FM40" s="28">
        <v>0</v>
      </c>
      <c r="FN40" s="28">
        <v>0</v>
      </c>
      <c r="FO40" s="28">
        <v>0</v>
      </c>
      <c r="FP40" s="28">
        <v>0</v>
      </c>
      <c r="FQ40" s="28">
        <v>0</v>
      </c>
      <c r="FR40" s="28">
        <v>0</v>
      </c>
      <c r="FS40" s="28">
        <v>0.58726148563140401</v>
      </c>
      <c r="FT40" s="28">
        <v>46.671626017884599</v>
      </c>
      <c r="FU40" s="28">
        <v>0</v>
      </c>
      <c r="FV40" s="28">
        <v>0</v>
      </c>
      <c r="FW40" s="28">
        <v>0</v>
      </c>
      <c r="FX40" s="28">
        <v>0</v>
      </c>
      <c r="FY40" s="28">
        <v>0</v>
      </c>
      <c r="FZ40" s="28">
        <v>0</v>
      </c>
      <c r="GA40" s="28">
        <v>0</v>
      </c>
      <c r="GB40" s="28">
        <v>0</v>
      </c>
      <c r="GC40" s="28">
        <v>0</v>
      </c>
      <c r="GD40" s="28">
        <v>0</v>
      </c>
      <c r="GE40" s="28">
        <v>0</v>
      </c>
      <c r="GF40" s="28">
        <v>0</v>
      </c>
      <c r="GG40" s="28">
        <v>0</v>
      </c>
      <c r="GH40" s="28">
        <v>0</v>
      </c>
      <c r="GI40" s="28">
        <v>0</v>
      </c>
      <c r="GJ40" s="28">
        <v>0</v>
      </c>
      <c r="GK40" s="28">
        <v>0</v>
      </c>
      <c r="GL40" s="28">
        <v>0</v>
      </c>
      <c r="GM40" s="28">
        <v>70.597611266702401</v>
      </c>
      <c r="GN40" s="28">
        <v>0</v>
      </c>
      <c r="GO40" s="28">
        <v>3.5863769739550899</v>
      </c>
      <c r="GP40" s="28">
        <v>0</v>
      </c>
      <c r="GQ40" s="21">
        <v>207.71953583713841</v>
      </c>
      <c r="GR40" s="21">
        <v>2517.6635889962599</v>
      </c>
      <c r="GS40" s="20">
        <v>2517.6635889962599</v>
      </c>
      <c r="GT40" s="20">
        <v>0</v>
      </c>
      <c r="GU40" s="20">
        <v>0</v>
      </c>
      <c r="GV40" s="20">
        <v>0</v>
      </c>
      <c r="GW40" s="20">
        <v>0</v>
      </c>
      <c r="GX40" s="21">
        <v>0</v>
      </c>
      <c r="GY40" s="20">
        <v>0</v>
      </c>
      <c r="GZ40" s="20">
        <v>0</v>
      </c>
      <c r="HA40" s="20"/>
      <c r="HB40" s="21">
        <v>229.604638042695</v>
      </c>
      <c r="HC40" s="21">
        <v>2954.9877628760933</v>
      </c>
    </row>
    <row r="41" spans="2:211" s="7" customFormat="1" ht="17.25" customHeight="1">
      <c r="B41" s="26" t="s">
        <v>32</v>
      </c>
      <c r="C41" s="9" t="s">
        <v>435</v>
      </c>
      <c r="D41" s="28">
        <v>12.0646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1.25005212600191</v>
      </c>
      <c r="AF41" s="28">
        <v>621.19701669987296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3740.0652036622901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0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0</v>
      </c>
      <c r="DC41" s="28">
        <v>0</v>
      </c>
      <c r="DD41" s="28">
        <v>0</v>
      </c>
      <c r="DE41" s="28">
        <v>0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0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28">
        <v>0</v>
      </c>
      <c r="EM41" s="28">
        <v>0</v>
      </c>
      <c r="EN41" s="28">
        <v>0</v>
      </c>
      <c r="EO41" s="28">
        <v>0</v>
      </c>
      <c r="EP41" s="28">
        <v>0</v>
      </c>
      <c r="EQ41" s="28">
        <v>0</v>
      </c>
      <c r="ER41" s="28">
        <v>0</v>
      </c>
      <c r="ES41" s="28">
        <v>0</v>
      </c>
      <c r="ET41" s="28">
        <v>0</v>
      </c>
      <c r="EU41" s="28">
        <v>0</v>
      </c>
      <c r="EV41" s="28">
        <v>0</v>
      </c>
      <c r="EW41" s="28">
        <v>0</v>
      </c>
      <c r="EX41" s="28">
        <v>0</v>
      </c>
      <c r="EY41" s="28">
        <v>0</v>
      </c>
      <c r="EZ41" s="28">
        <v>0</v>
      </c>
      <c r="FA41" s="28">
        <v>0</v>
      </c>
      <c r="FB41" s="28">
        <v>0</v>
      </c>
      <c r="FC41" s="28">
        <v>0</v>
      </c>
      <c r="FD41" s="28">
        <v>0</v>
      </c>
      <c r="FE41" s="28">
        <v>0</v>
      </c>
      <c r="FF41" s="28">
        <v>0</v>
      </c>
      <c r="FG41" s="28">
        <v>0</v>
      </c>
      <c r="FH41" s="28">
        <v>0</v>
      </c>
      <c r="FI41" s="28">
        <v>0</v>
      </c>
      <c r="FJ41" s="28">
        <v>0</v>
      </c>
      <c r="FK41" s="28">
        <v>0</v>
      </c>
      <c r="FL41" s="28">
        <v>0</v>
      </c>
      <c r="FM41" s="28">
        <v>0</v>
      </c>
      <c r="FN41" s="28">
        <v>0</v>
      </c>
      <c r="FO41" s="28">
        <v>0</v>
      </c>
      <c r="FP41" s="28">
        <v>0</v>
      </c>
      <c r="FQ41" s="28">
        <v>0</v>
      </c>
      <c r="FR41" s="28">
        <v>0</v>
      </c>
      <c r="FS41" s="28">
        <v>0</v>
      </c>
      <c r="FT41" s="28">
        <v>0</v>
      </c>
      <c r="FU41" s="28">
        <v>0</v>
      </c>
      <c r="FV41" s="28">
        <v>0</v>
      </c>
      <c r="FW41" s="28">
        <v>0</v>
      </c>
      <c r="FX41" s="28">
        <v>0</v>
      </c>
      <c r="FY41" s="28">
        <v>0</v>
      </c>
      <c r="FZ41" s="28">
        <v>0</v>
      </c>
      <c r="GA41" s="28">
        <v>0</v>
      </c>
      <c r="GB41" s="28">
        <v>0</v>
      </c>
      <c r="GC41" s="28">
        <v>0</v>
      </c>
      <c r="GD41" s="28">
        <v>0</v>
      </c>
      <c r="GE41" s="28">
        <v>0</v>
      </c>
      <c r="GF41" s="28">
        <v>0</v>
      </c>
      <c r="GG41" s="28">
        <v>0</v>
      </c>
      <c r="GH41" s="28">
        <v>0</v>
      </c>
      <c r="GI41" s="28">
        <v>0</v>
      </c>
      <c r="GJ41" s="28">
        <v>0</v>
      </c>
      <c r="GK41" s="28">
        <v>0</v>
      </c>
      <c r="GL41" s="28">
        <v>0</v>
      </c>
      <c r="GM41" s="28">
        <v>0</v>
      </c>
      <c r="GN41" s="28">
        <v>0</v>
      </c>
      <c r="GO41" s="28">
        <v>0</v>
      </c>
      <c r="GP41" s="28">
        <v>0</v>
      </c>
      <c r="GQ41" s="21">
        <v>4374.5768724881646</v>
      </c>
      <c r="GR41" s="21">
        <v>0</v>
      </c>
      <c r="GS41" s="20">
        <v>0</v>
      </c>
      <c r="GT41" s="20">
        <v>0</v>
      </c>
      <c r="GU41" s="20">
        <v>0</v>
      </c>
      <c r="GV41" s="20">
        <v>0</v>
      </c>
      <c r="GW41" s="20">
        <v>0</v>
      </c>
      <c r="GX41" s="21">
        <v>651.00517058078299</v>
      </c>
      <c r="GY41" s="20">
        <v>556.30117439532205</v>
      </c>
      <c r="GZ41" s="20">
        <v>94.703996185460937</v>
      </c>
      <c r="HA41" s="20"/>
      <c r="HB41" s="21">
        <v>0</v>
      </c>
      <c r="HC41" s="21">
        <v>5025.5820430689473</v>
      </c>
    </row>
    <row r="42" spans="2:211" s="7" customFormat="1" ht="17.25" customHeight="1">
      <c r="B42" s="26" t="s">
        <v>33</v>
      </c>
      <c r="C42" s="9" t="s">
        <v>436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12.687987</v>
      </c>
      <c r="AD42" s="28">
        <v>0</v>
      </c>
      <c r="AE42" s="28">
        <v>1.4508748208868101</v>
      </c>
      <c r="AF42" s="28">
        <v>0</v>
      </c>
      <c r="AG42" s="28">
        <v>25.4507170849589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1821.7892174758799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  <c r="EU42" s="28">
        <v>0</v>
      </c>
      <c r="EV42" s="28">
        <v>0</v>
      </c>
      <c r="EW42" s="28">
        <v>0</v>
      </c>
      <c r="EX42" s="28">
        <v>0</v>
      </c>
      <c r="EY42" s="28">
        <v>0</v>
      </c>
      <c r="EZ42" s="28">
        <v>0</v>
      </c>
      <c r="FA42" s="28">
        <v>0</v>
      </c>
      <c r="FB42" s="28">
        <v>0</v>
      </c>
      <c r="FC42" s="28">
        <v>0</v>
      </c>
      <c r="FD42" s="28">
        <v>0</v>
      </c>
      <c r="FE42" s="28">
        <v>0</v>
      </c>
      <c r="FF42" s="28">
        <v>0</v>
      </c>
      <c r="FG42" s="28">
        <v>0</v>
      </c>
      <c r="FH42" s="28">
        <v>0</v>
      </c>
      <c r="FI42" s="28">
        <v>0</v>
      </c>
      <c r="FJ42" s="28">
        <v>0</v>
      </c>
      <c r="FK42" s="28">
        <v>0</v>
      </c>
      <c r="FL42" s="28">
        <v>0</v>
      </c>
      <c r="FM42" s="28">
        <v>0</v>
      </c>
      <c r="FN42" s="28">
        <v>0</v>
      </c>
      <c r="FO42" s="28">
        <v>0</v>
      </c>
      <c r="FP42" s="28">
        <v>0</v>
      </c>
      <c r="FQ42" s="28">
        <v>0</v>
      </c>
      <c r="FR42" s="28">
        <v>0</v>
      </c>
      <c r="FS42" s="28">
        <v>0</v>
      </c>
      <c r="FT42" s="28">
        <v>0</v>
      </c>
      <c r="FU42" s="28">
        <v>0</v>
      </c>
      <c r="FV42" s="28">
        <v>0</v>
      </c>
      <c r="FW42" s="28">
        <v>0</v>
      </c>
      <c r="FX42" s="28">
        <v>0</v>
      </c>
      <c r="FY42" s="28">
        <v>0</v>
      </c>
      <c r="FZ42" s="28">
        <v>0</v>
      </c>
      <c r="GA42" s="28">
        <v>0</v>
      </c>
      <c r="GB42" s="28">
        <v>0</v>
      </c>
      <c r="GC42" s="28">
        <v>0</v>
      </c>
      <c r="GD42" s="28">
        <v>0</v>
      </c>
      <c r="GE42" s="28">
        <v>0</v>
      </c>
      <c r="GF42" s="28">
        <v>0</v>
      </c>
      <c r="GG42" s="28">
        <v>0</v>
      </c>
      <c r="GH42" s="28">
        <v>0</v>
      </c>
      <c r="GI42" s="28">
        <v>0</v>
      </c>
      <c r="GJ42" s="28">
        <v>0</v>
      </c>
      <c r="GK42" s="28">
        <v>0</v>
      </c>
      <c r="GL42" s="28">
        <v>0</v>
      </c>
      <c r="GM42" s="28">
        <v>0</v>
      </c>
      <c r="GN42" s="28">
        <v>0</v>
      </c>
      <c r="GO42" s="28">
        <v>0</v>
      </c>
      <c r="GP42" s="28">
        <v>0</v>
      </c>
      <c r="GQ42" s="21">
        <v>1861.3787963817256</v>
      </c>
      <c r="GR42" s="21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1">
        <v>-31.618671891252006</v>
      </c>
      <c r="GY42" s="20">
        <v>-37.3696856902638</v>
      </c>
      <c r="GZ42" s="20">
        <v>5.7510137990117922</v>
      </c>
      <c r="HA42" s="20"/>
      <c r="HB42" s="21">
        <v>0</v>
      </c>
      <c r="HC42" s="21">
        <v>1829.7601244904736</v>
      </c>
    </row>
    <row r="43" spans="2:211" s="7" customFormat="1" ht="17.25" customHeight="1">
      <c r="B43" s="26" t="s">
        <v>34</v>
      </c>
      <c r="C43" s="9" t="s">
        <v>437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3.3549869999999999</v>
      </c>
      <c r="AD43" s="28">
        <v>0</v>
      </c>
      <c r="AE43" s="28">
        <v>0</v>
      </c>
      <c r="AF43" s="28">
        <v>0</v>
      </c>
      <c r="AG43" s="28">
        <v>0</v>
      </c>
      <c r="AH43" s="28">
        <v>9.8895588931642404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217.174685739479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  <c r="EU43" s="28">
        <v>0</v>
      </c>
      <c r="EV43" s="28">
        <v>0</v>
      </c>
      <c r="EW43" s="28">
        <v>0</v>
      </c>
      <c r="EX43" s="28">
        <v>0</v>
      </c>
      <c r="EY43" s="28">
        <v>0</v>
      </c>
      <c r="EZ43" s="28">
        <v>0</v>
      </c>
      <c r="FA43" s="28">
        <v>0</v>
      </c>
      <c r="FB43" s="28">
        <v>0</v>
      </c>
      <c r="FC43" s="28">
        <v>0</v>
      </c>
      <c r="FD43" s="28">
        <v>0</v>
      </c>
      <c r="FE43" s="28">
        <v>0</v>
      </c>
      <c r="FF43" s="28">
        <v>0</v>
      </c>
      <c r="FG43" s="28">
        <v>0</v>
      </c>
      <c r="FH43" s="28">
        <v>0</v>
      </c>
      <c r="FI43" s="28">
        <v>0</v>
      </c>
      <c r="FJ43" s="28">
        <v>0</v>
      </c>
      <c r="FK43" s="28">
        <v>0</v>
      </c>
      <c r="FL43" s="28">
        <v>0</v>
      </c>
      <c r="FM43" s="28">
        <v>0</v>
      </c>
      <c r="FN43" s="28">
        <v>0</v>
      </c>
      <c r="FO43" s="28">
        <v>0</v>
      </c>
      <c r="FP43" s="28">
        <v>0</v>
      </c>
      <c r="FQ43" s="28">
        <v>0</v>
      </c>
      <c r="FR43" s="28">
        <v>0</v>
      </c>
      <c r="FS43" s="28">
        <v>0</v>
      </c>
      <c r="FT43" s="28">
        <v>0</v>
      </c>
      <c r="FU43" s="28">
        <v>0</v>
      </c>
      <c r="FV43" s="28">
        <v>0</v>
      </c>
      <c r="FW43" s="28">
        <v>0</v>
      </c>
      <c r="FX43" s="28">
        <v>0</v>
      </c>
      <c r="FY43" s="28">
        <v>0</v>
      </c>
      <c r="FZ43" s="28">
        <v>0</v>
      </c>
      <c r="GA43" s="28">
        <v>0</v>
      </c>
      <c r="GB43" s="28">
        <v>0</v>
      </c>
      <c r="GC43" s="28">
        <v>0</v>
      </c>
      <c r="GD43" s="28">
        <v>0</v>
      </c>
      <c r="GE43" s="28">
        <v>0</v>
      </c>
      <c r="GF43" s="28">
        <v>0</v>
      </c>
      <c r="GG43" s="28">
        <v>0</v>
      </c>
      <c r="GH43" s="28">
        <v>0</v>
      </c>
      <c r="GI43" s="28">
        <v>0</v>
      </c>
      <c r="GJ43" s="28">
        <v>0</v>
      </c>
      <c r="GK43" s="28">
        <v>0</v>
      </c>
      <c r="GL43" s="28">
        <v>0</v>
      </c>
      <c r="GM43" s="28">
        <v>0</v>
      </c>
      <c r="GN43" s="28">
        <v>0</v>
      </c>
      <c r="GO43" s="28">
        <v>0</v>
      </c>
      <c r="GP43" s="28">
        <v>0</v>
      </c>
      <c r="GQ43" s="21">
        <v>230.41923163264323</v>
      </c>
      <c r="GR43" s="21">
        <v>0</v>
      </c>
      <c r="GS43" s="20">
        <v>0</v>
      </c>
      <c r="GT43" s="20">
        <v>0</v>
      </c>
      <c r="GU43" s="20">
        <v>0</v>
      </c>
      <c r="GV43" s="20">
        <v>0</v>
      </c>
      <c r="GW43" s="20">
        <v>0</v>
      </c>
      <c r="GX43" s="21">
        <v>-51.969711427450008</v>
      </c>
      <c r="GY43" s="20">
        <v>-38.801747044518997</v>
      </c>
      <c r="GZ43" s="20">
        <v>-13.167964382931009</v>
      </c>
      <c r="HA43" s="20"/>
      <c r="HB43" s="21">
        <v>0</v>
      </c>
      <c r="HC43" s="21">
        <v>178.44952020519321</v>
      </c>
    </row>
    <row r="44" spans="2:211" s="7" customFormat="1" ht="17.25" customHeight="1">
      <c r="B44" s="26" t="s">
        <v>35</v>
      </c>
      <c r="C44" s="9" t="s">
        <v>438</v>
      </c>
      <c r="D44" s="28">
        <v>5.1222549878999999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289.34446910296202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  <c r="EU44" s="28">
        <v>0</v>
      </c>
      <c r="EV44" s="28">
        <v>0</v>
      </c>
      <c r="EW44" s="28">
        <v>0</v>
      </c>
      <c r="EX44" s="28">
        <v>0</v>
      </c>
      <c r="EY44" s="28">
        <v>0</v>
      </c>
      <c r="EZ44" s="28">
        <v>0</v>
      </c>
      <c r="FA44" s="28">
        <v>0</v>
      </c>
      <c r="FB44" s="28">
        <v>0</v>
      </c>
      <c r="FC44" s="28">
        <v>0</v>
      </c>
      <c r="FD44" s="28">
        <v>0</v>
      </c>
      <c r="FE44" s="28">
        <v>0</v>
      </c>
      <c r="FF44" s="28">
        <v>0</v>
      </c>
      <c r="FG44" s="28">
        <v>0</v>
      </c>
      <c r="FH44" s="28">
        <v>0</v>
      </c>
      <c r="FI44" s="28">
        <v>0</v>
      </c>
      <c r="FJ44" s="28">
        <v>0</v>
      </c>
      <c r="FK44" s="28">
        <v>0</v>
      </c>
      <c r="FL44" s="28">
        <v>0</v>
      </c>
      <c r="FM44" s="28">
        <v>0</v>
      </c>
      <c r="FN44" s="28">
        <v>0</v>
      </c>
      <c r="FO44" s="28">
        <v>0</v>
      </c>
      <c r="FP44" s="28">
        <v>0</v>
      </c>
      <c r="FQ44" s="28">
        <v>0</v>
      </c>
      <c r="FR44" s="28">
        <v>0</v>
      </c>
      <c r="FS44" s="28">
        <v>0</v>
      </c>
      <c r="FT44" s="28">
        <v>0</v>
      </c>
      <c r="FU44" s="28">
        <v>0</v>
      </c>
      <c r="FV44" s="28">
        <v>0</v>
      </c>
      <c r="FW44" s="28">
        <v>0</v>
      </c>
      <c r="FX44" s="28">
        <v>0</v>
      </c>
      <c r="FY44" s="28">
        <v>0</v>
      </c>
      <c r="FZ44" s="28">
        <v>0</v>
      </c>
      <c r="GA44" s="28">
        <v>0</v>
      </c>
      <c r="GB44" s="28">
        <v>0</v>
      </c>
      <c r="GC44" s="28">
        <v>0</v>
      </c>
      <c r="GD44" s="28">
        <v>0</v>
      </c>
      <c r="GE44" s="28">
        <v>0</v>
      </c>
      <c r="GF44" s="28">
        <v>0</v>
      </c>
      <c r="GG44" s="28">
        <v>0</v>
      </c>
      <c r="GH44" s="28">
        <v>0</v>
      </c>
      <c r="GI44" s="28">
        <v>0</v>
      </c>
      <c r="GJ44" s="28">
        <v>0</v>
      </c>
      <c r="GK44" s="28">
        <v>0</v>
      </c>
      <c r="GL44" s="28">
        <v>0</v>
      </c>
      <c r="GM44" s="28">
        <v>0</v>
      </c>
      <c r="GN44" s="28">
        <v>0</v>
      </c>
      <c r="GO44" s="28">
        <v>0</v>
      </c>
      <c r="GP44" s="28">
        <v>0</v>
      </c>
      <c r="GQ44" s="21">
        <v>294.46672409086204</v>
      </c>
      <c r="GR44" s="21">
        <v>2.4583000000000001E-3</v>
      </c>
      <c r="GS44" s="20">
        <v>2.4583000000000001E-3</v>
      </c>
      <c r="GT44" s="20">
        <v>0</v>
      </c>
      <c r="GU44" s="20">
        <v>0</v>
      </c>
      <c r="GV44" s="20">
        <v>0</v>
      </c>
      <c r="GW44" s="20">
        <v>0</v>
      </c>
      <c r="GX44" s="21">
        <v>4.0062570897331797</v>
      </c>
      <c r="GY44" s="20">
        <v>1.65872153147852</v>
      </c>
      <c r="GZ44" s="20">
        <v>2.34753555825466</v>
      </c>
      <c r="HA44" s="20"/>
      <c r="HB44" s="21">
        <v>0</v>
      </c>
      <c r="HC44" s="21">
        <v>298.47543948059524</v>
      </c>
    </row>
    <row r="45" spans="2:211" s="7" customFormat="1" ht="17.25" customHeight="1">
      <c r="B45" s="26" t="s">
        <v>36</v>
      </c>
      <c r="C45" s="9" t="s">
        <v>439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17.656178969992599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  <c r="EU45" s="28">
        <v>0</v>
      </c>
      <c r="EV45" s="28">
        <v>0</v>
      </c>
      <c r="EW45" s="28">
        <v>0</v>
      </c>
      <c r="EX45" s="28">
        <v>0</v>
      </c>
      <c r="EY45" s="28">
        <v>0</v>
      </c>
      <c r="EZ45" s="28">
        <v>0</v>
      </c>
      <c r="FA45" s="28">
        <v>0</v>
      </c>
      <c r="FB45" s="28">
        <v>0</v>
      </c>
      <c r="FC45" s="28">
        <v>0</v>
      </c>
      <c r="FD45" s="28">
        <v>0</v>
      </c>
      <c r="FE45" s="28">
        <v>0</v>
      </c>
      <c r="FF45" s="28">
        <v>0</v>
      </c>
      <c r="FG45" s="28">
        <v>0</v>
      </c>
      <c r="FH45" s="28">
        <v>0</v>
      </c>
      <c r="FI45" s="28">
        <v>0</v>
      </c>
      <c r="FJ45" s="28">
        <v>0</v>
      </c>
      <c r="FK45" s="28">
        <v>0</v>
      </c>
      <c r="FL45" s="28">
        <v>0</v>
      </c>
      <c r="FM45" s="28">
        <v>0</v>
      </c>
      <c r="FN45" s="28">
        <v>0</v>
      </c>
      <c r="FO45" s="28">
        <v>0</v>
      </c>
      <c r="FP45" s="28">
        <v>0</v>
      </c>
      <c r="FQ45" s="28">
        <v>0</v>
      </c>
      <c r="FR45" s="28">
        <v>0</v>
      </c>
      <c r="FS45" s="28">
        <v>0</v>
      </c>
      <c r="FT45" s="28">
        <v>0</v>
      </c>
      <c r="FU45" s="28">
        <v>0</v>
      </c>
      <c r="FV45" s="28">
        <v>0</v>
      </c>
      <c r="FW45" s="28">
        <v>0</v>
      </c>
      <c r="FX45" s="28">
        <v>0</v>
      </c>
      <c r="FY45" s="28">
        <v>0</v>
      </c>
      <c r="FZ45" s="28">
        <v>0</v>
      </c>
      <c r="GA45" s="28">
        <v>0</v>
      </c>
      <c r="GB45" s="28">
        <v>0</v>
      </c>
      <c r="GC45" s="28">
        <v>0</v>
      </c>
      <c r="GD45" s="28">
        <v>0</v>
      </c>
      <c r="GE45" s="28">
        <v>0</v>
      </c>
      <c r="GF45" s="28">
        <v>0</v>
      </c>
      <c r="GG45" s="28">
        <v>0</v>
      </c>
      <c r="GH45" s="28">
        <v>0</v>
      </c>
      <c r="GI45" s="28">
        <v>0</v>
      </c>
      <c r="GJ45" s="28">
        <v>0</v>
      </c>
      <c r="GK45" s="28">
        <v>0</v>
      </c>
      <c r="GL45" s="28">
        <v>0</v>
      </c>
      <c r="GM45" s="28">
        <v>0</v>
      </c>
      <c r="GN45" s="28">
        <v>0</v>
      </c>
      <c r="GO45" s="28">
        <v>0</v>
      </c>
      <c r="GP45" s="28">
        <v>0</v>
      </c>
      <c r="GQ45" s="21">
        <v>17.656178969992599</v>
      </c>
      <c r="GR45" s="21">
        <v>1.39945E-2</v>
      </c>
      <c r="GS45" s="20">
        <v>1.39945E-2</v>
      </c>
      <c r="GT45" s="20">
        <v>0</v>
      </c>
      <c r="GU45" s="20">
        <v>0</v>
      </c>
      <c r="GV45" s="20">
        <v>0</v>
      </c>
      <c r="GW45" s="20">
        <v>0</v>
      </c>
      <c r="GX45" s="21">
        <v>59.573980604074002</v>
      </c>
      <c r="GY45" s="20">
        <v>59.573980604074002</v>
      </c>
      <c r="GZ45" s="20">
        <v>0</v>
      </c>
      <c r="HA45" s="20"/>
      <c r="HB45" s="21">
        <v>0</v>
      </c>
      <c r="HC45" s="21">
        <v>77.2441540740666</v>
      </c>
    </row>
    <row r="46" spans="2:211" s="7" customFormat="1" ht="17.25" customHeight="1">
      <c r="B46" s="26" t="s">
        <v>37</v>
      </c>
      <c r="C46" s="9" t="s">
        <v>440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4.3302484471207503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  <c r="EU46" s="28">
        <v>0</v>
      </c>
      <c r="EV46" s="28">
        <v>0</v>
      </c>
      <c r="EW46" s="28">
        <v>0</v>
      </c>
      <c r="EX46" s="28">
        <v>0</v>
      </c>
      <c r="EY46" s="28">
        <v>0</v>
      </c>
      <c r="EZ46" s="28">
        <v>0</v>
      </c>
      <c r="FA46" s="28">
        <v>0</v>
      </c>
      <c r="FB46" s="28">
        <v>0</v>
      </c>
      <c r="FC46" s="28">
        <v>0</v>
      </c>
      <c r="FD46" s="28">
        <v>0</v>
      </c>
      <c r="FE46" s="28">
        <v>0</v>
      </c>
      <c r="FF46" s="28">
        <v>0</v>
      </c>
      <c r="FG46" s="28">
        <v>0</v>
      </c>
      <c r="FH46" s="28">
        <v>0</v>
      </c>
      <c r="FI46" s="28">
        <v>0</v>
      </c>
      <c r="FJ46" s="28">
        <v>0</v>
      </c>
      <c r="FK46" s="28">
        <v>0</v>
      </c>
      <c r="FL46" s="28">
        <v>0</v>
      </c>
      <c r="FM46" s="28">
        <v>0</v>
      </c>
      <c r="FN46" s="28">
        <v>0</v>
      </c>
      <c r="FO46" s="28">
        <v>0</v>
      </c>
      <c r="FP46" s="28">
        <v>0</v>
      </c>
      <c r="FQ46" s="28">
        <v>0</v>
      </c>
      <c r="FR46" s="28">
        <v>0</v>
      </c>
      <c r="FS46" s="28">
        <v>0</v>
      </c>
      <c r="FT46" s="28">
        <v>0</v>
      </c>
      <c r="FU46" s="28">
        <v>0</v>
      </c>
      <c r="FV46" s="28">
        <v>0</v>
      </c>
      <c r="FW46" s="28">
        <v>0</v>
      </c>
      <c r="FX46" s="28">
        <v>0</v>
      </c>
      <c r="FY46" s="28">
        <v>0</v>
      </c>
      <c r="FZ46" s="28">
        <v>0</v>
      </c>
      <c r="GA46" s="28">
        <v>0</v>
      </c>
      <c r="GB46" s="28">
        <v>0</v>
      </c>
      <c r="GC46" s="28">
        <v>0</v>
      </c>
      <c r="GD46" s="28">
        <v>0</v>
      </c>
      <c r="GE46" s="28">
        <v>0</v>
      </c>
      <c r="GF46" s="28">
        <v>0</v>
      </c>
      <c r="GG46" s="28">
        <v>0</v>
      </c>
      <c r="GH46" s="28">
        <v>0</v>
      </c>
      <c r="GI46" s="28">
        <v>9.4985126700000002</v>
      </c>
      <c r="GJ46" s="28">
        <v>0</v>
      </c>
      <c r="GK46" s="28">
        <v>0.48010186512534903</v>
      </c>
      <c r="GL46" s="28">
        <v>0</v>
      </c>
      <c r="GM46" s="28">
        <v>0</v>
      </c>
      <c r="GN46" s="28">
        <v>0</v>
      </c>
      <c r="GO46" s="28">
        <v>0</v>
      </c>
      <c r="GP46" s="28">
        <v>0</v>
      </c>
      <c r="GQ46" s="21">
        <v>14.308862982246099</v>
      </c>
      <c r="GR46" s="21">
        <v>0</v>
      </c>
      <c r="GS46" s="20">
        <v>0</v>
      </c>
      <c r="GT46" s="20">
        <v>0</v>
      </c>
      <c r="GU46" s="20">
        <v>0</v>
      </c>
      <c r="GV46" s="20">
        <v>0</v>
      </c>
      <c r="GW46" s="20">
        <v>0</v>
      </c>
      <c r="GX46" s="21">
        <v>-7.735089059491866</v>
      </c>
      <c r="GY46" s="20">
        <v>1.1128186875088999</v>
      </c>
      <c r="GZ46" s="20">
        <v>-8.8479077470007663</v>
      </c>
      <c r="HA46" s="20"/>
      <c r="HB46" s="21">
        <v>0</v>
      </c>
      <c r="HC46" s="21">
        <v>6.5737739227542331</v>
      </c>
    </row>
    <row r="47" spans="2:211" s="7" customFormat="1" ht="17.25" customHeight="1">
      <c r="B47" s="26" t="s">
        <v>38</v>
      </c>
      <c r="C47" s="9" t="s">
        <v>441</v>
      </c>
      <c r="D47" s="28">
        <v>8.6549870000000002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1.4511021208839601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24.495430449048399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3595.7886331300701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  <c r="EU47" s="28">
        <v>0</v>
      </c>
      <c r="EV47" s="28">
        <v>0</v>
      </c>
      <c r="EW47" s="28">
        <v>0</v>
      </c>
      <c r="EX47" s="28">
        <v>0</v>
      </c>
      <c r="EY47" s="28">
        <v>0</v>
      </c>
      <c r="EZ47" s="28">
        <v>0</v>
      </c>
      <c r="FA47" s="28">
        <v>0</v>
      </c>
      <c r="FB47" s="28">
        <v>0</v>
      </c>
      <c r="FC47" s="28">
        <v>0</v>
      </c>
      <c r="FD47" s="28">
        <v>0</v>
      </c>
      <c r="FE47" s="28">
        <v>0</v>
      </c>
      <c r="FF47" s="28">
        <v>0</v>
      </c>
      <c r="FG47" s="28">
        <v>0</v>
      </c>
      <c r="FH47" s="28">
        <v>0</v>
      </c>
      <c r="FI47" s="28">
        <v>0</v>
      </c>
      <c r="FJ47" s="28">
        <v>0</v>
      </c>
      <c r="FK47" s="28">
        <v>0</v>
      </c>
      <c r="FL47" s="28">
        <v>0</v>
      </c>
      <c r="FM47" s="28">
        <v>0</v>
      </c>
      <c r="FN47" s="28">
        <v>0</v>
      </c>
      <c r="FO47" s="28">
        <v>0</v>
      </c>
      <c r="FP47" s="28">
        <v>0</v>
      </c>
      <c r="FQ47" s="28">
        <v>0</v>
      </c>
      <c r="FR47" s="28">
        <v>0</v>
      </c>
      <c r="FS47" s="28">
        <v>0</v>
      </c>
      <c r="FT47" s="28">
        <v>0</v>
      </c>
      <c r="FU47" s="28">
        <v>0</v>
      </c>
      <c r="FV47" s="28">
        <v>0</v>
      </c>
      <c r="FW47" s="28">
        <v>0</v>
      </c>
      <c r="FX47" s="28">
        <v>0</v>
      </c>
      <c r="FY47" s="28">
        <v>0</v>
      </c>
      <c r="FZ47" s="28">
        <v>0</v>
      </c>
      <c r="GA47" s="28">
        <v>0</v>
      </c>
      <c r="GB47" s="28">
        <v>0</v>
      </c>
      <c r="GC47" s="28">
        <v>0</v>
      </c>
      <c r="GD47" s="28">
        <v>0</v>
      </c>
      <c r="GE47" s="28">
        <v>0</v>
      </c>
      <c r="GF47" s="28">
        <v>0</v>
      </c>
      <c r="GG47" s="28">
        <v>0</v>
      </c>
      <c r="GH47" s="28">
        <v>0</v>
      </c>
      <c r="GI47" s="28">
        <v>0</v>
      </c>
      <c r="GJ47" s="28">
        <v>0</v>
      </c>
      <c r="GK47" s="28">
        <v>0</v>
      </c>
      <c r="GL47" s="28">
        <v>0</v>
      </c>
      <c r="GM47" s="28">
        <v>0</v>
      </c>
      <c r="GN47" s="28">
        <v>0</v>
      </c>
      <c r="GO47" s="28">
        <v>0</v>
      </c>
      <c r="GP47" s="28">
        <v>0</v>
      </c>
      <c r="GQ47" s="21">
        <v>3630.3901527000025</v>
      </c>
      <c r="GR47" s="21">
        <v>1.209E-4</v>
      </c>
      <c r="GS47" s="20">
        <v>1.209E-4</v>
      </c>
      <c r="GT47" s="20">
        <v>0</v>
      </c>
      <c r="GU47" s="20">
        <v>0</v>
      </c>
      <c r="GV47" s="20">
        <v>0</v>
      </c>
      <c r="GW47" s="20">
        <v>0</v>
      </c>
      <c r="GX47" s="21">
        <v>259.24933351457463</v>
      </c>
      <c r="GY47" s="20">
        <v>131.00317050024199</v>
      </c>
      <c r="GZ47" s="20">
        <v>128.24616301433264</v>
      </c>
      <c r="HA47" s="20"/>
      <c r="HB47" s="21">
        <v>0</v>
      </c>
      <c r="HC47" s="21">
        <v>3889.6396071145773</v>
      </c>
    </row>
    <row r="48" spans="2:211" s="7" customFormat="1" ht="17.25" customHeight="1">
      <c r="B48" s="26" t="s">
        <v>39</v>
      </c>
      <c r="C48" s="9" t="s">
        <v>442</v>
      </c>
      <c r="D48" s="28">
        <v>0.2612587561602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0.13198060760918701</v>
      </c>
      <c r="AF48" s="28">
        <v>47.062910682018597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425.37491251425803</v>
      </c>
      <c r="BM48" s="28">
        <v>346.89626881155499</v>
      </c>
      <c r="BN48" s="28">
        <v>173.33517241425699</v>
      </c>
      <c r="BO48" s="28">
        <v>122.2255747711</v>
      </c>
      <c r="BP48" s="28">
        <v>444.40170040854701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  <c r="EU48" s="28">
        <v>0</v>
      </c>
      <c r="EV48" s="28">
        <v>0</v>
      </c>
      <c r="EW48" s="28">
        <v>0</v>
      </c>
      <c r="EX48" s="28">
        <v>0</v>
      </c>
      <c r="EY48" s="28">
        <v>0</v>
      </c>
      <c r="EZ48" s="28">
        <v>0</v>
      </c>
      <c r="FA48" s="28">
        <v>0</v>
      </c>
      <c r="FB48" s="28">
        <v>0</v>
      </c>
      <c r="FC48" s="28">
        <v>0</v>
      </c>
      <c r="FD48" s="28">
        <v>0</v>
      </c>
      <c r="FE48" s="28">
        <v>0</v>
      </c>
      <c r="FF48" s="28">
        <v>0</v>
      </c>
      <c r="FG48" s="28">
        <v>0</v>
      </c>
      <c r="FH48" s="28">
        <v>0</v>
      </c>
      <c r="FI48" s="28">
        <v>0</v>
      </c>
      <c r="FJ48" s="28">
        <v>0</v>
      </c>
      <c r="FK48" s="28">
        <v>0</v>
      </c>
      <c r="FL48" s="28">
        <v>0</v>
      </c>
      <c r="FM48" s="28">
        <v>0</v>
      </c>
      <c r="FN48" s="28">
        <v>0</v>
      </c>
      <c r="FO48" s="28">
        <v>0</v>
      </c>
      <c r="FP48" s="28">
        <v>0</v>
      </c>
      <c r="FQ48" s="28">
        <v>0</v>
      </c>
      <c r="FR48" s="28">
        <v>0</v>
      </c>
      <c r="FS48" s="28">
        <v>4.0149985967400499E-2</v>
      </c>
      <c r="FT48" s="28">
        <v>3.19085309617931</v>
      </c>
      <c r="FU48" s="28">
        <v>0</v>
      </c>
      <c r="FV48" s="28">
        <v>0</v>
      </c>
      <c r="FW48" s="28">
        <v>0</v>
      </c>
      <c r="FX48" s="28">
        <v>0</v>
      </c>
      <c r="FY48" s="28">
        <v>0</v>
      </c>
      <c r="FZ48" s="28">
        <v>0</v>
      </c>
      <c r="GA48" s="28">
        <v>0</v>
      </c>
      <c r="GB48" s="28">
        <v>0</v>
      </c>
      <c r="GC48" s="28">
        <v>0</v>
      </c>
      <c r="GD48" s="28">
        <v>0</v>
      </c>
      <c r="GE48" s="28">
        <v>0</v>
      </c>
      <c r="GF48" s="28">
        <v>0</v>
      </c>
      <c r="GG48" s="28">
        <v>0</v>
      </c>
      <c r="GH48" s="28">
        <v>5.3432749637711503E-2</v>
      </c>
      <c r="GI48" s="28">
        <v>0</v>
      </c>
      <c r="GJ48" s="28">
        <v>0</v>
      </c>
      <c r="GK48" s="28">
        <v>0</v>
      </c>
      <c r="GL48" s="28">
        <v>0</v>
      </c>
      <c r="GM48" s="28">
        <v>0</v>
      </c>
      <c r="GN48" s="28">
        <v>0</v>
      </c>
      <c r="GO48" s="28">
        <v>0</v>
      </c>
      <c r="GP48" s="28">
        <v>0</v>
      </c>
      <c r="GQ48" s="21">
        <v>1562.9742147972927</v>
      </c>
      <c r="GR48" s="21">
        <v>169.546441950439</v>
      </c>
      <c r="GS48" s="20">
        <v>169.546441950439</v>
      </c>
      <c r="GT48" s="20">
        <v>0</v>
      </c>
      <c r="GU48" s="20">
        <v>0</v>
      </c>
      <c r="GV48" s="20">
        <v>0</v>
      </c>
      <c r="GW48" s="20">
        <v>0</v>
      </c>
      <c r="GX48" s="21">
        <v>25.669943364800929</v>
      </c>
      <c r="GY48" s="20">
        <v>0</v>
      </c>
      <c r="GZ48" s="20">
        <v>25.669943364800929</v>
      </c>
      <c r="HA48" s="20"/>
      <c r="HB48" s="21">
        <v>0</v>
      </c>
      <c r="HC48" s="21">
        <v>1758.1906001125326</v>
      </c>
    </row>
    <row r="49" spans="2:211" s="7" customFormat="1" ht="17.25" customHeight="1">
      <c r="B49" s="26" t="s">
        <v>443</v>
      </c>
      <c r="C49" s="9" t="s">
        <v>444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7.5661348224375397E-2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4.4174842275418902E-2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33.796523147567001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0.166392099007239</v>
      </c>
      <c r="BV49" s="28">
        <v>50.922196889218597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7.8727729851380001E-4</v>
      </c>
      <c r="CJ49" s="28">
        <v>0</v>
      </c>
      <c r="CK49" s="28">
        <v>0</v>
      </c>
      <c r="CL49" s="28">
        <v>9.2413570890726504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  <c r="EU49" s="28">
        <v>0</v>
      </c>
      <c r="EV49" s="28">
        <v>0</v>
      </c>
      <c r="EW49" s="28">
        <v>0</v>
      </c>
      <c r="EX49" s="28">
        <v>0</v>
      </c>
      <c r="EY49" s="28">
        <v>0</v>
      </c>
      <c r="EZ49" s="28">
        <v>0</v>
      </c>
      <c r="FA49" s="28">
        <v>0</v>
      </c>
      <c r="FB49" s="28">
        <v>0</v>
      </c>
      <c r="FC49" s="28">
        <v>0</v>
      </c>
      <c r="FD49" s="28">
        <v>0</v>
      </c>
      <c r="FE49" s="28">
        <v>0</v>
      </c>
      <c r="FF49" s="28">
        <v>0</v>
      </c>
      <c r="FG49" s="28">
        <v>0</v>
      </c>
      <c r="FH49" s="28">
        <v>0</v>
      </c>
      <c r="FI49" s="28">
        <v>0</v>
      </c>
      <c r="FJ49" s="28">
        <v>0</v>
      </c>
      <c r="FK49" s="28">
        <v>0</v>
      </c>
      <c r="FL49" s="28">
        <v>0</v>
      </c>
      <c r="FM49" s="28">
        <v>0</v>
      </c>
      <c r="FN49" s="28">
        <v>0</v>
      </c>
      <c r="FO49" s="28">
        <v>0</v>
      </c>
      <c r="FP49" s="28">
        <v>0</v>
      </c>
      <c r="FQ49" s="28">
        <v>0</v>
      </c>
      <c r="FR49" s="28">
        <v>0</v>
      </c>
      <c r="FS49" s="28">
        <v>5.1046121832980296</v>
      </c>
      <c r="FT49" s="28">
        <v>408.776582533686</v>
      </c>
      <c r="FU49" s="28">
        <v>0</v>
      </c>
      <c r="FV49" s="28">
        <v>0</v>
      </c>
      <c r="FW49" s="28">
        <v>0</v>
      </c>
      <c r="FX49" s="28">
        <v>0</v>
      </c>
      <c r="FY49" s="28">
        <v>0.119430830296058</v>
      </c>
      <c r="FZ49" s="28">
        <v>0</v>
      </c>
      <c r="GA49" s="28">
        <v>0</v>
      </c>
      <c r="GB49" s="28">
        <v>0</v>
      </c>
      <c r="GC49" s="28">
        <v>0</v>
      </c>
      <c r="GD49" s="28">
        <v>0</v>
      </c>
      <c r="GE49" s="28">
        <v>0</v>
      </c>
      <c r="GF49" s="28">
        <v>0</v>
      </c>
      <c r="GG49" s="28">
        <v>0.61947211463554896</v>
      </c>
      <c r="GH49" s="28">
        <v>0</v>
      </c>
      <c r="GI49" s="28">
        <v>0.86384687601668397</v>
      </c>
      <c r="GJ49" s="28">
        <v>1.1830668614951401</v>
      </c>
      <c r="GK49" s="28">
        <v>9.4234812380817505</v>
      </c>
      <c r="GL49" s="28">
        <v>0</v>
      </c>
      <c r="GM49" s="28">
        <v>0</v>
      </c>
      <c r="GN49" s="28">
        <v>0</v>
      </c>
      <c r="GO49" s="28">
        <v>0</v>
      </c>
      <c r="GP49" s="28">
        <v>0</v>
      </c>
      <c r="GQ49" s="21">
        <v>520.33758533017294</v>
      </c>
      <c r="GR49" s="21">
        <v>803.37885707370106</v>
      </c>
      <c r="GS49" s="20">
        <v>783.76102665249846</v>
      </c>
      <c r="GT49" s="20">
        <v>0</v>
      </c>
      <c r="GU49" s="20">
        <v>19.617830421202576</v>
      </c>
      <c r="GV49" s="20">
        <v>19.617830421202576</v>
      </c>
      <c r="GW49" s="20">
        <v>0</v>
      </c>
      <c r="GX49" s="21">
        <v>1.5424674124162721</v>
      </c>
      <c r="GY49" s="20">
        <v>0</v>
      </c>
      <c r="GZ49" s="20">
        <v>1.5424674124162721</v>
      </c>
      <c r="HA49" s="20"/>
      <c r="HB49" s="21">
        <v>0</v>
      </c>
      <c r="HC49" s="21">
        <v>1325.2589098162903</v>
      </c>
    </row>
    <row r="50" spans="2:211" s="7" customFormat="1" ht="17.25" customHeight="1">
      <c r="B50" s="26" t="s">
        <v>445</v>
      </c>
      <c r="C50" s="9" t="s">
        <v>446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204.05002111223999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  <c r="EU50" s="28">
        <v>0</v>
      </c>
      <c r="EV50" s="28">
        <v>0</v>
      </c>
      <c r="EW50" s="28">
        <v>0</v>
      </c>
      <c r="EX50" s="28">
        <v>0</v>
      </c>
      <c r="EY50" s="28">
        <v>0</v>
      </c>
      <c r="EZ50" s="28">
        <v>0</v>
      </c>
      <c r="FA50" s="28">
        <v>0</v>
      </c>
      <c r="FB50" s="28">
        <v>0</v>
      </c>
      <c r="FC50" s="28">
        <v>0</v>
      </c>
      <c r="FD50" s="28">
        <v>0</v>
      </c>
      <c r="FE50" s="28">
        <v>0</v>
      </c>
      <c r="FF50" s="28">
        <v>0</v>
      </c>
      <c r="FG50" s="28">
        <v>0</v>
      </c>
      <c r="FH50" s="28">
        <v>0</v>
      </c>
      <c r="FI50" s="28">
        <v>0</v>
      </c>
      <c r="FJ50" s="28">
        <v>0</v>
      </c>
      <c r="FK50" s="28">
        <v>0</v>
      </c>
      <c r="FL50" s="28">
        <v>0</v>
      </c>
      <c r="FM50" s="28">
        <v>0</v>
      </c>
      <c r="FN50" s="28">
        <v>0</v>
      </c>
      <c r="FO50" s="28">
        <v>0</v>
      </c>
      <c r="FP50" s="28">
        <v>0</v>
      </c>
      <c r="FQ50" s="28">
        <v>0</v>
      </c>
      <c r="FR50" s="28">
        <v>0</v>
      </c>
      <c r="FS50" s="28">
        <v>0</v>
      </c>
      <c r="FT50" s="28">
        <v>0</v>
      </c>
      <c r="FU50" s="28">
        <v>0</v>
      </c>
      <c r="FV50" s="28">
        <v>0</v>
      </c>
      <c r="FW50" s="28">
        <v>0</v>
      </c>
      <c r="FX50" s="28">
        <v>0</v>
      </c>
      <c r="FY50" s="28">
        <v>0</v>
      </c>
      <c r="FZ50" s="28">
        <v>0</v>
      </c>
      <c r="GA50" s="28">
        <v>0</v>
      </c>
      <c r="GB50" s="28">
        <v>0</v>
      </c>
      <c r="GC50" s="28">
        <v>0</v>
      </c>
      <c r="GD50" s="28">
        <v>0</v>
      </c>
      <c r="GE50" s="28">
        <v>0</v>
      </c>
      <c r="GF50" s="28">
        <v>0</v>
      </c>
      <c r="GG50" s="28">
        <v>0</v>
      </c>
      <c r="GH50" s="28">
        <v>0</v>
      </c>
      <c r="GI50" s="28">
        <v>0</v>
      </c>
      <c r="GJ50" s="28">
        <v>0</v>
      </c>
      <c r="GK50" s="28">
        <v>0</v>
      </c>
      <c r="GL50" s="28">
        <v>0</v>
      </c>
      <c r="GM50" s="28">
        <v>0</v>
      </c>
      <c r="GN50" s="28">
        <v>0</v>
      </c>
      <c r="GO50" s="28">
        <v>0</v>
      </c>
      <c r="GP50" s="28">
        <v>0</v>
      </c>
      <c r="GQ50" s="21">
        <v>204.05002111223999</v>
      </c>
      <c r="GR50" s="21">
        <v>4.36020896551807</v>
      </c>
      <c r="GS50" s="20">
        <v>4.36020896551807</v>
      </c>
      <c r="GT50" s="20">
        <v>0</v>
      </c>
      <c r="GU50" s="20">
        <v>0</v>
      </c>
      <c r="GV50" s="20">
        <v>0</v>
      </c>
      <c r="GW50" s="20">
        <v>0</v>
      </c>
      <c r="GX50" s="21">
        <v>-12.687190453208139</v>
      </c>
      <c r="GY50" s="20">
        <v>0</v>
      </c>
      <c r="GZ50" s="20">
        <v>-12.687190453208139</v>
      </c>
      <c r="HA50" s="20"/>
      <c r="HB50" s="21">
        <v>15.148661579430399</v>
      </c>
      <c r="HC50" s="21">
        <v>210.87170120398034</v>
      </c>
    </row>
    <row r="51" spans="2:211" s="7" customFormat="1" ht="17.25" customHeight="1">
      <c r="B51" s="26" t="s">
        <v>447</v>
      </c>
      <c r="C51" s="9" t="s">
        <v>448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37.309818698692901</v>
      </c>
      <c r="CS51" s="28">
        <v>0</v>
      </c>
      <c r="CT51" s="28">
        <v>0</v>
      </c>
      <c r="CU51" s="28">
        <v>14.046696839497301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  <c r="EU51" s="28">
        <v>0</v>
      </c>
      <c r="EV51" s="28">
        <v>0</v>
      </c>
      <c r="EW51" s="28">
        <v>0</v>
      </c>
      <c r="EX51" s="28">
        <v>0</v>
      </c>
      <c r="EY51" s="28">
        <v>0</v>
      </c>
      <c r="EZ51" s="28">
        <v>0</v>
      </c>
      <c r="FA51" s="28">
        <v>0</v>
      </c>
      <c r="FB51" s="28">
        <v>0</v>
      </c>
      <c r="FC51" s="28">
        <v>0</v>
      </c>
      <c r="FD51" s="28">
        <v>0</v>
      </c>
      <c r="FE51" s="28">
        <v>0</v>
      </c>
      <c r="FF51" s="28">
        <v>0</v>
      </c>
      <c r="FG51" s="28">
        <v>0</v>
      </c>
      <c r="FH51" s="28">
        <v>0</v>
      </c>
      <c r="FI51" s="28">
        <v>0</v>
      </c>
      <c r="FJ51" s="28">
        <v>0</v>
      </c>
      <c r="FK51" s="28">
        <v>0</v>
      </c>
      <c r="FL51" s="28">
        <v>0</v>
      </c>
      <c r="FM51" s="28">
        <v>0</v>
      </c>
      <c r="FN51" s="28">
        <v>0</v>
      </c>
      <c r="FO51" s="28">
        <v>0</v>
      </c>
      <c r="FP51" s="28">
        <v>0</v>
      </c>
      <c r="FQ51" s="28">
        <v>0</v>
      </c>
      <c r="FR51" s="28">
        <v>0</v>
      </c>
      <c r="FS51" s="28">
        <v>0</v>
      </c>
      <c r="FT51" s="28">
        <v>0</v>
      </c>
      <c r="FU51" s="28">
        <v>0</v>
      </c>
      <c r="FV51" s="28">
        <v>0</v>
      </c>
      <c r="FW51" s="28">
        <v>0</v>
      </c>
      <c r="FX51" s="28">
        <v>0</v>
      </c>
      <c r="FY51" s="28">
        <v>0</v>
      </c>
      <c r="FZ51" s="28">
        <v>0</v>
      </c>
      <c r="GA51" s="28">
        <v>0</v>
      </c>
      <c r="GB51" s="28">
        <v>0</v>
      </c>
      <c r="GC51" s="28">
        <v>0</v>
      </c>
      <c r="GD51" s="28">
        <v>0</v>
      </c>
      <c r="GE51" s="28">
        <v>0</v>
      </c>
      <c r="GF51" s="28">
        <v>0</v>
      </c>
      <c r="GG51" s="28">
        <v>0</v>
      </c>
      <c r="GH51" s="28">
        <v>0</v>
      </c>
      <c r="GI51" s="28">
        <v>0</v>
      </c>
      <c r="GJ51" s="28">
        <v>0</v>
      </c>
      <c r="GK51" s="28">
        <v>0</v>
      </c>
      <c r="GL51" s="28">
        <v>0</v>
      </c>
      <c r="GM51" s="28">
        <v>0</v>
      </c>
      <c r="GN51" s="28">
        <v>0</v>
      </c>
      <c r="GO51" s="28">
        <v>0</v>
      </c>
      <c r="GP51" s="28">
        <v>0</v>
      </c>
      <c r="GQ51" s="21">
        <v>51.356515538190202</v>
      </c>
      <c r="GR51" s="21">
        <v>0</v>
      </c>
      <c r="GS51" s="20">
        <v>0</v>
      </c>
      <c r="GT51" s="20">
        <v>0</v>
      </c>
      <c r="GU51" s="20">
        <v>0</v>
      </c>
      <c r="GV51" s="20">
        <v>0</v>
      </c>
      <c r="GW51" s="20">
        <v>0</v>
      </c>
      <c r="GX51" s="21">
        <v>0.659511382420647</v>
      </c>
      <c r="GY51" s="20">
        <v>0</v>
      </c>
      <c r="GZ51" s="20">
        <v>0.659511382420647</v>
      </c>
      <c r="HA51" s="20"/>
      <c r="HB51" s="21">
        <v>7.9438544640000002</v>
      </c>
      <c r="HC51" s="21">
        <v>59.959881384610846</v>
      </c>
    </row>
    <row r="52" spans="2:211" s="7" customFormat="1" ht="17.25" customHeight="1">
      <c r="B52" s="26" t="s">
        <v>449</v>
      </c>
      <c r="C52" s="10" t="s">
        <v>450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1.45243818589779E-4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5.0828168282297102E-2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4.0083403729141001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5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4.9148663878440899E-2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8.1433389482509205E-3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  <c r="EU52" s="28">
        <v>0</v>
      </c>
      <c r="EV52" s="28">
        <v>0</v>
      </c>
      <c r="EW52" s="28">
        <v>0</v>
      </c>
      <c r="EX52" s="28">
        <v>0</v>
      </c>
      <c r="EY52" s="28">
        <v>0</v>
      </c>
      <c r="EZ52" s="28">
        <v>0</v>
      </c>
      <c r="FA52" s="28">
        <v>0</v>
      </c>
      <c r="FB52" s="28">
        <v>0</v>
      </c>
      <c r="FC52" s="28">
        <v>0</v>
      </c>
      <c r="FD52" s="28">
        <v>0</v>
      </c>
      <c r="FE52" s="28">
        <v>0</v>
      </c>
      <c r="FF52" s="28">
        <v>0</v>
      </c>
      <c r="FG52" s="28">
        <v>0</v>
      </c>
      <c r="FH52" s="28">
        <v>0</v>
      </c>
      <c r="FI52" s="28">
        <v>0</v>
      </c>
      <c r="FJ52" s="28">
        <v>0</v>
      </c>
      <c r="FK52" s="28">
        <v>0</v>
      </c>
      <c r="FL52" s="28">
        <v>0</v>
      </c>
      <c r="FM52" s="28">
        <v>0</v>
      </c>
      <c r="FN52" s="28">
        <v>0</v>
      </c>
      <c r="FO52" s="28">
        <v>0</v>
      </c>
      <c r="FP52" s="28">
        <v>0</v>
      </c>
      <c r="FQ52" s="28">
        <v>0</v>
      </c>
      <c r="FR52" s="28">
        <v>0</v>
      </c>
      <c r="FS52" s="28">
        <v>9.4412847219358699E-3</v>
      </c>
      <c r="FT52" s="28">
        <v>0.75033033912788705</v>
      </c>
      <c r="FU52" s="28">
        <v>0</v>
      </c>
      <c r="FV52" s="28">
        <v>0</v>
      </c>
      <c r="FW52" s="28">
        <v>0</v>
      </c>
      <c r="FX52" s="28">
        <v>0</v>
      </c>
      <c r="FY52" s="28">
        <v>0</v>
      </c>
      <c r="FZ52" s="28">
        <v>0</v>
      </c>
      <c r="GA52" s="28">
        <v>0</v>
      </c>
      <c r="GB52" s="28">
        <v>0</v>
      </c>
      <c r="GC52" s="28">
        <v>0</v>
      </c>
      <c r="GD52" s="28">
        <v>0</v>
      </c>
      <c r="GE52" s="28">
        <v>0</v>
      </c>
      <c r="GF52" s="28">
        <v>0</v>
      </c>
      <c r="GG52" s="28">
        <v>0.93801702311448398</v>
      </c>
      <c r="GH52" s="28">
        <v>0</v>
      </c>
      <c r="GI52" s="28">
        <v>7.2169542626331004E-2</v>
      </c>
      <c r="GJ52" s="28">
        <v>6.53088223858794E-2</v>
      </c>
      <c r="GK52" s="28">
        <v>0.78727879880303797</v>
      </c>
      <c r="GL52" s="28">
        <v>0</v>
      </c>
      <c r="GM52" s="28">
        <v>0</v>
      </c>
      <c r="GN52" s="28">
        <v>0</v>
      </c>
      <c r="GO52" s="28">
        <v>0</v>
      </c>
      <c r="GP52" s="28">
        <v>0</v>
      </c>
      <c r="GQ52" s="21">
        <v>11.739151598621232</v>
      </c>
      <c r="GR52" s="21">
        <v>57.2863273512977</v>
      </c>
      <c r="GS52" s="20">
        <v>50.052530385149126</v>
      </c>
      <c r="GT52" s="20">
        <v>0</v>
      </c>
      <c r="GU52" s="20">
        <v>7.2337969661485744</v>
      </c>
      <c r="GV52" s="20">
        <v>7.2337969661485744</v>
      </c>
      <c r="GW52" s="20">
        <v>0</v>
      </c>
      <c r="GX52" s="21">
        <v>6.196583624916097</v>
      </c>
      <c r="GY52" s="20">
        <v>0</v>
      </c>
      <c r="GZ52" s="20">
        <v>6.196583624916097</v>
      </c>
      <c r="HA52" s="20"/>
      <c r="HB52" s="21">
        <v>0.74704415280000003</v>
      </c>
      <c r="HC52" s="21">
        <v>75.969106727635037</v>
      </c>
    </row>
    <row r="53" spans="2:211" s="7" customFormat="1" ht="17.25" customHeight="1">
      <c r="B53" s="26" t="s">
        <v>451</v>
      </c>
      <c r="C53" s="9" t="s">
        <v>452</v>
      </c>
      <c r="D53" s="28">
        <v>0</v>
      </c>
      <c r="E53" s="28">
        <v>0</v>
      </c>
      <c r="F53" s="28">
        <v>0</v>
      </c>
      <c r="G53" s="28">
        <v>0</v>
      </c>
      <c r="H53" s="28">
        <v>14.607155463755801</v>
      </c>
      <c r="I53" s="28">
        <v>0</v>
      </c>
      <c r="J53" s="28">
        <v>16.524336606462999</v>
      </c>
      <c r="K53" s="28">
        <v>5.1003256722304604</v>
      </c>
      <c r="L53" s="28">
        <v>5.6804857856185</v>
      </c>
      <c r="M53" s="28">
        <v>6.9702233075231597</v>
      </c>
      <c r="N53" s="28">
        <v>8.7577820507004898</v>
      </c>
      <c r="O53" s="28">
        <v>5.9352636143200801</v>
      </c>
      <c r="P53" s="28">
        <v>5.39470426240743</v>
      </c>
      <c r="Q53" s="28">
        <v>15.510007613915199</v>
      </c>
      <c r="R53" s="28">
        <v>9.5065658032588907</v>
      </c>
      <c r="S53" s="28">
        <v>0</v>
      </c>
      <c r="T53" s="28">
        <v>7.18311422790973</v>
      </c>
      <c r="U53" s="28">
        <v>4.2708309961832498</v>
      </c>
      <c r="V53" s="28">
        <v>0</v>
      </c>
      <c r="W53" s="28">
        <v>18.340914118695199</v>
      </c>
      <c r="X53" s="28">
        <v>2.3271423653903498</v>
      </c>
      <c r="Y53" s="28">
        <v>0.27069426485621001</v>
      </c>
      <c r="Z53" s="28">
        <v>17.076253454367698</v>
      </c>
      <c r="AA53" s="28">
        <v>0</v>
      </c>
      <c r="AB53" s="28">
        <v>0</v>
      </c>
      <c r="AC53" s="28">
        <v>0</v>
      </c>
      <c r="AD53" s="28">
        <v>0</v>
      </c>
      <c r="AE53" s="28">
        <v>1.5663382065548199</v>
      </c>
      <c r="AF53" s="28">
        <v>8.0526990878113693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0</v>
      </c>
      <c r="CM53" s="28">
        <v>0</v>
      </c>
      <c r="CN53" s="28">
        <v>0</v>
      </c>
      <c r="CO53" s="28">
        <v>0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0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>
        <v>0</v>
      </c>
      <c r="DJ53" s="28">
        <v>0</v>
      </c>
      <c r="DK53" s="28">
        <v>0</v>
      </c>
      <c r="DL53" s="28">
        <v>0</v>
      </c>
      <c r="DM53" s="28">
        <v>0</v>
      </c>
      <c r="DN53" s="28">
        <v>0</v>
      </c>
      <c r="DO53" s="28">
        <v>0</v>
      </c>
      <c r="DP53" s="28">
        <v>0</v>
      </c>
      <c r="DQ53" s="28">
        <v>0</v>
      </c>
      <c r="DR53" s="28">
        <v>0.50237176686580698</v>
      </c>
      <c r="DS53" s="28">
        <v>0</v>
      </c>
      <c r="DT53" s="28">
        <v>0</v>
      </c>
      <c r="DU53" s="28">
        <v>0</v>
      </c>
      <c r="DV53" s="28">
        <v>0</v>
      </c>
      <c r="DW53" s="28">
        <v>0</v>
      </c>
      <c r="DX53" s="28">
        <v>0</v>
      </c>
      <c r="DY53" s="28">
        <v>0</v>
      </c>
      <c r="DZ53" s="28">
        <v>0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0</v>
      </c>
      <c r="EI53" s="28">
        <v>0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0</v>
      </c>
      <c r="EQ53" s="28">
        <v>0</v>
      </c>
      <c r="ER53" s="28">
        <v>0</v>
      </c>
      <c r="ES53" s="28">
        <v>0</v>
      </c>
      <c r="ET53" s="28">
        <v>0</v>
      </c>
      <c r="EU53" s="28">
        <v>0</v>
      </c>
      <c r="EV53" s="28">
        <v>0</v>
      </c>
      <c r="EW53" s="28">
        <v>0</v>
      </c>
      <c r="EX53" s="28">
        <v>0</v>
      </c>
      <c r="EY53" s="28">
        <v>0</v>
      </c>
      <c r="EZ53" s="28">
        <v>0</v>
      </c>
      <c r="FA53" s="28">
        <v>0</v>
      </c>
      <c r="FB53" s="28">
        <v>0</v>
      </c>
      <c r="FC53" s="28">
        <v>1.6787783260451501</v>
      </c>
      <c r="FD53" s="28">
        <v>0.52215764998429703</v>
      </c>
      <c r="FE53" s="28">
        <v>0</v>
      </c>
      <c r="FF53" s="28">
        <v>0</v>
      </c>
      <c r="FG53" s="28">
        <v>0</v>
      </c>
      <c r="FH53" s="28">
        <v>0</v>
      </c>
      <c r="FI53" s="28">
        <v>0</v>
      </c>
      <c r="FJ53" s="28">
        <v>0</v>
      </c>
      <c r="FK53" s="28">
        <v>0</v>
      </c>
      <c r="FL53" s="28">
        <v>0</v>
      </c>
      <c r="FM53" s="28">
        <v>0</v>
      </c>
      <c r="FN53" s="28">
        <v>0</v>
      </c>
      <c r="FO53" s="28">
        <v>0</v>
      </c>
      <c r="FP53" s="28">
        <v>0</v>
      </c>
      <c r="FQ53" s="28">
        <v>0</v>
      </c>
      <c r="FR53" s="28">
        <v>0</v>
      </c>
      <c r="FS53" s="28">
        <v>0</v>
      </c>
      <c r="FT53" s="28">
        <v>0</v>
      </c>
      <c r="FU53" s="28">
        <v>0</v>
      </c>
      <c r="FV53" s="28">
        <v>0</v>
      </c>
      <c r="FW53" s="28">
        <v>0</v>
      </c>
      <c r="FX53" s="28">
        <v>0</v>
      </c>
      <c r="FY53" s="28">
        <v>0</v>
      </c>
      <c r="FZ53" s="28">
        <v>0</v>
      </c>
      <c r="GA53" s="28">
        <v>0</v>
      </c>
      <c r="GB53" s="28">
        <v>0</v>
      </c>
      <c r="GC53" s="28">
        <v>0</v>
      </c>
      <c r="GD53" s="28">
        <v>0</v>
      </c>
      <c r="GE53" s="28">
        <v>0</v>
      </c>
      <c r="GF53" s="28">
        <v>0</v>
      </c>
      <c r="GG53" s="28">
        <v>0</v>
      </c>
      <c r="GH53" s="28">
        <v>0</v>
      </c>
      <c r="GI53" s="28">
        <v>0</v>
      </c>
      <c r="GJ53" s="28">
        <v>0</v>
      </c>
      <c r="GK53" s="28">
        <v>0</v>
      </c>
      <c r="GL53" s="28">
        <v>0</v>
      </c>
      <c r="GM53" s="28">
        <v>0</v>
      </c>
      <c r="GN53" s="28">
        <v>0</v>
      </c>
      <c r="GO53" s="28">
        <v>0</v>
      </c>
      <c r="GP53" s="28">
        <v>0</v>
      </c>
      <c r="GQ53" s="21">
        <v>155.77814464485746</v>
      </c>
      <c r="GR53" s="21">
        <v>0</v>
      </c>
      <c r="GS53" s="20">
        <v>0</v>
      </c>
      <c r="GT53" s="20">
        <v>0</v>
      </c>
      <c r="GU53" s="20">
        <v>0</v>
      </c>
      <c r="GV53" s="20">
        <v>0</v>
      </c>
      <c r="GW53" s="20">
        <v>0</v>
      </c>
      <c r="GX53" s="21">
        <v>4.8060464737262691</v>
      </c>
      <c r="GY53" s="20">
        <v>0</v>
      </c>
      <c r="GZ53" s="20">
        <v>4.8060464737262691</v>
      </c>
      <c r="HA53" s="20"/>
      <c r="HB53" s="21">
        <v>0.17052</v>
      </c>
      <c r="HC53" s="21">
        <v>160.75471111858374</v>
      </c>
    </row>
    <row r="54" spans="2:211" s="7" customFormat="1" ht="17.25" customHeight="1">
      <c r="B54" s="26" t="s">
        <v>40</v>
      </c>
      <c r="C54" s="9" t="s">
        <v>453</v>
      </c>
      <c r="D54" s="28">
        <v>3.8558515911317598E-3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1.83760393494505E-2</v>
      </c>
      <c r="AF54" s="28">
        <v>1.1456131627775401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0.102494549545845</v>
      </c>
      <c r="AQ54" s="28">
        <v>0</v>
      </c>
      <c r="AR54" s="28">
        <v>0</v>
      </c>
      <c r="AS54" s="28">
        <v>0</v>
      </c>
      <c r="AT54" s="28">
        <v>4.3756320349522801E-2</v>
      </c>
      <c r="AU54" s="28">
        <v>0</v>
      </c>
      <c r="AV54" s="28">
        <v>6.3812760935356803</v>
      </c>
      <c r="AW54" s="28">
        <v>8.7174243019486095</v>
      </c>
      <c r="AX54" s="28">
        <v>69.374008165238394</v>
      </c>
      <c r="AY54" s="28">
        <v>0</v>
      </c>
      <c r="AZ54" s="28">
        <v>0.69930663253905501</v>
      </c>
      <c r="BA54" s="28">
        <v>2.9531433866306598</v>
      </c>
      <c r="BB54" s="28">
        <v>0.49835433809365498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364.77231990793501</v>
      </c>
      <c r="DB54" s="28">
        <v>69.544924160550295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2.0848430546673201E-2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3.6133218669790499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  <c r="EU54" s="28">
        <v>0.259131043919754</v>
      </c>
      <c r="EV54" s="28">
        <v>0</v>
      </c>
      <c r="EW54" s="28">
        <v>0</v>
      </c>
      <c r="EX54" s="28">
        <v>0</v>
      </c>
      <c r="EY54" s="28">
        <v>0</v>
      </c>
      <c r="EZ54" s="28">
        <v>0</v>
      </c>
      <c r="FA54" s="28">
        <v>0</v>
      </c>
      <c r="FB54" s="28">
        <v>0</v>
      </c>
      <c r="FC54" s="28">
        <v>0</v>
      </c>
      <c r="FD54" s="28">
        <v>6.5875668505389395E-2</v>
      </c>
      <c r="FE54" s="28">
        <v>0</v>
      </c>
      <c r="FF54" s="28">
        <v>0</v>
      </c>
      <c r="FG54" s="28">
        <v>6.0823846447774699</v>
      </c>
      <c r="FH54" s="28">
        <v>0.14748338555381399</v>
      </c>
      <c r="FI54" s="28">
        <v>0</v>
      </c>
      <c r="FJ54" s="28">
        <v>0</v>
      </c>
      <c r="FK54" s="28">
        <v>0</v>
      </c>
      <c r="FL54" s="28">
        <v>0</v>
      </c>
      <c r="FM54" s="28">
        <v>0</v>
      </c>
      <c r="FN54" s="28">
        <v>1.7991678727948199E-2</v>
      </c>
      <c r="FO54" s="28">
        <v>0</v>
      </c>
      <c r="FP54" s="28">
        <v>0</v>
      </c>
      <c r="FQ54" s="28">
        <v>0</v>
      </c>
      <c r="FR54" s="28">
        <v>0</v>
      </c>
      <c r="FS54" s="28">
        <v>0</v>
      </c>
      <c r="FT54" s="28">
        <v>0</v>
      </c>
      <c r="FU54" s="28">
        <v>0</v>
      </c>
      <c r="FV54" s="28">
        <v>0</v>
      </c>
      <c r="FW54" s="28">
        <v>0</v>
      </c>
      <c r="FX54" s="28">
        <v>0</v>
      </c>
      <c r="FY54" s="28">
        <v>0</v>
      </c>
      <c r="FZ54" s="28">
        <v>0</v>
      </c>
      <c r="GA54" s="28">
        <v>8.64839644724609E-2</v>
      </c>
      <c r="GB54" s="28">
        <v>0</v>
      </c>
      <c r="GC54" s="28">
        <v>0</v>
      </c>
      <c r="GD54" s="28">
        <v>0</v>
      </c>
      <c r="GE54" s="28">
        <v>0</v>
      </c>
      <c r="GF54" s="28">
        <v>0</v>
      </c>
      <c r="GG54" s="28">
        <v>0</v>
      </c>
      <c r="GH54" s="28">
        <v>0</v>
      </c>
      <c r="GI54" s="28">
        <v>0</v>
      </c>
      <c r="GJ54" s="28">
        <v>0</v>
      </c>
      <c r="GK54" s="28">
        <v>0</v>
      </c>
      <c r="GL54" s="28">
        <v>0</v>
      </c>
      <c r="GM54" s="28">
        <v>0</v>
      </c>
      <c r="GN54" s="28">
        <v>0</v>
      </c>
      <c r="GO54" s="28">
        <v>0</v>
      </c>
      <c r="GP54" s="28">
        <v>0</v>
      </c>
      <c r="GQ54" s="21">
        <v>534.54837359356725</v>
      </c>
      <c r="GR54" s="21">
        <v>37.464675557705903</v>
      </c>
      <c r="GS54" s="20">
        <v>37.464675557705903</v>
      </c>
      <c r="GT54" s="20">
        <v>0</v>
      </c>
      <c r="GU54" s="20">
        <v>0</v>
      </c>
      <c r="GV54" s="20">
        <v>0</v>
      </c>
      <c r="GW54" s="20">
        <v>0</v>
      </c>
      <c r="GX54" s="21">
        <v>0.34882987533070275</v>
      </c>
      <c r="GY54" s="20">
        <v>0</v>
      </c>
      <c r="GZ54" s="20">
        <v>0.34882987533070275</v>
      </c>
      <c r="HA54" s="20"/>
      <c r="HB54" s="21">
        <v>33.243016909941304</v>
      </c>
      <c r="HC54" s="21">
        <v>605.60489593654518</v>
      </c>
    </row>
    <row r="55" spans="2:211" s="7" customFormat="1" ht="17.25" customHeight="1">
      <c r="B55" s="26" t="s">
        <v>41</v>
      </c>
      <c r="C55" s="9" t="s">
        <v>454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5.1510582942858996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3.5477103511705899</v>
      </c>
      <c r="AF55" s="28">
        <v>0</v>
      </c>
      <c r="AG55" s="28">
        <v>0</v>
      </c>
      <c r="AH55" s="28">
        <v>1.5316971085314901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0.51150619078552395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522.09893360992203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22.067671559390899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6.8547019355525203</v>
      </c>
      <c r="DU55" s="28">
        <v>0</v>
      </c>
      <c r="DV55" s="28">
        <v>0</v>
      </c>
      <c r="DW55" s="28">
        <v>0</v>
      </c>
      <c r="DX55" s="28">
        <v>1.1189195192165799</v>
      </c>
      <c r="DY55" s="28">
        <v>5.8826760496843802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5.0733743825074198</v>
      </c>
      <c r="ET55" s="28">
        <v>0</v>
      </c>
      <c r="EU55" s="28">
        <v>0</v>
      </c>
      <c r="EV55" s="28">
        <v>15.483991198694101</v>
      </c>
      <c r="EW55" s="28">
        <v>0</v>
      </c>
      <c r="EX55" s="28">
        <v>0</v>
      </c>
      <c r="EY55" s="28">
        <v>0</v>
      </c>
      <c r="EZ55" s="28">
        <v>0</v>
      </c>
      <c r="FA55" s="28">
        <v>0</v>
      </c>
      <c r="FB55" s="28">
        <v>0</v>
      </c>
      <c r="FC55" s="28">
        <v>6.0690226321993697</v>
      </c>
      <c r="FD55" s="28">
        <v>6.0182893639773596</v>
      </c>
      <c r="FE55" s="28">
        <v>2.44893898600307E-2</v>
      </c>
      <c r="FF55" s="28">
        <v>0</v>
      </c>
      <c r="FG55" s="28">
        <v>3.1084668239786801E-2</v>
      </c>
      <c r="FH55" s="28">
        <v>0</v>
      </c>
      <c r="FI55" s="28">
        <v>0</v>
      </c>
      <c r="FJ55" s="28">
        <v>0</v>
      </c>
      <c r="FK55" s="28">
        <v>0</v>
      </c>
      <c r="FL55" s="28">
        <v>0</v>
      </c>
      <c r="FM55" s="28">
        <v>0</v>
      </c>
      <c r="FN55" s="28">
        <v>0</v>
      </c>
      <c r="FO55" s="28">
        <v>0</v>
      </c>
      <c r="FP55" s="28">
        <v>0</v>
      </c>
      <c r="FQ55" s="28">
        <v>0</v>
      </c>
      <c r="FR55" s="28">
        <v>0</v>
      </c>
      <c r="FS55" s="28">
        <v>0.103110916829974</v>
      </c>
      <c r="FT55" s="28">
        <v>8.1945679503835702</v>
      </c>
      <c r="FU55" s="28">
        <v>0</v>
      </c>
      <c r="FV55" s="28">
        <v>0</v>
      </c>
      <c r="FW55" s="28">
        <v>0</v>
      </c>
      <c r="FX55" s="28">
        <v>0</v>
      </c>
      <c r="FY55" s="28">
        <v>0</v>
      </c>
      <c r="FZ55" s="28">
        <v>0</v>
      </c>
      <c r="GA55" s="28">
        <v>4.70847458468718E-4</v>
      </c>
      <c r="GB55" s="28">
        <v>0</v>
      </c>
      <c r="GC55" s="28">
        <v>0</v>
      </c>
      <c r="GD55" s="28">
        <v>0</v>
      </c>
      <c r="GE55" s="28">
        <v>0</v>
      </c>
      <c r="GF55" s="28">
        <v>0</v>
      </c>
      <c r="GG55" s="28">
        <v>0</v>
      </c>
      <c r="GH55" s="28">
        <v>0</v>
      </c>
      <c r="GI55" s="28">
        <v>0</v>
      </c>
      <c r="GJ55" s="28">
        <v>0</v>
      </c>
      <c r="GK55" s="28">
        <v>0</v>
      </c>
      <c r="GL55" s="28">
        <v>0</v>
      </c>
      <c r="GM55" s="28">
        <v>0</v>
      </c>
      <c r="GN55" s="28">
        <v>0</v>
      </c>
      <c r="GO55" s="28">
        <v>0</v>
      </c>
      <c r="GP55" s="28">
        <v>0</v>
      </c>
      <c r="GQ55" s="21">
        <v>609.76327596868998</v>
      </c>
      <c r="GR55" s="21">
        <v>34.0384851040535</v>
      </c>
      <c r="GS55" s="20">
        <v>34.0384851040535</v>
      </c>
      <c r="GT55" s="20">
        <v>0</v>
      </c>
      <c r="GU55" s="20">
        <v>0</v>
      </c>
      <c r="GV55" s="20">
        <v>0</v>
      </c>
      <c r="GW55" s="20">
        <v>0</v>
      </c>
      <c r="GX55" s="21">
        <v>-9.8418407996646824</v>
      </c>
      <c r="GY55" s="20">
        <v>0</v>
      </c>
      <c r="GZ55" s="20">
        <v>-9.8418407996646824</v>
      </c>
      <c r="HA55" s="20"/>
      <c r="HB55" s="21">
        <v>126.815224212169</v>
      </c>
      <c r="HC55" s="21">
        <v>760.77514448524778</v>
      </c>
    </row>
    <row r="56" spans="2:211" s="7" customFormat="1" ht="17.25" customHeight="1">
      <c r="B56" s="26" t="s">
        <v>43</v>
      </c>
      <c r="C56" s="9" t="s">
        <v>455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38.2542939301226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0</v>
      </c>
      <c r="CN56" s="28">
        <v>0</v>
      </c>
      <c r="CO56" s="28">
        <v>0</v>
      </c>
      <c r="CP56" s="28">
        <v>0</v>
      </c>
      <c r="CQ56" s="28">
        <v>0</v>
      </c>
      <c r="CR56" s="28">
        <v>0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0</v>
      </c>
      <c r="CY56" s="28">
        <v>0</v>
      </c>
      <c r="CZ56" s="28">
        <v>0</v>
      </c>
      <c r="DA56" s="28">
        <v>0</v>
      </c>
      <c r="DB56" s="28">
        <v>0</v>
      </c>
      <c r="DC56" s="28">
        <v>0</v>
      </c>
      <c r="DD56" s="28">
        <v>0</v>
      </c>
      <c r="DE56" s="28">
        <v>0</v>
      </c>
      <c r="DF56" s="28">
        <v>0</v>
      </c>
      <c r="DG56" s="28">
        <v>0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0</v>
      </c>
      <c r="DP56" s="28">
        <v>0</v>
      </c>
      <c r="DQ56" s="28">
        <v>0</v>
      </c>
      <c r="DR56" s="28">
        <v>0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0</v>
      </c>
      <c r="ED56" s="28">
        <v>0</v>
      </c>
      <c r="EE56" s="28">
        <v>0</v>
      </c>
      <c r="EF56" s="28">
        <v>0</v>
      </c>
      <c r="EG56" s="28">
        <v>0</v>
      </c>
      <c r="EH56" s="28">
        <v>0</v>
      </c>
      <c r="EI56" s="28">
        <v>0</v>
      </c>
      <c r="EJ56" s="28">
        <v>0</v>
      </c>
      <c r="EK56" s="28">
        <v>0</v>
      </c>
      <c r="EL56" s="28">
        <v>0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  <c r="EU56" s="28">
        <v>0</v>
      </c>
      <c r="EV56" s="28">
        <v>0</v>
      </c>
      <c r="EW56" s="28">
        <v>0</v>
      </c>
      <c r="EX56" s="28">
        <v>0</v>
      </c>
      <c r="EY56" s="28">
        <v>0</v>
      </c>
      <c r="EZ56" s="28">
        <v>0</v>
      </c>
      <c r="FA56" s="28">
        <v>0</v>
      </c>
      <c r="FB56" s="28">
        <v>0</v>
      </c>
      <c r="FC56" s="28">
        <v>2.84986637438067</v>
      </c>
      <c r="FD56" s="28">
        <v>0.35876925924633002</v>
      </c>
      <c r="FE56" s="28">
        <v>0</v>
      </c>
      <c r="FF56" s="28">
        <v>0</v>
      </c>
      <c r="FG56" s="28">
        <v>1.3554679143764401</v>
      </c>
      <c r="FH56" s="28">
        <v>0</v>
      </c>
      <c r="FI56" s="28">
        <v>0</v>
      </c>
      <c r="FJ56" s="28">
        <v>0</v>
      </c>
      <c r="FK56" s="28">
        <v>0</v>
      </c>
      <c r="FL56" s="28">
        <v>0</v>
      </c>
      <c r="FM56" s="28">
        <v>0</v>
      </c>
      <c r="FN56" s="28">
        <v>0</v>
      </c>
      <c r="FO56" s="28">
        <v>0</v>
      </c>
      <c r="FP56" s="28">
        <v>0</v>
      </c>
      <c r="FQ56" s="28">
        <v>0</v>
      </c>
      <c r="FR56" s="28">
        <v>0</v>
      </c>
      <c r="FS56" s="28">
        <v>0</v>
      </c>
      <c r="FT56" s="28">
        <v>0</v>
      </c>
      <c r="FU56" s="28">
        <v>0</v>
      </c>
      <c r="FV56" s="28">
        <v>0</v>
      </c>
      <c r="FW56" s="28">
        <v>0</v>
      </c>
      <c r="FX56" s="28">
        <v>0</v>
      </c>
      <c r="FY56" s="28">
        <v>0</v>
      </c>
      <c r="FZ56" s="28">
        <v>0</v>
      </c>
      <c r="GA56" s="28">
        <v>0</v>
      </c>
      <c r="GB56" s="28">
        <v>0</v>
      </c>
      <c r="GC56" s="28">
        <v>0</v>
      </c>
      <c r="GD56" s="28">
        <v>0</v>
      </c>
      <c r="GE56" s="28">
        <v>0</v>
      </c>
      <c r="GF56" s="28">
        <v>0</v>
      </c>
      <c r="GG56" s="28">
        <v>0</v>
      </c>
      <c r="GH56" s="28">
        <v>0</v>
      </c>
      <c r="GI56" s="28">
        <v>0</v>
      </c>
      <c r="GJ56" s="28">
        <v>0</v>
      </c>
      <c r="GK56" s="28">
        <v>0</v>
      </c>
      <c r="GL56" s="28">
        <v>0</v>
      </c>
      <c r="GM56" s="28">
        <v>0</v>
      </c>
      <c r="GN56" s="28">
        <v>0</v>
      </c>
      <c r="GO56" s="28">
        <v>0</v>
      </c>
      <c r="GP56" s="28">
        <v>0</v>
      </c>
      <c r="GQ56" s="21">
        <v>42.818397478126037</v>
      </c>
      <c r="GR56" s="21">
        <v>0</v>
      </c>
      <c r="GS56" s="20">
        <v>0</v>
      </c>
      <c r="GT56" s="20">
        <v>0</v>
      </c>
      <c r="GU56" s="20">
        <v>0</v>
      </c>
      <c r="GV56" s="20">
        <v>0</v>
      </c>
      <c r="GW56" s="20">
        <v>0</v>
      </c>
      <c r="GX56" s="21">
        <v>96.807998271298999</v>
      </c>
      <c r="GY56" s="20">
        <v>96.807998271298999</v>
      </c>
      <c r="GZ56" s="20">
        <v>0</v>
      </c>
      <c r="HA56" s="20"/>
      <c r="HB56" s="21">
        <v>0</v>
      </c>
      <c r="HC56" s="21">
        <v>139.62639574942503</v>
      </c>
    </row>
    <row r="57" spans="2:211" s="7" customFormat="1" ht="17.25" customHeight="1">
      <c r="B57" s="26" t="s">
        <v>44</v>
      </c>
      <c r="C57" s="9" t="s">
        <v>456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0.15229700158390799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0.10389148514886801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  <c r="AL57" s="28">
        <v>0</v>
      </c>
      <c r="AM57" s="28">
        <v>0</v>
      </c>
      <c r="AN57" s="28">
        <v>0</v>
      </c>
      <c r="AO57" s="28">
        <v>0</v>
      </c>
      <c r="AP57" s="28">
        <v>0</v>
      </c>
      <c r="AQ57" s="28">
        <v>20.8177281787666</v>
      </c>
      <c r="AR57" s="28">
        <v>0</v>
      </c>
      <c r="AS57" s="28">
        <v>0</v>
      </c>
      <c r="AT57" s="28">
        <v>0</v>
      </c>
      <c r="AU57" s="28">
        <v>0</v>
      </c>
      <c r="AV57" s="28">
        <v>0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8">
        <v>0</v>
      </c>
      <c r="BE57" s="28">
        <v>0</v>
      </c>
      <c r="BF57" s="28">
        <v>0</v>
      </c>
      <c r="BG57" s="28">
        <v>0</v>
      </c>
      <c r="BH57" s="28">
        <v>0</v>
      </c>
      <c r="BI57" s="28">
        <v>0</v>
      </c>
      <c r="BJ57" s="28">
        <v>0</v>
      </c>
      <c r="BK57" s="28">
        <v>167.73955048595101</v>
      </c>
      <c r="BL57" s="28">
        <v>0</v>
      </c>
      <c r="BM57" s="28">
        <v>0</v>
      </c>
      <c r="BN57" s="28">
        <v>0</v>
      </c>
      <c r="BO57" s="28">
        <v>0</v>
      </c>
      <c r="BP57" s="28">
        <v>0</v>
      </c>
      <c r="BQ57" s="28">
        <v>0</v>
      </c>
      <c r="BR57" s="28">
        <v>0</v>
      </c>
      <c r="BS57" s="28">
        <v>0</v>
      </c>
      <c r="BT57" s="28">
        <v>0</v>
      </c>
      <c r="BU57" s="28">
        <v>0</v>
      </c>
      <c r="BV57" s="28">
        <v>0</v>
      </c>
      <c r="BW57" s="28">
        <v>0</v>
      </c>
      <c r="BX57" s="28">
        <v>0</v>
      </c>
      <c r="BY57" s="28">
        <v>0</v>
      </c>
      <c r="BZ57" s="28">
        <v>0</v>
      </c>
      <c r="CA57" s="28">
        <v>0</v>
      </c>
      <c r="CB57" s="28">
        <v>0</v>
      </c>
      <c r="CC57" s="28">
        <v>0</v>
      </c>
      <c r="CD57" s="28">
        <v>0</v>
      </c>
      <c r="CE57" s="28">
        <v>0</v>
      </c>
      <c r="CF57" s="28">
        <v>0</v>
      </c>
      <c r="CG57" s="28">
        <v>0</v>
      </c>
      <c r="CH57" s="28">
        <v>0</v>
      </c>
      <c r="CI57" s="28">
        <v>0</v>
      </c>
      <c r="CJ57" s="28">
        <v>0</v>
      </c>
      <c r="CK57" s="28">
        <v>0</v>
      </c>
      <c r="CL57" s="28">
        <v>0</v>
      </c>
      <c r="CM57" s="28">
        <v>0</v>
      </c>
      <c r="CN57" s="28">
        <v>0</v>
      </c>
      <c r="CO57" s="28">
        <v>0</v>
      </c>
      <c r="CP57" s="28">
        <v>0</v>
      </c>
      <c r="CQ57" s="28">
        <v>0</v>
      </c>
      <c r="CR57" s="28">
        <v>0</v>
      </c>
      <c r="CS57" s="28">
        <v>0</v>
      </c>
      <c r="CT57" s="28">
        <v>0</v>
      </c>
      <c r="CU57" s="28">
        <v>0</v>
      </c>
      <c r="CV57" s="28">
        <v>0</v>
      </c>
      <c r="CW57" s="28">
        <v>0</v>
      </c>
      <c r="CX57" s="28">
        <v>0</v>
      </c>
      <c r="CY57" s="28">
        <v>0</v>
      </c>
      <c r="CZ57" s="28">
        <v>0</v>
      </c>
      <c r="DA57" s="28">
        <v>0</v>
      </c>
      <c r="DB57" s="28">
        <v>0</v>
      </c>
      <c r="DC57" s="28">
        <v>0</v>
      </c>
      <c r="DD57" s="28">
        <v>0</v>
      </c>
      <c r="DE57" s="28">
        <v>0</v>
      </c>
      <c r="DF57" s="28">
        <v>0</v>
      </c>
      <c r="DG57" s="28">
        <v>0</v>
      </c>
      <c r="DH57" s="28">
        <v>0</v>
      </c>
      <c r="DI57" s="28">
        <v>0</v>
      </c>
      <c r="DJ57" s="28">
        <v>0</v>
      </c>
      <c r="DK57" s="28">
        <v>0</v>
      </c>
      <c r="DL57" s="28">
        <v>0</v>
      </c>
      <c r="DM57" s="28">
        <v>0</v>
      </c>
      <c r="DN57" s="28">
        <v>0</v>
      </c>
      <c r="DO57" s="28">
        <v>0</v>
      </c>
      <c r="DP57" s="28">
        <v>0</v>
      </c>
      <c r="DQ57" s="28">
        <v>0</v>
      </c>
      <c r="DR57" s="28">
        <v>0</v>
      </c>
      <c r="DS57" s="28">
        <v>0</v>
      </c>
      <c r="DT57" s="28">
        <v>0</v>
      </c>
      <c r="DU57" s="28">
        <v>0</v>
      </c>
      <c r="DV57" s="28">
        <v>0</v>
      </c>
      <c r="DW57" s="28">
        <v>0</v>
      </c>
      <c r="DX57" s="28">
        <v>0</v>
      </c>
      <c r="DY57" s="28">
        <v>0</v>
      </c>
      <c r="DZ57" s="28">
        <v>0</v>
      </c>
      <c r="EA57" s="28">
        <v>0</v>
      </c>
      <c r="EB57" s="28">
        <v>0</v>
      </c>
      <c r="EC57" s="28">
        <v>0</v>
      </c>
      <c r="ED57" s="28">
        <v>0</v>
      </c>
      <c r="EE57" s="28">
        <v>0</v>
      </c>
      <c r="EF57" s="28">
        <v>0</v>
      </c>
      <c r="EG57" s="28">
        <v>0</v>
      </c>
      <c r="EH57" s="28">
        <v>0</v>
      </c>
      <c r="EI57" s="28">
        <v>0</v>
      </c>
      <c r="EJ57" s="28">
        <v>0</v>
      </c>
      <c r="EK57" s="28">
        <v>0</v>
      </c>
      <c r="EL57" s="28">
        <v>0</v>
      </c>
      <c r="EM57" s="28">
        <v>0</v>
      </c>
      <c r="EN57" s="28">
        <v>0</v>
      </c>
      <c r="EO57" s="28">
        <v>0</v>
      </c>
      <c r="EP57" s="28">
        <v>0</v>
      </c>
      <c r="EQ57" s="28">
        <v>0</v>
      </c>
      <c r="ER57" s="28">
        <v>0</v>
      </c>
      <c r="ES57" s="28">
        <v>0</v>
      </c>
      <c r="ET57" s="28">
        <v>0</v>
      </c>
      <c r="EU57" s="28">
        <v>0</v>
      </c>
      <c r="EV57" s="28">
        <v>0</v>
      </c>
      <c r="EW57" s="28">
        <v>0</v>
      </c>
      <c r="EX57" s="28">
        <v>0</v>
      </c>
      <c r="EY57" s="28">
        <v>0</v>
      </c>
      <c r="EZ57" s="28">
        <v>0</v>
      </c>
      <c r="FA57" s="28">
        <v>0</v>
      </c>
      <c r="FB57" s="28">
        <v>0</v>
      </c>
      <c r="FC57" s="28">
        <v>0</v>
      </c>
      <c r="FD57" s="28">
        <v>0</v>
      </c>
      <c r="FE57" s="28">
        <v>0</v>
      </c>
      <c r="FF57" s="28">
        <v>0</v>
      </c>
      <c r="FG57" s="28">
        <v>0</v>
      </c>
      <c r="FH57" s="28">
        <v>0</v>
      </c>
      <c r="FI57" s="28">
        <v>0</v>
      </c>
      <c r="FJ57" s="28">
        <v>0</v>
      </c>
      <c r="FK57" s="28">
        <v>0</v>
      </c>
      <c r="FL57" s="28">
        <v>0</v>
      </c>
      <c r="FM57" s="28">
        <v>0</v>
      </c>
      <c r="FN57" s="28">
        <v>0</v>
      </c>
      <c r="FO57" s="28">
        <v>0</v>
      </c>
      <c r="FP57" s="28">
        <v>0</v>
      </c>
      <c r="FQ57" s="28">
        <v>0</v>
      </c>
      <c r="FR57" s="28">
        <v>0</v>
      </c>
      <c r="FS57" s="28">
        <v>0.48854581119158602</v>
      </c>
      <c r="FT57" s="28">
        <v>38.826362617706103</v>
      </c>
      <c r="FU57" s="28">
        <v>0</v>
      </c>
      <c r="FV57" s="28">
        <v>0</v>
      </c>
      <c r="FW57" s="28">
        <v>0</v>
      </c>
      <c r="FX57" s="28">
        <v>0</v>
      </c>
      <c r="FY57" s="28">
        <v>0</v>
      </c>
      <c r="FZ57" s="28">
        <v>0</v>
      </c>
      <c r="GA57" s="28">
        <v>0</v>
      </c>
      <c r="GB57" s="28">
        <v>0</v>
      </c>
      <c r="GC57" s="28">
        <v>0</v>
      </c>
      <c r="GD57" s="28">
        <v>0</v>
      </c>
      <c r="GE57" s="28">
        <v>0</v>
      </c>
      <c r="GF57" s="28">
        <v>0</v>
      </c>
      <c r="GG57" s="28">
        <v>1.09503992017951</v>
      </c>
      <c r="GH57" s="28">
        <v>0</v>
      </c>
      <c r="GI57" s="28">
        <v>0</v>
      </c>
      <c r="GJ57" s="28">
        <v>0</v>
      </c>
      <c r="GK57" s="28">
        <v>0</v>
      </c>
      <c r="GL57" s="28">
        <v>0</v>
      </c>
      <c r="GM57" s="28">
        <v>0</v>
      </c>
      <c r="GN57" s="28">
        <v>0</v>
      </c>
      <c r="GO57" s="28">
        <v>0</v>
      </c>
      <c r="GP57" s="28">
        <v>0</v>
      </c>
      <c r="GQ57" s="21">
        <v>229.22341550052761</v>
      </c>
      <c r="GR57" s="21">
        <v>65.727119296517898</v>
      </c>
      <c r="GS57" s="20">
        <v>65.727119296517898</v>
      </c>
      <c r="GT57" s="20">
        <v>0</v>
      </c>
      <c r="GU57" s="20">
        <v>0</v>
      </c>
      <c r="GV57" s="20">
        <v>0</v>
      </c>
      <c r="GW57" s="20">
        <v>0</v>
      </c>
      <c r="GX57" s="21">
        <v>9.0837139037403176</v>
      </c>
      <c r="GY57" s="20">
        <v>0</v>
      </c>
      <c r="GZ57" s="20">
        <v>9.0837139037403176</v>
      </c>
      <c r="HA57" s="20"/>
      <c r="HB57" s="21">
        <v>0</v>
      </c>
      <c r="HC57" s="21">
        <v>304.03424870078584</v>
      </c>
    </row>
    <row r="58" spans="2:211" s="7" customFormat="1" ht="17.25" customHeight="1">
      <c r="B58" s="26" t="s">
        <v>45</v>
      </c>
      <c r="C58" s="9" t="s">
        <v>457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1.6964780136239201E-4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6.6447037271743104E-4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20.984576192026999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0</v>
      </c>
      <c r="BN58" s="28">
        <v>0</v>
      </c>
      <c r="BO58" s="28">
        <v>0</v>
      </c>
      <c r="BP58" s="28">
        <v>0</v>
      </c>
      <c r="BQ58" s="28">
        <v>0</v>
      </c>
      <c r="BR58" s="28">
        <v>0</v>
      </c>
      <c r="BS58" s="28">
        <v>0</v>
      </c>
      <c r="BT58" s="28">
        <v>0</v>
      </c>
      <c r="BU58" s="28">
        <v>0</v>
      </c>
      <c r="BV58" s="28">
        <v>0</v>
      </c>
      <c r="BW58" s="28">
        <v>0</v>
      </c>
      <c r="BX58" s="28">
        <v>0</v>
      </c>
      <c r="BY58" s="28">
        <v>0</v>
      </c>
      <c r="BZ58" s="28">
        <v>0</v>
      </c>
      <c r="CA58" s="28">
        <v>0</v>
      </c>
      <c r="CB58" s="28">
        <v>0</v>
      </c>
      <c r="CC58" s="28">
        <v>0</v>
      </c>
      <c r="CD58" s="28">
        <v>0</v>
      </c>
      <c r="CE58" s="28">
        <v>0</v>
      </c>
      <c r="CF58" s="28">
        <v>0</v>
      </c>
      <c r="CG58" s="28">
        <v>0</v>
      </c>
      <c r="CH58" s="28">
        <v>0</v>
      </c>
      <c r="CI58" s="28">
        <v>0</v>
      </c>
      <c r="CJ58" s="28">
        <v>0</v>
      </c>
      <c r="CK58" s="28">
        <v>0</v>
      </c>
      <c r="CL58" s="28">
        <v>0</v>
      </c>
      <c r="CM58" s="28">
        <v>0</v>
      </c>
      <c r="CN58" s="28">
        <v>0</v>
      </c>
      <c r="CO58" s="28">
        <v>0</v>
      </c>
      <c r="CP58" s="28">
        <v>0</v>
      </c>
      <c r="CQ58" s="28">
        <v>0</v>
      </c>
      <c r="CR58" s="28">
        <v>0</v>
      </c>
      <c r="CS58" s="28">
        <v>0</v>
      </c>
      <c r="CT58" s="28">
        <v>0</v>
      </c>
      <c r="CU58" s="28">
        <v>0</v>
      </c>
      <c r="CV58" s="28">
        <v>0</v>
      </c>
      <c r="CW58" s="28">
        <v>0</v>
      </c>
      <c r="CX58" s="28">
        <v>0</v>
      </c>
      <c r="CY58" s="28">
        <v>0</v>
      </c>
      <c r="CZ58" s="28">
        <v>0</v>
      </c>
      <c r="DA58" s="28">
        <v>0</v>
      </c>
      <c r="DB58" s="28">
        <v>0</v>
      </c>
      <c r="DC58" s="28">
        <v>0</v>
      </c>
      <c r="DD58" s="28">
        <v>0</v>
      </c>
      <c r="DE58" s="28">
        <v>0</v>
      </c>
      <c r="DF58" s="28">
        <v>0</v>
      </c>
      <c r="DG58" s="28">
        <v>0</v>
      </c>
      <c r="DH58" s="28">
        <v>0</v>
      </c>
      <c r="DI58" s="28">
        <v>0</v>
      </c>
      <c r="DJ58" s="28">
        <v>0</v>
      </c>
      <c r="DK58" s="28">
        <v>0</v>
      </c>
      <c r="DL58" s="28">
        <v>0</v>
      </c>
      <c r="DM58" s="28">
        <v>0</v>
      </c>
      <c r="DN58" s="28">
        <v>0</v>
      </c>
      <c r="DO58" s="28">
        <v>0</v>
      </c>
      <c r="DP58" s="28">
        <v>0</v>
      </c>
      <c r="DQ58" s="28">
        <v>0</v>
      </c>
      <c r="DR58" s="28">
        <v>0</v>
      </c>
      <c r="DS58" s="28">
        <v>0</v>
      </c>
      <c r="DT58" s="28">
        <v>0</v>
      </c>
      <c r="DU58" s="28">
        <v>0</v>
      </c>
      <c r="DV58" s="28">
        <v>0</v>
      </c>
      <c r="DW58" s="28">
        <v>0</v>
      </c>
      <c r="DX58" s="28">
        <v>0</v>
      </c>
      <c r="DY58" s="28">
        <v>0</v>
      </c>
      <c r="DZ58" s="28">
        <v>0</v>
      </c>
      <c r="EA58" s="28">
        <v>0</v>
      </c>
      <c r="EB58" s="28">
        <v>0</v>
      </c>
      <c r="EC58" s="28">
        <v>0</v>
      </c>
      <c r="ED58" s="28">
        <v>0</v>
      </c>
      <c r="EE58" s="28">
        <v>0</v>
      </c>
      <c r="EF58" s="28">
        <v>0</v>
      </c>
      <c r="EG58" s="28">
        <v>0</v>
      </c>
      <c r="EH58" s="28">
        <v>0</v>
      </c>
      <c r="EI58" s="28">
        <v>0</v>
      </c>
      <c r="EJ58" s="28">
        <v>0</v>
      </c>
      <c r="EK58" s="28">
        <v>0</v>
      </c>
      <c r="EL58" s="28">
        <v>0</v>
      </c>
      <c r="EM58" s="28">
        <v>0</v>
      </c>
      <c r="EN58" s="28">
        <v>0</v>
      </c>
      <c r="EO58" s="28">
        <v>0</v>
      </c>
      <c r="EP58" s="28">
        <v>0</v>
      </c>
      <c r="EQ58" s="28">
        <v>0</v>
      </c>
      <c r="ER58" s="28">
        <v>0</v>
      </c>
      <c r="ES58" s="28">
        <v>0</v>
      </c>
      <c r="ET58" s="28">
        <v>0</v>
      </c>
      <c r="EU58" s="28">
        <v>0</v>
      </c>
      <c r="EV58" s="28">
        <v>0</v>
      </c>
      <c r="EW58" s="28">
        <v>0</v>
      </c>
      <c r="EX58" s="28">
        <v>0</v>
      </c>
      <c r="EY58" s="28">
        <v>0</v>
      </c>
      <c r="EZ58" s="28">
        <v>0</v>
      </c>
      <c r="FA58" s="28">
        <v>0</v>
      </c>
      <c r="FB58" s="28">
        <v>0</v>
      </c>
      <c r="FC58" s="28">
        <v>0</v>
      </c>
      <c r="FD58" s="28">
        <v>0</v>
      </c>
      <c r="FE58" s="28">
        <v>0</v>
      </c>
      <c r="FF58" s="28">
        <v>0</v>
      </c>
      <c r="FG58" s="28">
        <v>0</v>
      </c>
      <c r="FH58" s="28">
        <v>0</v>
      </c>
      <c r="FI58" s="28">
        <v>0</v>
      </c>
      <c r="FJ58" s="28">
        <v>0</v>
      </c>
      <c r="FK58" s="28">
        <v>0</v>
      </c>
      <c r="FL58" s="28">
        <v>0</v>
      </c>
      <c r="FM58" s="28">
        <v>0</v>
      </c>
      <c r="FN58" s="28">
        <v>0</v>
      </c>
      <c r="FO58" s="28">
        <v>0</v>
      </c>
      <c r="FP58" s="28">
        <v>0</v>
      </c>
      <c r="FQ58" s="28">
        <v>0</v>
      </c>
      <c r="FR58" s="28">
        <v>0</v>
      </c>
      <c r="FS58" s="28">
        <v>1.1027616945520499E-2</v>
      </c>
      <c r="FT58" s="28">
        <v>0.87640144389250696</v>
      </c>
      <c r="FU58" s="28">
        <v>0</v>
      </c>
      <c r="FV58" s="28">
        <v>0</v>
      </c>
      <c r="FW58" s="28">
        <v>0</v>
      </c>
      <c r="FX58" s="28">
        <v>0</v>
      </c>
      <c r="FY58" s="28">
        <v>0</v>
      </c>
      <c r="FZ58" s="28">
        <v>0</v>
      </c>
      <c r="GA58" s="28">
        <v>0</v>
      </c>
      <c r="GB58" s="28">
        <v>0</v>
      </c>
      <c r="GC58" s="28">
        <v>0</v>
      </c>
      <c r="GD58" s="28">
        <v>0</v>
      </c>
      <c r="GE58" s="28">
        <v>0</v>
      </c>
      <c r="GF58" s="28">
        <v>0</v>
      </c>
      <c r="GG58" s="28">
        <v>0</v>
      </c>
      <c r="GH58" s="28">
        <v>0</v>
      </c>
      <c r="GI58" s="28">
        <v>0</v>
      </c>
      <c r="GJ58" s="28">
        <v>0</v>
      </c>
      <c r="GK58" s="28">
        <v>0</v>
      </c>
      <c r="GL58" s="28">
        <v>0</v>
      </c>
      <c r="GM58" s="28">
        <v>0</v>
      </c>
      <c r="GN58" s="28">
        <v>0</v>
      </c>
      <c r="GO58" s="28">
        <v>0</v>
      </c>
      <c r="GP58" s="28">
        <v>0</v>
      </c>
      <c r="GQ58" s="21">
        <v>21.872839371039106</v>
      </c>
      <c r="GR58" s="21">
        <v>0</v>
      </c>
      <c r="GS58" s="20">
        <v>0</v>
      </c>
      <c r="GT58" s="20">
        <v>0</v>
      </c>
      <c r="GU58" s="20">
        <v>0</v>
      </c>
      <c r="GV58" s="20">
        <v>0</v>
      </c>
      <c r="GW58" s="20">
        <v>0</v>
      </c>
      <c r="GX58" s="21">
        <v>1.1027616945494145E-2</v>
      </c>
      <c r="GY58" s="20">
        <v>0</v>
      </c>
      <c r="GZ58" s="20">
        <v>1.1027616945494145E-2</v>
      </c>
      <c r="HA58" s="20"/>
      <c r="HB58" s="21">
        <v>0</v>
      </c>
      <c r="HC58" s="21">
        <v>21.8838669879846</v>
      </c>
    </row>
    <row r="59" spans="2:211" s="7" customFormat="1" ht="17.25" customHeight="1">
      <c r="B59" s="26" t="s">
        <v>46</v>
      </c>
      <c r="C59" s="9" t="s">
        <v>458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3791.3930996706499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  <c r="EU59" s="28">
        <v>0</v>
      </c>
      <c r="EV59" s="28">
        <v>0</v>
      </c>
      <c r="EW59" s="28">
        <v>0</v>
      </c>
      <c r="EX59" s="28">
        <v>0</v>
      </c>
      <c r="EY59" s="28">
        <v>0</v>
      </c>
      <c r="EZ59" s="28">
        <v>0</v>
      </c>
      <c r="FA59" s="28">
        <v>0</v>
      </c>
      <c r="FB59" s="28">
        <v>0</v>
      </c>
      <c r="FC59" s="28">
        <v>0</v>
      </c>
      <c r="FD59" s="28">
        <v>0</v>
      </c>
      <c r="FE59" s="28">
        <v>0</v>
      </c>
      <c r="FF59" s="28">
        <v>0</v>
      </c>
      <c r="FG59" s="28">
        <v>0</v>
      </c>
      <c r="FH59" s="28">
        <v>0</v>
      </c>
      <c r="FI59" s="28">
        <v>0</v>
      </c>
      <c r="FJ59" s="28">
        <v>0</v>
      </c>
      <c r="FK59" s="28">
        <v>0</v>
      </c>
      <c r="FL59" s="28">
        <v>0</v>
      </c>
      <c r="FM59" s="28">
        <v>0</v>
      </c>
      <c r="FN59" s="28">
        <v>0</v>
      </c>
      <c r="FO59" s="28">
        <v>0</v>
      </c>
      <c r="FP59" s="28">
        <v>0</v>
      </c>
      <c r="FQ59" s="28">
        <v>0</v>
      </c>
      <c r="FR59" s="28">
        <v>0</v>
      </c>
      <c r="FS59" s="28">
        <v>0</v>
      </c>
      <c r="FT59" s="28">
        <v>0</v>
      </c>
      <c r="FU59" s="28">
        <v>0</v>
      </c>
      <c r="FV59" s="28">
        <v>0</v>
      </c>
      <c r="FW59" s="28">
        <v>0</v>
      </c>
      <c r="FX59" s="28">
        <v>0</v>
      </c>
      <c r="FY59" s="28">
        <v>0</v>
      </c>
      <c r="FZ59" s="28">
        <v>0</v>
      </c>
      <c r="GA59" s="28">
        <v>0</v>
      </c>
      <c r="GB59" s="28">
        <v>0</v>
      </c>
      <c r="GC59" s="28">
        <v>0</v>
      </c>
      <c r="GD59" s="28">
        <v>0</v>
      </c>
      <c r="GE59" s="28">
        <v>0</v>
      </c>
      <c r="GF59" s="28">
        <v>0</v>
      </c>
      <c r="GG59" s="28">
        <v>0</v>
      </c>
      <c r="GH59" s="28">
        <v>0</v>
      </c>
      <c r="GI59" s="28">
        <v>0</v>
      </c>
      <c r="GJ59" s="28">
        <v>0</v>
      </c>
      <c r="GK59" s="28">
        <v>0</v>
      </c>
      <c r="GL59" s="28">
        <v>0</v>
      </c>
      <c r="GM59" s="28">
        <v>0</v>
      </c>
      <c r="GN59" s="28">
        <v>0</v>
      </c>
      <c r="GO59" s="28">
        <v>0</v>
      </c>
      <c r="GP59" s="28">
        <v>0</v>
      </c>
      <c r="GQ59" s="21">
        <v>3791.3930996706499</v>
      </c>
      <c r="GR59" s="21">
        <v>0</v>
      </c>
      <c r="GS59" s="20">
        <v>0</v>
      </c>
      <c r="GT59" s="20">
        <v>0</v>
      </c>
      <c r="GU59" s="20">
        <v>0</v>
      </c>
      <c r="GV59" s="20">
        <v>0</v>
      </c>
      <c r="GW59" s="20">
        <v>0</v>
      </c>
      <c r="GX59" s="21">
        <v>-0.77152610064831595</v>
      </c>
      <c r="GY59" s="20">
        <v>0</v>
      </c>
      <c r="GZ59" s="20">
        <v>-0.77152610064831595</v>
      </c>
      <c r="HA59" s="20"/>
      <c r="HB59" s="21">
        <v>0</v>
      </c>
      <c r="HC59" s="21">
        <v>3790.6215735700016</v>
      </c>
    </row>
    <row r="60" spans="2:211" s="7" customFormat="1" ht="17.25" customHeight="1">
      <c r="B60" s="26" t="s">
        <v>47</v>
      </c>
      <c r="C60" s="9" t="s">
        <v>459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0.71835362185202101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5.8357702181151203E-2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40.709304855648099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1.08400496652305</v>
      </c>
      <c r="BB60" s="28">
        <v>0.64183495312260497</v>
      </c>
      <c r="BC60" s="28">
        <v>0</v>
      </c>
      <c r="BD60" s="28">
        <v>5.1194114444807197E-2</v>
      </c>
      <c r="BE60" s="28">
        <v>0</v>
      </c>
      <c r="BF60" s="28">
        <v>0</v>
      </c>
      <c r="BG60" s="28">
        <v>0.314178787999493</v>
      </c>
      <c r="BH60" s="28">
        <v>19.783851120274601</v>
      </c>
      <c r="BI60" s="28">
        <v>0.74845908638266401</v>
      </c>
      <c r="BJ60" s="28">
        <v>2.1858382117284201</v>
      </c>
      <c r="BK60" s="28">
        <v>0</v>
      </c>
      <c r="BL60" s="28">
        <v>1.66917847680216</v>
      </c>
      <c r="BM60" s="28">
        <v>1.0677651232137999</v>
      </c>
      <c r="BN60" s="28">
        <v>0.72370708866406097</v>
      </c>
      <c r="BO60" s="28">
        <v>3.20342163939707</v>
      </c>
      <c r="BP60" s="28">
        <v>0.25837712382431499</v>
      </c>
      <c r="BQ60" s="28">
        <v>4.0210590562497499</v>
      </c>
      <c r="BR60" s="28">
        <v>0.43140835842416703</v>
      </c>
      <c r="BS60" s="28">
        <v>0</v>
      </c>
      <c r="BT60" s="28">
        <v>21.762214018929502</v>
      </c>
      <c r="BU60" s="28">
        <v>0.18968676786647301</v>
      </c>
      <c r="BV60" s="28">
        <v>27.572428916782901</v>
      </c>
      <c r="BW60" s="28">
        <v>0.16030602934035701</v>
      </c>
      <c r="BX60" s="28">
        <v>9.9951125988921603E-3</v>
      </c>
      <c r="BY60" s="28">
        <v>1.3469028688006901</v>
      </c>
      <c r="BZ60" s="28">
        <v>2.4914739628732301</v>
      </c>
      <c r="CA60" s="28">
        <v>4.8663600000000002</v>
      </c>
      <c r="CB60" s="28">
        <v>17.522714914348398</v>
      </c>
      <c r="CC60" s="28">
        <v>0.960514204202365</v>
      </c>
      <c r="CD60" s="28">
        <v>12.6193624979535</v>
      </c>
      <c r="CE60" s="28">
        <v>4.2909022614455399</v>
      </c>
      <c r="CF60" s="28">
        <v>0</v>
      </c>
      <c r="CG60" s="28">
        <v>2.5060461121281699</v>
      </c>
      <c r="CH60" s="28">
        <v>2.3170754304383601</v>
      </c>
      <c r="CI60" s="28">
        <v>1.81860995292664</v>
      </c>
      <c r="CJ60" s="28">
        <v>8.2174806960614308</v>
      </c>
      <c r="CK60" s="28">
        <v>0</v>
      </c>
      <c r="CL60" s="28">
        <v>5.3630782721612397E-2</v>
      </c>
      <c r="CM60" s="28">
        <v>4.16201348950651</v>
      </c>
      <c r="CN60" s="28">
        <v>9.9211148917675001E-3</v>
      </c>
      <c r="CO60" s="28">
        <v>0.192822486162186</v>
      </c>
      <c r="CP60" s="28">
        <v>0.15058532357215901</v>
      </c>
      <c r="CQ60" s="28">
        <v>0.46931841969490101</v>
      </c>
      <c r="CR60" s="28">
        <v>0</v>
      </c>
      <c r="CS60" s="28">
        <v>0.188204956022825</v>
      </c>
      <c r="CT60" s="28">
        <v>7.4967910735144603</v>
      </c>
      <c r="CU60" s="28">
        <v>0</v>
      </c>
      <c r="CV60" s="28">
        <v>0</v>
      </c>
      <c r="CW60" s="28">
        <v>0</v>
      </c>
      <c r="CX60" s="28">
        <v>0.159487862590447</v>
      </c>
      <c r="CY60" s="28">
        <v>0</v>
      </c>
      <c r="CZ60" s="28">
        <v>0</v>
      </c>
      <c r="DA60" s="28">
        <v>1.6768500856215E-2</v>
      </c>
      <c r="DB60" s="28">
        <v>1.5870132694674699</v>
      </c>
      <c r="DC60" s="28">
        <v>4.08291239495657</v>
      </c>
      <c r="DD60" s="28">
        <v>0</v>
      </c>
      <c r="DE60" s="28">
        <v>0</v>
      </c>
      <c r="DF60" s="28">
        <v>1.11286056438754</v>
      </c>
      <c r="DG60" s="28">
        <v>3.0029174154391201</v>
      </c>
      <c r="DH60" s="28">
        <v>0.10693462063358999</v>
      </c>
      <c r="DI60" s="28">
        <v>0</v>
      </c>
      <c r="DJ60" s="28">
        <v>160.13802416600001</v>
      </c>
      <c r="DK60" s="28">
        <v>5.5440215832360203E-2</v>
      </c>
      <c r="DL60" s="28">
        <v>2.07438531888012</v>
      </c>
      <c r="DM60" s="28">
        <v>0</v>
      </c>
      <c r="DN60" s="28">
        <v>0.84313887514754204</v>
      </c>
      <c r="DO60" s="28">
        <v>1.6157244291597599</v>
      </c>
      <c r="DP60" s="28">
        <v>0</v>
      </c>
      <c r="DQ60" s="28">
        <v>0.12807436712836001</v>
      </c>
      <c r="DR60" s="28">
        <v>4.6143764096083197</v>
      </c>
      <c r="DS60" s="28">
        <v>0.90090822920396096</v>
      </c>
      <c r="DT60" s="28">
        <v>0.154556980822879</v>
      </c>
      <c r="DU60" s="28">
        <v>3.3045381908296099</v>
      </c>
      <c r="DV60" s="28">
        <v>0</v>
      </c>
      <c r="DW60" s="28">
        <v>0</v>
      </c>
      <c r="DX60" s="28">
        <v>13.2281343446916</v>
      </c>
      <c r="DY60" s="28">
        <v>0</v>
      </c>
      <c r="DZ60" s="28">
        <v>183.38237167795899</v>
      </c>
      <c r="EA60" s="28">
        <v>2.4964117394307098E-3</v>
      </c>
      <c r="EB60" s="28">
        <v>1.1152202604116701</v>
      </c>
      <c r="EC60" s="28">
        <v>0</v>
      </c>
      <c r="ED60" s="28">
        <v>0.124685593387519</v>
      </c>
      <c r="EE60" s="28">
        <v>0.49443138139325699</v>
      </c>
      <c r="EF60" s="28">
        <v>0.66700057205343899</v>
      </c>
      <c r="EG60" s="28">
        <v>1.86677390732201</v>
      </c>
      <c r="EH60" s="28">
        <v>0.32731065909734902</v>
      </c>
      <c r="EI60" s="28">
        <v>0.15166283227581001</v>
      </c>
      <c r="EJ60" s="28">
        <v>1.2055473901573099</v>
      </c>
      <c r="EK60" s="28">
        <v>8.7724539596361302E-5</v>
      </c>
      <c r="EL60" s="28">
        <v>1.4255683112251301</v>
      </c>
      <c r="EM60" s="28">
        <v>0</v>
      </c>
      <c r="EN60" s="28">
        <v>5.0007286839670699E-3</v>
      </c>
      <c r="EO60" s="28">
        <v>0.28312591902998002</v>
      </c>
      <c r="EP60" s="28">
        <v>0</v>
      </c>
      <c r="EQ60" s="28">
        <v>0</v>
      </c>
      <c r="ER60" s="28">
        <v>1.0565416037935701E-2</v>
      </c>
      <c r="ES60" s="28">
        <v>0.314495167025101</v>
      </c>
      <c r="ET60" s="28">
        <v>0.122089194087504</v>
      </c>
      <c r="EU60" s="28">
        <v>0</v>
      </c>
      <c r="EV60" s="28">
        <v>0.56958680165139897</v>
      </c>
      <c r="EW60" s="28">
        <v>0</v>
      </c>
      <c r="EX60" s="28">
        <v>611.74301863999995</v>
      </c>
      <c r="EY60" s="28">
        <v>0</v>
      </c>
      <c r="EZ60" s="28">
        <v>25.36008696</v>
      </c>
      <c r="FA60" s="28">
        <v>6.6949337535518696E-2</v>
      </c>
      <c r="FB60" s="28">
        <v>1.1066935285665601E-2</v>
      </c>
      <c r="FC60" s="28">
        <v>0</v>
      </c>
      <c r="FD60" s="28">
        <v>7.3533693895425096E-3</v>
      </c>
      <c r="FE60" s="28">
        <v>0</v>
      </c>
      <c r="FF60" s="28">
        <v>0</v>
      </c>
      <c r="FG60" s="28">
        <v>0</v>
      </c>
      <c r="FH60" s="28">
        <v>0</v>
      </c>
      <c r="FI60" s="28">
        <v>0.96012917274277199</v>
      </c>
      <c r="FJ60" s="28">
        <v>0</v>
      </c>
      <c r="FK60" s="28">
        <v>0</v>
      </c>
      <c r="FL60" s="28">
        <v>42.907780639035003</v>
      </c>
      <c r="FM60" s="28">
        <v>1028.03879878251</v>
      </c>
      <c r="FN60" s="28">
        <v>3.2460309583831801E-3</v>
      </c>
      <c r="FO60" s="28">
        <v>0</v>
      </c>
      <c r="FP60" s="28">
        <v>30.413182406888701</v>
      </c>
      <c r="FQ60" s="28">
        <v>7.7475928184344997E-2</v>
      </c>
      <c r="FR60" s="28">
        <v>0</v>
      </c>
      <c r="FS60" s="28">
        <v>13.0836549851883</v>
      </c>
      <c r="FT60" s="28">
        <v>34.917300285122501</v>
      </c>
      <c r="FU60" s="28">
        <v>3.3293665190347301</v>
      </c>
      <c r="FV60" s="28">
        <v>3.3408691710915303E-2</v>
      </c>
      <c r="FW60" s="28">
        <v>4.1159149999999999E-2</v>
      </c>
      <c r="FX60" s="28">
        <v>9.6916442608256208</v>
      </c>
      <c r="FY60" s="28">
        <v>1.0779E-4</v>
      </c>
      <c r="FZ60" s="28">
        <v>0</v>
      </c>
      <c r="GA60" s="28">
        <v>0</v>
      </c>
      <c r="GB60" s="28">
        <v>0.17037487323193701</v>
      </c>
      <c r="GC60" s="28">
        <v>0.12233812545946</v>
      </c>
      <c r="GD60" s="28">
        <v>0</v>
      </c>
      <c r="GE60" s="28">
        <v>0</v>
      </c>
      <c r="GF60" s="28">
        <v>0</v>
      </c>
      <c r="GG60" s="28">
        <v>3.6409948499999998</v>
      </c>
      <c r="GH60" s="28">
        <v>0.44273248098303197</v>
      </c>
      <c r="GI60" s="28">
        <v>0.43921231999999999</v>
      </c>
      <c r="GJ60" s="28">
        <v>1.7231510000000001</v>
      </c>
      <c r="GK60" s="28">
        <v>8.2994997544612996</v>
      </c>
      <c r="GL60" s="28">
        <v>0</v>
      </c>
      <c r="GM60" s="28">
        <v>0</v>
      </c>
      <c r="GN60" s="28">
        <v>0.45556094699953198</v>
      </c>
      <c r="GO60" s="28">
        <v>0</v>
      </c>
      <c r="GP60" s="28">
        <v>0</v>
      </c>
      <c r="GQ60" s="21">
        <v>2404.2194660187793</v>
      </c>
      <c r="GR60" s="21">
        <v>76.564474771735604</v>
      </c>
      <c r="GS60" s="20">
        <v>76.564474771735604</v>
      </c>
      <c r="GT60" s="20">
        <v>0</v>
      </c>
      <c r="GU60" s="20">
        <v>0</v>
      </c>
      <c r="GV60" s="20">
        <v>0</v>
      </c>
      <c r="GW60" s="20">
        <v>0</v>
      </c>
      <c r="GX60" s="21">
        <v>-5.5323614735243609E-2</v>
      </c>
      <c r="GY60" s="20">
        <v>0</v>
      </c>
      <c r="GZ60" s="20">
        <v>-5.5323614735243609E-2</v>
      </c>
      <c r="HA60" s="20"/>
      <c r="HB60" s="21">
        <v>17966.052277531198</v>
      </c>
      <c r="HC60" s="21">
        <v>20446.780894706979</v>
      </c>
    </row>
    <row r="61" spans="2:211" s="7" customFormat="1" ht="17.25" customHeight="1">
      <c r="B61" s="26" t="s">
        <v>48</v>
      </c>
      <c r="C61" s="9" t="s">
        <v>460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2.4330672088850399E-5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1.8193674435878299E-2</v>
      </c>
      <c r="EH61" s="28">
        <v>3.1410864372434298E-3</v>
      </c>
      <c r="EI61" s="28">
        <v>1.4744054365245401E-3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  <c r="EU61" s="28">
        <v>0</v>
      </c>
      <c r="EV61" s="28">
        <v>0</v>
      </c>
      <c r="EW61" s="28">
        <v>0</v>
      </c>
      <c r="EX61" s="28">
        <v>0</v>
      </c>
      <c r="EY61" s="28">
        <v>0</v>
      </c>
      <c r="EZ61" s="28">
        <v>0</v>
      </c>
      <c r="FA61" s="28">
        <v>0</v>
      </c>
      <c r="FB61" s="28">
        <v>0</v>
      </c>
      <c r="FC61" s="28">
        <v>0</v>
      </c>
      <c r="FD61" s="28">
        <v>0</v>
      </c>
      <c r="FE61" s="28">
        <v>0</v>
      </c>
      <c r="FF61" s="28">
        <v>0</v>
      </c>
      <c r="FG61" s="28">
        <v>0</v>
      </c>
      <c r="FH61" s="28">
        <v>0</v>
      </c>
      <c r="FI61" s="28">
        <v>0</v>
      </c>
      <c r="FJ61" s="28">
        <v>0</v>
      </c>
      <c r="FK61" s="28">
        <v>0</v>
      </c>
      <c r="FL61" s="28">
        <v>0</v>
      </c>
      <c r="FM61" s="28">
        <v>0</v>
      </c>
      <c r="FN61" s="28">
        <v>0</v>
      </c>
      <c r="FO61" s="28">
        <v>0</v>
      </c>
      <c r="FP61" s="28">
        <v>0</v>
      </c>
      <c r="FQ61" s="28">
        <v>0</v>
      </c>
      <c r="FR61" s="28">
        <v>0</v>
      </c>
      <c r="FS61" s="28">
        <v>0</v>
      </c>
      <c r="FT61" s="28">
        <v>0</v>
      </c>
      <c r="FU61" s="28">
        <v>0</v>
      </c>
      <c r="FV61" s="28">
        <v>0</v>
      </c>
      <c r="FW61" s="28">
        <v>0</v>
      </c>
      <c r="FX61" s="28">
        <v>0</v>
      </c>
      <c r="FY61" s="28">
        <v>0</v>
      </c>
      <c r="FZ61" s="28">
        <v>0</v>
      </c>
      <c r="GA61" s="28">
        <v>0</v>
      </c>
      <c r="GB61" s="28">
        <v>0</v>
      </c>
      <c r="GC61" s="28">
        <v>0</v>
      </c>
      <c r="GD61" s="28">
        <v>0</v>
      </c>
      <c r="GE61" s="28">
        <v>0</v>
      </c>
      <c r="GF61" s="28">
        <v>0</v>
      </c>
      <c r="GG61" s="28">
        <v>0</v>
      </c>
      <c r="GH61" s="28">
        <v>0</v>
      </c>
      <c r="GI61" s="28">
        <v>0</v>
      </c>
      <c r="GJ61" s="28">
        <v>0</v>
      </c>
      <c r="GK61" s="28">
        <v>0</v>
      </c>
      <c r="GL61" s="28">
        <v>0</v>
      </c>
      <c r="GM61" s="28">
        <v>0</v>
      </c>
      <c r="GN61" s="28">
        <v>0</v>
      </c>
      <c r="GO61" s="28">
        <v>0</v>
      </c>
      <c r="GP61" s="28">
        <v>0</v>
      </c>
      <c r="GQ61" s="21">
        <v>2.283349698173515E-2</v>
      </c>
      <c r="GR61" s="21">
        <v>0</v>
      </c>
      <c r="GS61" s="20">
        <v>0</v>
      </c>
      <c r="GT61" s="20">
        <v>0</v>
      </c>
      <c r="GU61" s="20">
        <v>0</v>
      </c>
      <c r="GV61" s="20">
        <v>0</v>
      </c>
      <c r="GW61" s="20">
        <v>0</v>
      </c>
      <c r="GX61" s="21">
        <v>0.19674668913826501</v>
      </c>
      <c r="GY61" s="20">
        <v>0</v>
      </c>
      <c r="GZ61" s="20">
        <v>0.19674668913826501</v>
      </c>
      <c r="HA61" s="20"/>
      <c r="HB61" s="21">
        <v>3.0604198138799998</v>
      </c>
      <c r="HC61" s="21">
        <v>3.28</v>
      </c>
    </row>
    <row r="62" spans="2:211" s="7" customFormat="1" ht="17.25" customHeight="1">
      <c r="B62" s="26" t="s">
        <v>49</v>
      </c>
      <c r="C62" s="9" t="s">
        <v>461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0</v>
      </c>
      <c r="BG62" s="28">
        <v>0</v>
      </c>
      <c r="BH62" s="28">
        <v>0</v>
      </c>
      <c r="BI62" s="28">
        <v>0</v>
      </c>
      <c r="BJ62" s="28">
        <v>0</v>
      </c>
      <c r="BK62" s="28">
        <v>0</v>
      </c>
      <c r="BL62" s="28">
        <v>0</v>
      </c>
      <c r="BM62" s="28">
        <v>0</v>
      </c>
      <c r="BN62" s="28">
        <v>0</v>
      </c>
      <c r="BO62" s="28">
        <v>0</v>
      </c>
      <c r="BP62" s="28">
        <v>0</v>
      </c>
      <c r="BQ62" s="28">
        <v>0</v>
      </c>
      <c r="BR62" s="28">
        <v>0</v>
      </c>
      <c r="BS62" s="28">
        <v>0</v>
      </c>
      <c r="BT62" s="28">
        <v>0</v>
      </c>
      <c r="BU62" s="28">
        <v>0</v>
      </c>
      <c r="BV62" s="28">
        <v>0</v>
      </c>
      <c r="BW62" s="28">
        <v>0</v>
      </c>
      <c r="BX62" s="28">
        <v>0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0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0</v>
      </c>
      <c r="CP62" s="28">
        <v>0</v>
      </c>
      <c r="CQ62" s="28">
        <v>0</v>
      </c>
      <c r="CR62" s="28">
        <v>0</v>
      </c>
      <c r="CS62" s="28">
        <v>0</v>
      </c>
      <c r="CT62" s="28">
        <v>0</v>
      </c>
      <c r="CU62" s="28">
        <v>0</v>
      </c>
      <c r="CV62" s="28">
        <v>0</v>
      </c>
      <c r="CW62" s="28">
        <v>0</v>
      </c>
      <c r="CX62" s="28">
        <v>0</v>
      </c>
      <c r="CY62" s="28">
        <v>0</v>
      </c>
      <c r="CZ62" s="28">
        <v>0</v>
      </c>
      <c r="DA62" s="28">
        <v>0</v>
      </c>
      <c r="DB62" s="28">
        <v>0</v>
      </c>
      <c r="DC62" s="28">
        <v>0</v>
      </c>
      <c r="DD62" s="28">
        <v>0</v>
      </c>
      <c r="DE62" s="28">
        <v>0</v>
      </c>
      <c r="DF62" s="28">
        <v>0</v>
      </c>
      <c r="DG62" s="28">
        <v>0</v>
      </c>
      <c r="DH62" s="28">
        <v>0</v>
      </c>
      <c r="DI62" s="28">
        <v>0</v>
      </c>
      <c r="DJ62" s="28">
        <v>0</v>
      </c>
      <c r="DK62" s="28">
        <v>0</v>
      </c>
      <c r="DL62" s="28">
        <v>8.9066645000545694</v>
      </c>
      <c r="DM62" s="28">
        <v>0</v>
      </c>
      <c r="DN62" s="28">
        <v>0</v>
      </c>
      <c r="DO62" s="28">
        <v>0</v>
      </c>
      <c r="DP62" s="28">
        <v>0</v>
      </c>
      <c r="DQ62" s="28">
        <v>0</v>
      </c>
      <c r="DR62" s="28">
        <v>0</v>
      </c>
      <c r="DS62" s="28">
        <v>0</v>
      </c>
      <c r="DT62" s="28">
        <v>0</v>
      </c>
      <c r="DU62" s="28">
        <v>0</v>
      </c>
      <c r="DV62" s="28">
        <v>0</v>
      </c>
      <c r="DW62" s="28">
        <v>0</v>
      </c>
      <c r="DX62" s="28">
        <v>0</v>
      </c>
      <c r="DY62" s="28">
        <v>0</v>
      </c>
      <c r="DZ62" s="28">
        <v>0</v>
      </c>
      <c r="EA62" s="28">
        <v>0</v>
      </c>
      <c r="EB62" s="28">
        <v>0</v>
      </c>
      <c r="EC62" s="28">
        <v>0</v>
      </c>
      <c r="ED62" s="28">
        <v>0</v>
      </c>
      <c r="EE62" s="28">
        <v>0</v>
      </c>
      <c r="EF62" s="28">
        <v>0</v>
      </c>
      <c r="EG62" s="28">
        <v>0</v>
      </c>
      <c r="EH62" s="28">
        <v>0</v>
      </c>
      <c r="EI62" s="28">
        <v>0</v>
      </c>
      <c r="EJ62" s="28">
        <v>0</v>
      </c>
      <c r="EK62" s="28">
        <v>0</v>
      </c>
      <c r="EL62" s="28">
        <v>0</v>
      </c>
      <c r="EM62" s="28">
        <v>0</v>
      </c>
      <c r="EN62" s="28">
        <v>0</v>
      </c>
      <c r="EO62" s="28">
        <v>0</v>
      </c>
      <c r="EP62" s="28">
        <v>0</v>
      </c>
      <c r="EQ62" s="28">
        <v>0</v>
      </c>
      <c r="ER62" s="28">
        <v>0</v>
      </c>
      <c r="ES62" s="28">
        <v>0</v>
      </c>
      <c r="ET62" s="28">
        <v>0</v>
      </c>
      <c r="EU62" s="28">
        <v>0</v>
      </c>
      <c r="EV62" s="28">
        <v>0</v>
      </c>
      <c r="EW62" s="28">
        <v>0</v>
      </c>
      <c r="EX62" s="28">
        <v>0</v>
      </c>
      <c r="EY62" s="28">
        <v>0</v>
      </c>
      <c r="EZ62" s="28">
        <v>0</v>
      </c>
      <c r="FA62" s="28">
        <v>0</v>
      </c>
      <c r="FB62" s="28">
        <v>0</v>
      </c>
      <c r="FC62" s="28">
        <v>0</v>
      </c>
      <c r="FD62" s="28">
        <v>0</v>
      </c>
      <c r="FE62" s="28">
        <v>0</v>
      </c>
      <c r="FF62" s="28">
        <v>0</v>
      </c>
      <c r="FG62" s="28">
        <v>0</v>
      </c>
      <c r="FH62" s="28">
        <v>0</v>
      </c>
      <c r="FI62" s="28">
        <v>0</v>
      </c>
      <c r="FJ62" s="28">
        <v>0</v>
      </c>
      <c r="FK62" s="28">
        <v>0</v>
      </c>
      <c r="FL62" s="28">
        <v>0</v>
      </c>
      <c r="FM62" s="28">
        <v>0</v>
      </c>
      <c r="FN62" s="28">
        <v>0</v>
      </c>
      <c r="FO62" s="28">
        <v>0</v>
      </c>
      <c r="FP62" s="28">
        <v>0</v>
      </c>
      <c r="FQ62" s="28">
        <v>0</v>
      </c>
      <c r="FR62" s="28">
        <v>0</v>
      </c>
      <c r="FS62" s="28">
        <v>0</v>
      </c>
      <c r="FT62" s="28">
        <v>0</v>
      </c>
      <c r="FU62" s="28">
        <v>0</v>
      </c>
      <c r="FV62" s="28">
        <v>0</v>
      </c>
      <c r="FW62" s="28">
        <v>0</v>
      </c>
      <c r="FX62" s="28">
        <v>0</v>
      </c>
      <c r="FY62" s="28">
        <v>0</v>
      </c>
      <c r="FZ62" s="28">
        <v>0</v>
      </c>
      <c r="GA62" s="28">
        <v>0</v>
      </c>
      <c r="GB62" s="28">
        <v>0</v>
      </c>
      <c r="GC62" s="28">
        <v>0</v>
      </c>
      <c r="GD62" s="28">
        <v>0</v>
      </c>
      <c r="GE62" s="28">
        <v>0</v>
      </c>
      <c r="GF62" s="28">
        <v>0</v>
      </c>
      <c r="GG62" s="28">
        <v>0</v>
      </c>
      <c r="GH62" s="28">
        <v>0</v>
      </c>
      <c r="GI62" s="28">
        <v>0</v>
      </c>
      <c r="GJ62" s="28">
        <v>0</v>
      </c>
      <c r="GK62" s="28">
        <v>0</v>
      </c>
      <c r="GL62" s="28">
        <v>0</v>
      </c>
      <c r="GM62" s="28">
        <v>0</v>
      </c>
      <c r="GN62" s="28">
        <v>0</v>
      </c>
      <c r="GO62" s="28">
        <v>0</v>
      </c>
      <c r="GP62" s="28">
        <v>0</v>
      </c>
      <c r="GQ62" s="21">
        <v>8.9066645000545694</v>
      </c>
      <c r="GR62" s="21">
        <v>0</v>
      </c>
      <c r="GS62" s="20">
        <v>0</v>
      </c>
      <c r="GT62" s="20">
        <v>0</v>
      </c>
      <c r="GU62" s="20">
        <v>0</v>
      </c>
      <c r="GV62" s="20">
        <v>0</v>
      </c>
      <c r="GW62" s="20">
        <v>0</v>
      </c>
      <c r="GX62" s="21">
        <v>-3.5840501962189801</v>
      </c>
      <c r="GY62" s="20">
        <v>0</v>
      </c>
      <c r="GZ62" s="20">
        <v>-3.5840501962189801</v>
      </c>
      <c r="HA62" s="20"/>
      <c r="HB62" s="21">
        <v>112.081819893408</v>
      </c>
      <c r="HC62" s="21">
        <v>117.40443419724359</v>
      </c>
    </row>
    <row r="63" spans="2:211" s="7" customFormat="1" ht="17.25" customHeight="1">
      <c r="B63" s="26" t="s">
        <v>50</v>
      </c>
      <c r="C63" s="9" t="s">
        <v>462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8">
        <v>0</v>
      </c>
      <c r="BE63" s="28">
        <v>0</v>
      </c>
      <c r="BF63" s="28">
        <v>0</v>
      </c>
      <c r="BG63" s="28">
        <v>0</v>
      </c>
      <c r="BH63" s="28">
        <v>0</v>
      </c>
      <c r="BI63" s="28">
        <v>0</v>
      </c>
      <c r="BJ63" s="28">
        <v>0</v>
      </c>
      <c r="BK63" s="28">
        <v>0</v>
      </c>
      <c r="BL63" s="28">
        <v>0</v>
      </c>
      <c r="BM63" s="28">
        <v>0</v>
      </c>
      <c r="BN63" s="28">
        <v>0</v>
      </c>
      <c r="BO63" s="28">
        <v>0</v>
      </c>
      <c r="BP63" s="28">
        <v>0</v>
      </c>
      <c r="BQ63" s="28">
        <v>0</v>
      </c>
      <c r="BR63" s="28">
        <v>0</v>
      </c>
      <c r="BS63" s="28">
        <v>0</v>
      </c>
      <c r="BT63" s="28">
        <v>0</v>
      </c>
      <c r="BU63" s="28">
        <v>0</v>
      </c>
      <c r="BV63" s="28">
        <v>0</v>
      </c>
      <c r="BW63" s="28">
        <v>0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0</v>
      </c>
      <c r="CH63" s="28">
        <v>0</v>
      </c>
      <c r="CI63" s="28">
        <v>0</v>
      </c>
      <c r="CJ63" s="28">
        <v>0</v>
      </c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0</v>
      </c>
      <c r="CQ63" s="28">
        <v>0</v>
      </c>
      <c r="CR63" s="28">
        <v>0</v>
      </c>
      <c r="CS63" s="28">
        <v>0</v>
      </c>
      <c r="CT63" s="28">
        <v>0</v>
      </c>
      <c r="CU63" s="28">
        <v>0</v>
      </c>
      <c r="CV63" s="28">
        <v>0</v>
      </c>
      <c r="CW63" s="28">
        <v>0</v>
      </c>
      <c r="CX63" s="28">
        <v>0</v>
      </c>
      <c r="CY63" s="28">
        <v>0</v>
      </c>
      <c r="CZ63" s="28">
        <v>0</v>
      </c>
      <c r="DA63" s="28">
        <v>0</v>
      </c>
      <c r="DB63" s="28">
        <v>0</v>
      </c>
      <c r="DC63" s="28">
        <v>0</v>
      </c>
      <c r="DD63" s="28">
        <v>0</v>
      </c>
      <c r="DE63" s="28">
        <v>0</v>
      </c>
      <c r="DF63" s="28">
        <v>0</v>
      </c>
      <c r="DG63" s="28">
        <v>0</v>
      </c>
      <c r="DH63" s="28">
        <v>0</v>
      </c>
      <c r="DI63" s="28">
        <v>0</v>
      </c>
      <c r="DJ63" s="28">
        <v>0</v>
      </c>
      <c r="DK63" s="28">
        <v>0</v>
      </c>
      <c r="DL63" s="28">
        <v>0</v>
      </c>
      <c r="DM63" s="28">
        <v>0</v>
      </c>
      <c r="DN63" s="28">
        <v>0</v>
      </c>
      <c r="DO63" s="28">
        <v>0</v>
      </c>
      <c r="DP63" s="28">
        <v>0</v>
      </c>
      <c r="DQ63" s="28">
        <v>0</v>
      </c>
      <c r="DR63" s="28">
        <v>0</v>
      </c>
      <c r="DS63" s="28">
        <v>0</v>
      </c>
      <c r="DT63" s="28">
        <v>0</v>
      </c>
      <c r="DU63" s="28">
        <v>0</v>
      </c>
      <c r="DV63" s="28">
        <v>0</v>
      </c>
      <c r="DW63" s="28">
        <v>0</v>
      </c>
      <c r="DX63" s="28">
        <v>0</v>
      </c>
      <c r="DY63" s="28">
        <v>0</v>
      </c>
      <c r="DZ63" s="28">
        <v>0</v>
      </c>
      <c r="EA63" s="28">
        <v>0</v>
      </c>
      <c r="EB63" s="28">
        <v>0</v>
      </c>
      <c r="EC63" s="28">
        <v>0</v>
      </c>
      <c r="ED63" s="28">
        <v>0</v>
      </c>
      <c r="EE63" s="28">
        <v>0</v>
      </c>
      <c r="EF63" s="28">
        <v>0</v>
      </c>
      <c r="EG63" s="28">
        <v>537.20066036820504</v>
      </c>
      <c r="EH63" s="28">
        <v>0</v>
      </c>
      <c r="EI63" s="28">
        <v>0</v>
      </c>
      <c r="EJ63" s="28">
        <v>0</v>
      </c>
      <c r="EK63" s="28">
        <v>0</v>
      </c>
      <c r="EL63" s="28">
        <v>0</v>
      </c>
      <c r="EM63" s="28">
        <v>0</v>
      </c>
      <c r="EN63" s="28">
        <v>0</v>
      </c>
      <c r="EO63" s="28">
        <v>0</v>
      </c>
      <c r="EP63" s="28">
        <v>0</v>
      </c>
      <c r="EQ63" s="28">
        <v>0</v>
      </c>
      <c r="ER63" s="28">
        <v>0</v>
      </c>
      <c r="ES63" s="28">
        <v>0</v>
      </c>
      <c r="ET63" s="28">
        <v>0</v>
      </c>
      <c r="EU63" s="28">
        <v>0</v>
      </c>
      <c r="EV63" s="28">
        <v>0</v>
      </c>
      <c r="EW63" s="28">
        <v>0</v>
      </c>
      <c r="EX63" s="28">
        <v>0</v>
      </c>
      <c r="EY63" s="28">
        <v>0</v>
      </c>
      <c r="EZ63" s="28">
        <v>0</v>
      </c>
      <c r="FA63" s="28">
        <v>0</v>
      </c>
      <c r="FB63" s="28">
        <v>0</v>
      </c>
      <c r="FC63" s="28">
        <v>0</v>
      </c>
      <c r="FD63" s="28">
        <v>0</v>
      </c>
      <c r="FE63" s="28">
        <v>0</v>
      </c>
      <c r="FF63" s="28">
        <v>0</v>
      </c>
      <c r="FG63" s="28">
        <v>0</v>
      </c>
      <c r="FH63" s="28">
        <v>0</v>
      </c>
      <c r="FI63" s="28">
        <v>0</v>
      </c>
      <c r="FJ63" s="28">
        <v>0</v>
      </c>
      <c r="FK63" s="28">
        <v>0</v>
      </c>
      <c r="FL63" s="28">
        <v>0</v>
      </c>
      <c r="FM63" s="28">
        <v>0</v>
      </c>
      <c r="FN63" s="28">
        <v>0</v>
      </c>
      <c r="FO63" s="28">
        <v>0</v>
      </c>
      <c r="FP63" s="28">
        <v>0</v>
      </c>
      <c r="FQ63" s="28">
        <v>0</v>
      </c>
      <c r="FR63" s="28">
        <v>0</v>
      </c>
      <c r="FS63" s="28">
        <v>0</v>
      </c>
      <c r="FT63" s="28">
        <v>0</v>
      </c>
      <c r="FU63" s="28">
        <v>0</v>
      </c>
      <c r="FV63" s="28">
        <v>0</v>
      </c>
      <c r="FW63" s="28">
        <v>0</v>
      </c>
      <c r="FX63" s="28">
        <v>0</v>
      </c>
      <c r="FY63" s="28">
        <v>0</v>
      </c>
      <c r="FZ63" s="28">
        <v>0</v>
      </c>
      <c r="GA63" s="28">
        <v>0</v>
      </c>
      <c r="GB63" s="28">
        <v>0</v>
      </c>
      <c r="GC63" s="28">
        <v>0</v>
      </c>
      <c r="GD63" s="28">
        <v>0</v>
      </c>
      <c r="GE63" s="28">
        <v>0</v>
      </c>
      <c r="GF63" s="28">
        <v>0</v>
      </c>
      <c r="GG63" s="28">
        <v>0</v>
      </c>
      <c r="GH63" s="28">
        <v>0</v>
      </c>
      <c r="GI63" s="28">
        <v>0</v>
      </c>
      <c r="GJ63" s="28">
        <v>0</v>
      </c>
      <c r="GK63" s="28">
        <v>0</v>
      </c>
      <c r="GL63" s="28">
        <v>0</v>
      </c>
      <c r="GM63" s="28">
        <v>0</v>
      </c>
      <c r="GN63" s="28">
        <v>0</v>
      </c>
      <c r="GO63" s="28">
        <v>0</v>
      </c>
      <c r="GP63" s="28">
        <v>0</v>
      </c>
      <c r="GQ63" s="21">
        <v>537.20066036820504</v>
      </c>
      <c r="GR63" s="21">
        <v>0</v>
      </c>
      <c r="GS63" s="20">
        <v>0</v>
      </c>
      <c r="GT63" s="20">
        <v>0</v>
      </c>
      <c r="GU63" s="20">
        <v>0</v>
      </c>
      <c r="GV63" s="20">
        <v>0</v>
      </c>
      <c r="GW63" s="20">
        <v>0</v>
      </c>
      <c r="GX63" s="21">
        <v>-176.17480050136601</v>
      </c>
      <c r="GY63" s="20">
        <v>0</v>
      </c>
      <c r="GZ63" s="20">
        <v>-176.17480050136601</v>
      </c>
      <c r="HA63" s="20"/>
      <c r="HB63" s="21">
        <v>2656.42097295034</v>
      </c>
      <c r="HC63" s="21">
        <v>3017.4468328171788</v>
      </c>
    </row>
    <row r="64" spans="2:211" s="7" customFormat="1" ht="17.25" customHeight="1">
      <c r="B64" s="26" t="s">
        <v>51</v>
      </c>
      <c r="C64" s="10" t="s">
        <v>463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5995.6946540497202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  <c r="EU64" s="28">
        <v>0</v>
      </c>
      <c r="EV64" s="28">
        <v>0</v>
      </c>
      <c r="EW64" s="28">
        <v>0</v>
      </c>
      <c r="EX64" s="28">
        <v>0</v>
      </c>
      <c r="EY64" s="28">
        <v>0</v>
      </c>
      <c r="EZ64" s="28">
        <v>0</v>
      </c>
      <c r="FA64" s="28">
        <v>0</v>
      </c>
      <c r="FB64" s="28">
        <v>0</v>
      </c>
      <c r="FC64" s="28">
        <v>0</v>
      </c>
      <c r="FD64" s="28">
        <v>0</v>
      </c>
      <c r="FE64" s="28">
        <v>0</v>
      </c>
      <c r="FF64" s="28">
        <v>0</v>
      </c>
      <c r="FG64" s="28">
        <v>0</v>
      </c>
      <c r="FH64" s="28">
        <v>0</v>
      </c>
      <c r="FI64" s="28">
        <v>0</v>
      </c>
      <c r="FJ64" s="28">
        <v>0</v>
      </c>
      <c r="FK64" s="28">
        <v>0</v>
      </c>
      <c r="FL64" s="28">
        <v>0</v>
      </c>
      <c r="FM64" s="28">
        <v>0</v>
      </c>
      <c r="FN64" s="28">
        <v>0</v>
      </c>
      <c r="FO64" s="28">
        <v>0</v>
      </c>
      <c r="FP64" s="28">
        <v>0</v>
      </c>
      <c r="FQ64" s="28">
        <v>0</v>
      </c>
      <c r="FR64" s="28">
        <v>0</v>
      </c>
      <c r="FS64" s="28">
        <v>0</v>
      </c>
      <c r="FT64" s="28">
        <v>0</v>
      </c>
      <c r="FU64" s="28">
        <v>0</v>
      </c>
      <c r="FV64" s="28">
        <v>0</v>
      </c>
      <c r="FW64" s="28">
        <v>0</v>
      </c>
      <c r="FX64" s="28">
        <v>0</v>
      </c>
      <c r="FY64" s="28">
        <v>0</v>
      </c>
      <c r="FZ64" s="28">
        <v>0</v>
      </c>
      <c r="GA64" s="28">
        <v>0</v>
      </c>
      <c r="GB64" s="28">
        <v>0</v>
      </c>
      <c r="GC64" s="28">
        <v>0</v>
      </c>
      <c r="GD64" s="28">
        <v>0</v>
      </c>
      <c r="GE64" s="28">
        <v>0</v>
      </c>
      <c r="GF64" s="28">
        <v>0</v>
      </c>
      <c r="GG64" s="28">
        <v>0</v>
      </c>
      <c r="GH64" s="28">
        <v>0</v>
      </c>
      <c r="GI64" s="28">
        <v>0</v>
      </c>
      <c r="GJ64" s="28">
        <v>0</v>
      </c>
      <c r="GK64" s="28">
        <v>0</v>
      </c>
      <c r="GL64" s="28">
        <v>0</v>
      </c>
      <c r="GM64" s="28">
        <v>0</v>
      </c>
      <c r="GN64" s="28">
        <v>0</v>
      </c>
      <c r="GO64" s="28">
        <v>0</v>
      </c>
      <c r="GP64" s="28">
        <v>0</v>
      </c>
      <c r="GQ64" s="21">
        <v>5995.6946540497202</v>
      </c>
      <c r="GR64" s="21">
        <v>0</v>
      </c>
      <c r="GS64" s="20">
        <v>0</v>
      </c>
      <c r="GT64" s="20">
        <v>0</v>
      </c>
      <c r="GU64" s="20">
        <v>0</v>
      </c>
      <c r="GV64" s="20">
        <v>0</v>
      </c>
      <c r="GW64" s="20">
        <v>0</v>
      </c>
      <c r="GX64" s="21">
        <v>2.4621402056969202</v>
      </c>
      <c r="GY64" s="20">
        <v>0</v>
      </c>
      <c r="GZ64" s="20">
        <v>2.4621402056969202</v>
      </c>
      <c r="HA64" s="20"/>
      <c r="HB64" s="21">
        <v>35.525554963487998</v>
      </c>
      <c r="HC64" s="21">
        <v>6033.6823492189051</v>
      </c>
    </row>
    <row r="65" spans="2:211" s="7" customFormat="1" ht="17.25" customHeight="1">
      <c r="B65" s="26" t="s">
        <v>52</v>
      </c>
      <c r="C65" s="9" t="s">
        <v>464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8">
        <v>0</v>
      </c>
      <c r="AO65" s="28">
        <v>0</v>
      </c>
      <c r="AP65" s="28">
        <v>0</v>
      </c>
      <c r="AQ65" s="28">
        <v>0</v>
      </c>
      <c r="AR65" s="28">
        <v>0</v>
      </c>
      <c r="AS65" s="28">
        <v>0</v>
      </c>
      <c r="AT65" s="28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0</v>
      </c>
      <c r="BJ65" s="28">
        <v>0</v>
      </c>
      <c r="BK65" s="28">
        <v>0</v>
      </c>
      <c r="BL65" s="28">
        <v>0</v>
      </c>
      <c r="BM65" s="28">
        <v>0</v>
      </c>
      <c r="BN65" s="28">
        <v>0</v>
      </c>
      <c r="BO65" s="28">
        <v>0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0</v>
      </c>
      <c r="BV65" s="28">
        <v>0</v>
      </c>
      <c r="BW65" s="28">
        <v>0</v>
      </c>
      <c r="BX65" s="28">
        <v>0</v>
      </c>
      <c r="BY65" s="28">
        <v>0</v>
      </c>
      <c r="BZ65" s="28">
        <v>0</v>
      </c>
      <c r="CA65" s="28">
        <v>0</v>
      </c>
      <c r="CB65" s="28">
        <v>0</v>
      </c>
      <c r="CC65" s="28">
        <v>0</v>
      </c>
      <c r="CD65" s="28">
        <v>0</v>
      </c>
      <c r="CE65" s="28">
        <v>0</v>
      </c>
      <c r="CF65" s="28">
        <v>0</v>
      </c>
      <c r="CG65" s="28">
        <v>0</v>
      </c>
      <c r="CH65" s="28">
        <v>0</v>
      </c>
      <c r="CI65" s="28">
        <v>0</v>
      </c>
      <c r="CJ65" s="28">
        <v>0</v>
      </c>
      <c r="CK65" s="28">
        <v>0</v>
      </c>
      <c r="CL65" s="28">
        <v>0</v>
      </c>
      <c r="CM65" s="28">
        <v>0</v>
      </c>
      <c r="CN65" s="28">
        <v>0</v>
      </c>
      <c r="CO65" s="28">
        <v>0</v>
      </c>
      <c r="CP65" s="28">
        <v>0</v>
      </c>
      <c r="CQ65" s="28">
        <v>0</v>
      </c>
      <c r="CR65" s="28">
        <v>0</v>
      </c>
      <c r="CS65" s="28">
        <v>0</v>
      </c>
      <c r="CT65" s="28">
        <v>0</v>
      </c>
      <c r="CU65" s="28">
        <v>0</v>
      </c>
      <c r="CV65" s="28">
        <v>0</v>
      </c>
      <c r="CW65" s="28">
        <v>0</v>
      </c>
      <c r="CX65" s="28">
        <v>0</v>
      </c>
      <c r="CY65" s="28">
        <v>0</v>
      </c>
      <c r="CZ65" s="28">
        <v>0</v>
      </c>
      <c r="DA65" s="28">
        <v>0</v>
      </c>
      <c r="DB65" s="28">
        <v>0</v>
      </c>
      <c r="DC65" s="28">
        <v>0</v>
      </c>
      <c r="DD65" s="28">
        <v>0</v>
      </c>
      <c r="DE65" s="28">
        <v>0</v>
      </c>
      <c r="DF65" s="28">
        <v>0</v>
      </c>
      <c r="DG65" s="28">
        <v>0</v>
      </c>
      <c r="DH65" s="28">
        <v>0</v>
      </c>
      <c r="DI65" s="28">
        <v>0</v>
      </c>
      <c r="DJ65" s="28">
        <v>0</v>
      </c>
      <c r="DK65" s="28">
        <v>0</v>
      </c>
      <c r="DL65" s="28">
        <v>0</v>
      </c>
      <c r="DM65" s="28">
        <v>0</v>
      </c>
      <c r="DN65" s="28">
        <v>0</v>
      </c>
      <c r="DO65" s="28">
        <v>0</v>
      </c>
      <c r="DP65" s="28">
        <v>0</v>
      </c>
      <c r="DQ65" s="28">
        <v>0</v>
      </c>
      <c r="DR65" s="28">
        <v>0</v>
      </c>
      <c r="DS65" s="28">
        <v>0</v>
      </c>
      <c r="DT65" s="28">
        <v>0</v>
      </c>
      <c r="DU65" s="28">
        <v>0</v>
      </c>
      <c r="DV65" s="28">
        <v>0</v>
      </c>
      <c r="DW65" s="28">
        <v>0</v>
      </c>
      <c r="DX65" s="28">
        <v>0</v>
      </c>
      <c r="DY65" s="28">
        <v>0</v>
      </c>
      <c r="DZ65" s="28">
        <v>0</v>
      </c>
      <c r="EA65" s="28">
        <v>0</v>
      </c>
      <c r="EB65" s="28">
        <v>0</v>
      </c>
      <c r="EC65" s="28">
        <v>0</v>
      </c>
      <c r="ED65" s="28">
        <v>0</v>
      </c>
      <c r="EE65" s="28">
        <v>2029.2115412563301</v>
      </c>
      <c r="EF65" s="28">
        <v>0</v>
      </c>
      <c r="EG65" s="28">
        <v>0</v>
      </c>
      <c r="EH65" s="28">
        <v>0</v>
      </c>
      <c r="EI65" s="28">
        <v>0</v>
      </c>
      <c r="EJ65" s="28">
        <v>0</v>
      </c>
      <c r="EK65" s="28">
        <v>0</v>
      </c>
      <c r="EL65" s="28">
        <v>0</v>
      </c>
      <c r="EM65" s="28">
        <v>0</v>
      </c>
      <c r="EN65" s="28">
        <v>0</v>
      </c>
      <c r="EO65" s="28">
        <v>0</v>
      </c>
      <c r="EP65" s="28">
        <v>0</v>
      </c>
      <c r="EQ65" s="28">
        <v>0</v>
      </c>
      <c r="ER65" s="28">
        <v>0</v>
      </c>
      <c r="ES65" s="28">
        <v>0</v>
      </c>
      <c r="ET65" s="28">
        <v>0</v>
      </c>
      <c r="EU65" s="28">
        <v>0</v>
      </c>
      <c r="EV65" s="28">
        <v>0</v>
      </c>
      <c r="EW65" s="28">
        <v>0</v>
      </c>
      <c r="EX65" s="28">
        <v>0</v>
      </c>
      <c r="EY65" s="28">
        <v>0</v>
      </c>
      <c r="EZ65" s="28">
        <v>0</v>
      </c>
      <c r="FA65" s="28">
        <v>0</v>
      </c>
      <c r="FB65" s="28">
        <v>0</v>
      </c>
      <c r="FC65" s="28">
        <v>0</v>
      </c>
      <c r="FD65" s="28">
        <v>0</v>
      </c>
      <c r="FE65" s="28">
        <v>0</v>
      </c>
      <c r="FF65" s="28">
        <v>0</v>
      </c>
      <c r="FG65" s="28">
        <v>0</v>
      </c>
      <c r="FH65" s="28">
        <v>0</v>
      </c>
      <c r="FI65" s="28">
        <v>0</v>
      </c>
      <c r="FJ65" s="28">
        <v>0</v>
      </c>
      <c r="FK65" s="28">
        <v>0</v>
      </c>
      <c r="FL65" s="28">
        <v>0</v>
      </c>
      <c r="FM65" s="28">
        <v>0</v>
      </c>
      <c r="FN65" s="28">
        <v>0</v>
      </c>
      <c r="FO65" s="28">
        <v>0</v>
      </c>
      <c r="FP65" s="28">
        <v>0</v>
      </c>
      <c r="FQ65" s="28">
        <v>0</v>
      </c>
      <c r="FR65" s="28">
        <v>0</v>
      </c>
      <c r="FS65" s="28">
        <v>0</v>
      </c>
      <c r="FT65" s="28">
        <v>0</v>
      </c>
      <c r="FU65" s="28">
        <v>0</v>
      </c>
      <c r="FV65" s="28">
        <v>0</v>
      </c>
      <c r="FW65" s="28">
        <v>0</v>
      </c>
      <c r="FX65" s="28">
        <v>0</v>
      </c>
      <c r="FY65" s="28">
        <v>0</v>
      </c>
      <c r="FZ65" s="28">
        <v>0</v>
      </c>
      <c r="GA65" s="28">
        <v>0</v>
      </c>
      <c r="GB65" s="28">
        <v>0</v>
      </c>
      <c r="GC65" s="28">
        <v>0</v>
      </c>
      <c r="GD65" s="28">
        <v>0</v>
      </c>
      <c r="GE65" s="28">
        <v>0</v>
      </c>
      <c r="GF65" s="28">
        <v>0</v>
      </c>
      <c r="GG65" s="28">
        <v>0</v>
      </c>
      <c r="GH65" s="28">
        <v>0</v>
      </c>
      <c r="GI65" s="28">
        <v>0</v>
      </c>
      <c r="GJ65" s="28">
        <v>0</v>
      </c>
      <c r="GK65" s="28">
        <v>0</v>
      </c>
      <c r="GL65" s="28">
        <v>0</v>
      </c>
      <c r="GM65" s="28">
        <v>0</v>
      </c>
      <c r="GN65" s="28">
        <v>0</v>
      </c>
      <c r="GO65" s="28">
        <v>0</v>
      </c>
      <c r="GP65" s="28">
        <v>0</v>
      </c>
      <c r="GQ65" s="21">
        <v>2029.2115412563301</v>
      </c>
      <c r="GR65" s="21">
        <v>0</v>
      </c>
      <c r="GS65" s="20">
        <v>0</v>
      </c>
      <c r="GT65" s="20">
        <v>0</v>
      </c>
      <c r="GU65" s="20">
        <v>0</v>
      </c>
      <c r="GV65" s="20">
        <v>0</v>
      </c>
      <c r="GW65" s="20">
        <v>0</v>
      </c>
      <c r="GX65" s="21">
        <v>0.48076790997200203</v>
      </c>
      <c r="GY65" s="20">
        <v>0</v>
      </c>
      <c r="GZ65" s="20">
        <v>0.48076790997200203</v>
      </c>
      <c r="HA65" s="20"/>
      <c r="HB65" s="21">
        <v>11.430590183568</v>
      </c>
      <c r="HC65" s="21">
        <v>2041.1228993498701</v>
      </c>
    </row>
    <row r="66" spans="2:211" s="7" customFormat="1" ht="17.25" customHeight="1">
      <c r="B66" s="26" t="s">
        <v>465</v>
      </c>
      <c r="C66" s="9" t="s">
        <v>466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1.9620000000000002E-3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0</v>
      </c>
      <c r="DK66" s="28">
        <v>0</v>
      </c>
      <c r="DL66" s="28">
        <v>0</v>
      </c>
      <c r="DM66" s="28">
        <v>0</v>
      </c>
      <c r="DN66" s="28">
        <v>0</v>
      </c>
      <c r="DO66" s="28">
        <v>0</v>
      </c>
      <c r="DP66" s="28">
        <v>0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0</v>
      </c>
      <c r="EM66" s="28">
        <v>0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  <c r="EU66" s="28">
        <v>0</v>
      </c>
      <c r="EV66" s="28">
        <v>0</v>
      </c>
      <c r="EW66" s="28">
        <v>0</v>
      </c>
      <c r="EX66" s="28">
        <v>0</v>
      </c>
      <c r="EY66" s="28">
        <v>0</v>
      </c>
      <c r="EZ66" s="28">
        <v>0</v>
      </c>
      <c r="FA66" s="28">
        <v>0</v>
      </c>
      <c r="FB66" s="28">
        <v>0</v>
      </c>
      <c r="FC66" s="28">
        <v>0</v>
      </c>
      <c r="FD66" s="28">
        <v>0</v>
      </c>
      <c r="FE66" s="28">
        <v>0</v>
      </c>
      <c r="FF66" s="28">
        <v>0</v>
      </c>
      <c r="FG66" s="28">
        <v>0</v>
      </c>
      <c r="FH66" s="28">
        <v>0</v>
      </c>
      <c r="FI66" s="28">
        <v>0</v>
      </c>
      <c r="FJ66" s="28">
        <v>0</v>
      </c>
      <c r="FK66" s="28">
        <v>0</v>
      </c>
      <c r="FL66" s="28">
        <v>0</v>
      </c>
      <c r="FM66" s="28">
        <v>0</v>
      </c>
      <c r="FN66" s="28">
        <v>0</v>
      </c>
      <c r="FO66" s="28">
        <v>0</v>
      </c>
      <c r="FP66" s="28">
        <v>0</v>
      </c>
      <c r="FQ66" s="28">
        <v>0</v>
      </c>
      <c r="FR66" s="28">
        <v>0</v>
      </c>
      <c r="FS66" s="28">
        <v>0</v>
      </c>
      <c r="FT66" s="28">
        <v>0</v>
      </c>
      <c r="FU66" s="28">
        <v>0</v>
      </c>
      <c r="FV66" s="28">
        <v>0</v>
      </c>
      <c r="FW66" s="28">
        <v>0</v>
      </c>
      <c r="FX66" s="28">
        <v>0</v>
      </c>
      <c r="FY66" s="28">
        <v>0</v>
      </c>
      <c r="FZ66" s="28">
        <v>0</v>
      </c>
      <c r="GA66" s="28">
        <v>0</v>
      </c>
      <c r="GB66" s="28">
        <v>0</v>
      </c>
      <c r="GC66" s="28">
        <v>0</v>
      </c>
      <c r="GD66" s="28">
        <v>0</v>
      </c>
      <c r="GE66" s="28">
        <v>0</v>
      </c>
      <c r="GF66" s="28">
        <v>0</v>
      </c>
      <c r="GG66" s="28">
        <v>0</v>
      </c>
      <c r="GH66" s="28">
        <v>0</v>
      </c>
      <c r="GI66" s="28">
        <v>0</v>
      </c>
      <c r="GJ66" s="28">
        <v>0</v>
      </c>
      <c r="GK66" s="28">
        <v>0</v>
      </c>
      <c r="GL66" s="28">
        <v>0</v>
      </c>
      <c r="GM66" s="28">
        <v>0</v>
      </c>
      <c r="GN66" s="28">
        <v>0</v>
      </c>
      <c r="GO66" s="28">
        <v>0</v>
      </c>
      <c r="GP66" s="28">
        <v>0</v>
      </c>
      <c r="GQ66" s="21">
        <v>1.9620000000000002E-3</v>
      </c>
      <c r="GR66" s="21">
        <v>0</v>
      </c>
      <c r="GS66" s="20">
        <v>0</v>
      </c>
      <c r="GT66" s="20">
        <v>0</v>
      </c>
      <c r="GU66" s="20">
        <v>0</v>
      </c>
      <c r="GV66" s="20">
        <v>0</v>
      </c>
      <c r="GW66" s="20">
        <v>0</v>
      </c>
      <c r="GX66" s="21">
        <v>33.264468585021</v>
      </c>
      <c r="GY66" s="20">
        <v>0</v>
      </c>
      <c r="GZ66" s="20">
        <v>33.264468585021</v>
      </c>
      <c r="HA66" s="20"/>
      <c r="HB66" s="21">
        <v>5800.3966409627001</v>
      </c>
      <c r="HC66" s="21">
        <v>5833.6630715477213</v>
      </c>
    </row>
    <row r="67" spans="2:211" s="7" customFormat="1" ht="17.25" customHeight="1">
      <c r="B67" s="26" t="s">
        <v>467</v>
      </c>
      <c r="C67" s="9" t="s">
        <v>468</v>
      </c>
      <c r="D67" s="28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0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28">
        <v>0</v>
      </c>
      <c r="DQ67" s="28">
        <v>0</v>
      </c>
      <c r="DR67" s="28">
        <v>0</v>
      </c>
      <c r="DS67" s="28">
        <v>0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  <c r="EU67" s="28">
        <v>0</v>
      </c>
      <c r="EV67" s="28">
        <v>0</v>
      </c>
      <c r="EW67" s="28">
        <v>0</v>
      </c>
      <c r="EX67" s="28">
        <v>0</v>
      </c>
      <c r="EY67" s="28">
        <v>0</v>
      </c>
      <c r="EZ67" s="28">
        <v>0</v>
      </c>
      <c r="FA67" s="28">
        <v>0</v>
      </c>
      <c r="FB67" s="28">
        <v>0</v>
      </c>
      <c r="FC67" s="28">
        <v>0</v>
      </c>
      <c r="FD67" s="28">
        <v>0</v>
      </c>
      <c r="FE67" s="28">
        <v>0</v>
      </c>
      <c r="FF67" s="28">
        <v>0</v>
      </c>
      <c r="FG67" s="28">
        <v>0</v>
      </c>
      <c r="FH67" s="28">
        <v>0</v>
      </c>
      <c r="FI67" s="28">
        <v>0</v>
      </c>
      <c r="FJ67" s="28">
        <v>0</v>
      </c>
      <c r="FK67" s="28">
        <v>0</v>
      </c>
      <c r="FL67" s="28">
        <v>0</v>
      </c>
      <c r="FM67" s="28">
        <v>0</v>
      </c>
      <c r="FN67" s="28">
        <v>0</v>
      </c>
      <c r="FO67" s="28">
        <v>0</v>
      </c>
      <c r="FP67" s="28">
        <v>0</v>
      </c>
      <c r="FQ67" s="28">
        <v>0</v>
      </c>
      <c r="FR67" s="28">
        <v>0</v>
      </c>
      <c r="FS67" s="28">
        <v>0</v>
      </c>
      <c r="FT67" s="28">
        <v>0</v>
      </c>
      <c r="FU67" s="28">
        <v>0</v>
      </c>
      <c r="FV67" s="28">
        <v>0</v>
      </c>
      <c r="FW67" s="28">
        <v>0</v>
      </c>
      <c r="FX67" s="28">
        <v>0</v>
      </c>
      <c r="FY67" s="28">
        <v>0</v>
      </c>
      <c r="FZ67" s="28">
        <v>0</v>
      </c>
      <c r="GA67" s="28">
        <v>0</v>
      </c>
      <c r="GB67" s="28">
        <v>0</v>
      </c>
      <c r="GC67" s="28">
        <v>0</v>
      </c>
      <c r="GD67" s="28">
        <v>0</v>
      </c>
      <c r="GE67" s="28">
        <v>0</v>
      </c>
      <c r="GF67" s="28">
        <v>0</v>
      </c>
      <c r="GG67" s="28">
        <v>0</v>
      </c>
      <c r="GH67" s="28">
        <v>0</v>
      </c>
      <c r="GI67" s="28">
        <v>0</v>
      </c>
      <c r="GJ67" s="28">
        <v>0</v>
      </c>
      <c r="GK67" s="28">
        <v>0</v>
      </c>
      <c r="GL67" s="28">
        <v>0</v>
      </c>
      <c r="GM67" s="28">
        <v>0</v>
      </c>
      <c r="GN67" s="28">
        <v>0</v>
      </c>
      <c r="GO67" s="28">
        <v>0</v>
      </c>
      <c r="GP67" s="28">
        <v>0</v>
      </c>
      <c r="GQ67" s="21">
        <v>0</v>
      </c>
      <c r="GR67" s="21">
        <v>0</v>
      </c>
      <c r="GS67" s="20">
        <v>0</v>
      </c>
      <c r="GT67" s="20">
        <v>0</v>
      </c>
      <c r="GU67" s="20">
        <v>0</v>
      </c>
      <c r="GV67" s="20">
        <v>0</v>
      </c>
      <c r="GW67" s="20">
        <v>0</v>
      </c>
      <c r="GX67" s="21">
        <v>18.253865848109399</v>
      </c>
      <c r="GY67" s="20">
        <v>0</v>
      </c>
      <c r="GZ67" s="20">
        <v>18.253865848109399</v>
      </c>
      <c r="HA67" s="20"/>
      <c r="HB67" s="21">
        <v>1325.9175411264</v>
      </c>
      <c r="HC67" s="21">
        <v>1344.1714069745094</v>
      </c>
    </row>
    <row r="68" spans="2:211" s="7" customFormat="1" ht="17.25" customHeight="1">
      <c r="B68" s="26" t="s">
        <v>469</v>
      </c>
      <c r="C68" s="9" t="s">
        <v>470</v>
      </c>
      <c r="D68" s="28">
        <v>0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0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0</v>
      </c>
      <c r="AR68" s="28">
        <v>0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2.8290293568833298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0</v>
      </c>
      <c r="BH68" s="28">
        <v>0</v>
      </c>
      <c r="BI68" s="28">
        <v>0</v>
      </c>
      <c r="BJ68" s="28">
        <v>0</v>
      </c>
      <c r="BK68" s="28">
        <v>0</v>
      </c>
      <c r="BL68" s="28">
        <v>0</v>
      </c>
      <c r="BM68" s="28">
        <v>0</v>
      </c>
      <c r="BN68" s="28">
        <v>0</v>
      </c>
      <c r="BO68" s="28">
        <v>0</v>
      </c>
      <c r="BP68" s="28">
        <v>0</v>
      </c>
      <c r="BQ68" s="28">
        <v>0</v>
      </c>
      <c r="BR68" s="28">
        <v>0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28">
        <v>0</v>
      </c>
      <c r="CA68" s="28">
        <v>0</v>
      </c>
      <c r="CB68" s="28">
        <v>0</v>
      </c>
      <c r="CC68" s="28">
        <v>0</v>
      </c>
      <c r="CD68" s="28">
        <v>0</v>
      </c>
      <c r="CE68" s="28">
        <v>0</v>
      </c>
      <c r="CF68" s="28">
        <v>0</v>
      </c>
      <c r="CG68" s="28">
        <v>0</v>
      </c>
      <c r="CH68" s="28">
        <v>0</v>
      </c>
      <c r="CI68" s="28">
        <v>0</v>
      </c>
      <c r="CJ68" s="28">
        <v>0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0</v>
      </c>
      <c r="CQ68" s="28">
        <v>0</v>
      </c>
      <c r="CR68" s="28">
        <v>0</v>
      </c>
      <c r="CS68" s="28">
        <v>0</v>
      </c>
      <c r="CT68" s="28">
        <v>0</v>
      </c>
      <c r="CU68" s="28">
        <v>0</v>
      </c>
      <c r="CV68" s="28">
        <v>0</v>
      </c>
      <c r="CW68" s="28">
        <v>0</v>
      </c>
      <c r="CX68" s="28">
        <v>0</v>
      </c>
      <c r="CY68" s="28">
        <v>0</v>
      </c>
      <c r="CZ68" s="28">
        <v>0</v>
      </c>
      <c r="DA68" s="28">
        <v>0</v>
      </c>
      <c r="DB68" s="28">
        <v>0</v>
      </c>
      <c r="DC68" s="28">
        <v>0</v>
      </c>
      <c r="DD68" s="28">
        <v>0</v>
      </c>
      <c r="DE68" s="28">
        <v>0</v>
      </c>
      <c r="DF68" s="28">
        <v>0</v>
      </c>
      <c r="DG68" s="28">
        <v>0</v>
      </c>
      <c r="DH68" s="28">
        <v>0</v>
      </c>
      <c r="DI68" s="28">
        <v>0</v>
      </c>
      <c r="DJ68" s="28">
        <v>0</v>
      </c>
      <c r="DK68" s="28">
        <v>0</v>
      </c>
      <c r="DL68" s="28">
        <v>86.977523762596704</v>
      </c>
      <c r="DM68" s="28">
        <v>0</v>
      </c>
      <c r="DN68" s="28">
        <v>0</v>
      </c>
      <c r="DO68" s="28">
        <v>0</v>
      </c>
      <c r="DP68" s="28">
        <v>0</v>
      </c>
      <c r="DQ68" s="28">
        <v>0</v>
      </c>
      <c r="DR68" s="28">
        <v>0</v>
      </c>
      <c r="DS68" s="28">
        <v>0</v>
      </c>
      <c r="DT68" s="28">
        <v>0</v>
      </c>
      <c r="DU68" s="28">
        <v>0</v>
      </c>
      <c r="DV68" s="28">
        <v>0</v>
      </c>
      <c r="DW68" s="28">
        <v>0</v>
      </c>
      <c r="DX68" s="28">
        <v>0</v>
      </c>
      <c r="DY68" s="28">
        <v>3.27382062082196E-3</v>
      </c>
      <c r="DZ68" s="28">
        <v>0</v>
      </c>
      <c r="EA68" s="28">
        <v>0</v>
      </c>
      <c r="EB68" s="28">
        <v>0</v>
      </c>
      <c r="EC68" s="28">
        <v>0</v>
      </c>
      <c r="ED68" s="28">
        <v>0</v>
      </c>
      <c r="EE68" s="28">
        <v>0</v>
      </c>
      <c r="EF68" s="28">
        <v>0</v>
      </c>
      <c r="EG68" s="28">
        <v>0</v>
      </c>
      <c r="EH68" s="28">
        <v>20.302692634636301</v>
      </c>
      <c r="EI68" s="28">
        <v>24.76433914866</v>
      </c>
      <c r="EJ68" s="28">
        <v>2.9554508589137898</v>
      </c>
      <c r="EK68" s="28">
        <v>0</v>
      </c>
      <c r="EL68" s="28">
        <v>0</v>
      </c>
      <c r="EM68" s="28">
        <v>0</v>
      </c>
      <c r="EN68" s="28">
        <v>0</v>
      </c>
      <c r="EO68" s="28">
        <v>0</v>
      </c>
      <c r="EP68" s="28">
        <v>0</v>
      </c>
      <c r="EQ68" s="28">
        <v>0</v>
      </c>
      <c r="ER68" s="28">
        <v>0</v>
      </c>
      <c r="ES68" s="28">
        <v>0</v>
      </c>
      <c r="ET68" s="28">
        <v>0</v>
      </c>
      <c r="EU68" s="28">
        <v>0</v>
      </c>
      <c r="EV68" s="28">
        <v>0</v>
      </c>
      <c r="EW68" s="28">
        <v>0</v>
      </c>
      <c r="EX68" s="28">
        <v>0</v>
      </c>
      <c r="EY68" s="28">
        <v>0</v>
      </c>
      <c r="EZ68" s="28">
        <v>0</v>
      </c>
      <c r="FA68" s="28">
        <v>0</v>
      </c>
      <c r="FB68" s="28">
        <v>0</v>
      </c>
      <c r="FC68" s="28">
        <v>0</v>
      </c>
      <c r="FD68" s="28">
        <v>0</v>
      </c>
      <c r="FE68" s="28">
        <v>0</v>
      </c>
      <c r="FF68" s="28">
        <v>0</v>
      </c>
      <c r="FG68" s="28">
        <v>0</v>
      </c>
      <c r="FH68" s="28">
        <v>0</v>
      </c>
      <c r="FI68" s="28">
        <v>0</v>
      </c>
      <c r="FJ68" s="28">
        <v>0</v>
      </c>
      <c r="FK68" s="28">
        <v>0</v>
      </c>
      <c r="FL68" s="28">
        <v>0</v>
      </c>
      <c r="FM68" s="28">
        <v>0</v>
      </c>
      <c r="FN68" s="28">
        <v>0</v>
      </c>
      <c r="FO68" s="28">
        <v>0</v>
      </c>
      <c r="FP68" s="28">
        <v>0</v>
      </c>
      <c r="FQ68" s="28">
        <v>0</v>
      </c>
      <c r="FR68" s="28">
        <v>0</v>
      </c>
      <c r="FS68" s="28">
        <v>0</v>
      </c>
      <c r="FT68" s="28">
        <v>0</v>
      </c>
      <c r="FU68" s="28">
        <v>0</v>
      </c>
      <c r="FV68" s="28">
        <v>0</v>
      </c>
      <c r="FW68" s="28">
        <v>0</v>
      </c>
      <c r="FX68" s="28">
        <v>0</v>
      </c>
      <c r="FY68" s="28">
        <v>0</v>
      </c>
      <c r="FZ68" s="28">
        <v>0</v>
      </c>
      <c r="GA68" s="28">
        <v>0</v>
      </c>
      <c r="GB68" s="28">
        <v>0</v>
      </c>
      <c r="GC68" s="28">
        <v>0</v>
      </c>
      <c r="GD68" s="28">
        <v>0</v>
      </c>
      <c r="GE68" s="28">
        <v>0</v>
      </c>
      <c r="GF68" s="28">
        <v>0</v>
      </c>
      <c r="GG68" s="28">
        <v>0</v>
      </c>
      <c r="GH68" s="28">
        <v>0</v>
      </c>
      <c r="GI68" s="28">
        <v>0</v>
      </c>
      <c r="GJ68" s="28">
        <v>0</v>
      </c>
      <c r="GK68" s="28">
        <v>0</v>
      </c>
      <c r="GL68" s="28">
        <v>0</v>
      </c>
      <c r="GM68" s="28">
        <v>0</v>
      </c>
      <c r="GN68" s="28">
        <v>0</v>
      </c>
      <c r="GO68" s="28">
        <v>0</v>
      </c>
      <c r="GP68" s="28">
        <v>0</v>
      </c>
      <c r="GQ68" s="21">
        <v>137.83230958231096</v>
      </c>
      <c r="GR68" s="21">
        <v>0</v>
      </c>
      <c r="GS68" s="20">
        <v>0</v>
      </c>
      <c r="GT68" s="20">
        <v>0</v>
      </c>
      <c r="GU68" s="20">
        <v>0</v>
      </c>
      <c r="GV68" s="20">
        <v>0</v>
      </c>
      <c r="GW68" s="20">
        <v>0</v>
      </c>
      <c r="GX68" s="21">
        <v>1.12024382249614</v>
      </c>
      <c r="GY68" s="20">
        <v>0</v>
      </c>
      <c r="GZ68" s="20">
        <v>1.12024382249614</v>
      </c>
      <c r="HA68" s="20"/>
      <c r="HB68" s="21">
        <v>126.09077551838401</v>
      </c>
      <c r="HC68" s="21">
        <v>265.0433289231911</v>
      </c>
    </row>
    <row r="69" spans="2:211" s="7" customFormat="1" ht="17.25" customHeight="1">
      <c r="B69" s="26" t="s">
        <v>53</v>
      </c>
      <c r="C69" s="9" t="s">
        <v>471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0.20081554874342999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0.87066625744392301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1.01522611469392E-2</v>
      </c>
      <c r="AU69" s="28">
        <v>0</v>
      </c>
      <c r="AV69" s="28">
        <v>2.3631438440982401E-2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3.09345670764018</v>
      </c>
      <c r="DZ69" s="28">
        <v>274.59433226306101</v>
      </c>
      <c r="EA69" s="28">
        <v>12.604191523814301</v>
      </c>
      <c r="EB69" s="28">
        <v>89.705390710471306</v>
      </c>
      <c r="EC69" s="28">
        <v>2.9650837742599698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0.117101655265168</v>
      </c>
      <c r="ET69" s="28">
        <v>0</v>
      </c>
      <c r="EU69" s="28">
        <v>0</v>
      </c>
      <c r="EV69" s="28">
        <v>0</v>
      </c>
      <c r="EW69" s="28">
        <v>0</v>
      </c>
      <c r="EX69" s="28">
        <v>0</v>
      </c>
      <c r="EY69" s="28">
        <v>0</v>
      </c>
      <c r="EZ69" s="28">
        <v>0</v>
      </c>
      <c r="FA69" s="28">
        <v>0</v>
      </c>
      <c r="FB69" s="28">
        <v>0</v>
      </c>
      <c r="FC69" s="28">
        <v>220.34826151124</v>
      </c>
      <c r="FD69" s="28">
        <v>75.997264076781207</v>
      </c>
      <c r="FE69" s="28">
        <v>6.0623977499361299</v>
      </c>
      <c r="FF69" s="28">
        <v>0</v>
      </c>
      <c r="FG69" s="28">
        <v>820.28948788228604</v>
      </c>
      <c r="FH69" s="28">
        <v>23.801741959453</v>
      </c>
      <c r="FI69" s="28">
        <v>0</v>
      </c>
      <c r="FJ69" s="28">
        <v>0</v>
      </c>
      <c r="FK69" s="28">
        <v>0</v>
      </c>
      <c r="FL69" s="28">
        <v>0</v>
      </c>
      <c r="FM69" s="28">
        <v>0</v>
      </c>
      <c r="FN69" s="28">
        <v>0</v>
      </c>
      <c r="FO69" s="28">
        <v>0</v>
      </c>
      <c r="FP69" s="28">
        <v>0</v>
      </c>
      <c r="FQ69" s="28">
        <v>0</v>
      </c>
      <c r="FR69" s="28">
        <v>0</v>
      </c>
      <c r="FS69" s="28">
        <v>0</v>
      </c>
      <c r="FT69" s="28">
        <v>0</v>
      </c>
      <c r="FU69" s="28">
        <v>0</v>
      </c>
      <c r="FV69" s="28">
        <v>0</v>
      </c>
      <c r="FW69" s="28">
        <v>0</v>
      </c>
      <c r="FX69" s="28">
        <v>0</v>
      </c>
      <c r="FY69" s="28">
        <v>0</v>
      </c>
      <c r="FZ69" s="28">
        <v>0</v>
      </c>
      <c r="GA69" s="28">
        <v>1.17217554590441E-2</v>
      </c>
      <c r="GB69" s="28">
        <v>0</v>
      </c>
      <c r="GC69" s="28">
        <v>0</v>
      </c>
      <c r="GD69" s="28">
        <v>0</v>
      </c>
      <c r="GE69" s="28">
        <v>0</v>
      </c>
      <c r="GF69" s="28">
        <v>0</v>
      </c>
      <c r="GG69" s="28">
        <v>2.9077848199999998</v>
      </c>
      <c r="GH69" s="28">
        <v>0</v>
      </c>
      <c r="GI69" s="28">
        <v>0.20340578884069699</v>
      </c>
      <c r="GJ69" s="28">
        <v>0</v>
      </c>
      <c r="GK69" s="28">
        <v>0.209083634691174</v>
      </c>
      <c r="GL69" s="28">
        <v>0</v>
      </c>
      <c r="GM69" s="28">
        <v>0</v>
      </c>
      <c r="GN69" s="28">
        <v>0</v>
      </c>
      <c r="GO69" s="28">
        <v>0</v>
      </c>
      <c r="GP69" s="28">
        <v>0</v>
      </c>
      <c r="GQ69" s="21">
        <v>1534.0159713189744</v>
      </c>
      <c r="GR69" s="21">
        <v>0</v>
      </c>
      <c r="GS69" s="20">
        <v>0</v>
      </c>
      <c r="GT69" s="20">
        <v>0</v>
      </c>
      <c r="GU69" s="20">
        <v>0</v>
      </c>
      <c r="GV69" s="20">
        <v>0</v>
      </c>
      <c r="GW69" s="20">
        <v>0</v>
      </c>
      <c r="GX69" s="21">
        <v>22.632969402463985</v>
      </c>
      <c r="GY69" s="20">
        <v>0</v>
      </c>
      <c r="GZ69" s="20">
        <v>22.632969402463985</v>
      </c>
      <c r="HA69" s="20"/>
      <c r="HB69" s="21">
        <v>1.8270000000000001E-3</v>
      </c>
      <c r="HC69" s="21">
        <v>1556.6507677214383</v>
      </c>
    </row>
    <row r="70" spans="2:211" s="7" customFormat="1" ht="17.25" customHeight="1">
      <c r="B70" s="26" t="s">
        <v>54</v>
      </c>
      <c r="C70" s="9" t="s">
        <v>472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6.3809776492078996</v>
      </c>
      <c r="AB70" s="28">
        <v>3.4367360849002102</v>
      </c>
      <c r="AC70" s="28">
        <v>0</v>
      </c>
      <c r="AD70" s="28">
        <v>0</v>
      </c>
      <c r="AE70" s="28">
        <v>1.0401305445654501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0.29982744523770599</v>
      </c>
      <c r="AU70" s="28">
        <v>0</v>
      </c>
      <c r="AV70" s="28">
        <v>0.671344345963933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6.6102161407470703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1.076073587062</v>
      </c>
      <c r="DR70" s="28">
        <v>0</v>
      </c>
      <c r="DS70" s="28">
        <v>1.70808270209563</v>
      </c>
      <c r="DT70" s="28">
        <v>0</v>
      </c>
      <c r="DU70" s="28">
        <v>0</v>
      </c>
      <c r="DV70" s="28">
        <v>0</v>
      </c>
      <c r="DW70" s="28">
        <v>0</v>
      </c>
      <c r="DX70" s="28">
        <v>8.5545367548109592</v>
      </c>
      <c r="DY70" s="28">
        <v>113.018965354758</v>
      </c>
      <c r="DZ70" s="28">
        <v>151.596493776112</v>
      </c>
      <c r="EA70" s="28">
        <v>14.306499028479999</v>
      </c>
      <c r="EB70" s="28">
        <v>2.0783756159559599</v>
      </c>
      <c r="EC70" s="28">
        <v>17.6703508866573</v>
      </c>
      <c r="ED70" s="28">
        <v>0</v>
      </c>
      <c r="EE70" s="28">
        <v>1.8113381082948101E-2</v>
      </c>
      <c r="EF70" s="28">
        <v>0</v>
      </c>
      <c r="EG70" s="28">
        <v>0</v>
      </c>
      <c r="EH70" s="28">
        <v>0</v>
      </c>
      <c r="EI70" s="28">
        <v>0</v>
      </c>
      <c r="EJ70" s="28">
        <v>0.38663116330532199</v>
      </c>
      <c r="EK70" s="28">
        <v>0</v>
      </c>
      <c r="EL70" s="28">
        <v>0</v>
      </c>
      <c r="EM70" s="28">
        <v>0</v>
      </c>
      <c r="EN70" s="28">
        <v>0</v>
      </c>
      <c r="EO70" s="28">
        <v>1.05016332760225E-3</v>
      </c>
      <c r="EP70" s="28">
        <v>0</v>
      </c>
      <c r="EQ70" s="28">
        <v>0</v>
      </c>
      <c r="ER70" s="28">
        <v>1.27836579963408</v>
      </c>
      <c r="ES70" s="28">
        <v>0</v>
      </c>
      <c r="ET70" s="28">
        <v>0</v>
      </c>
      <c r="EU70" s="28">
        <v>0</v>
      </c>
      <c r="EV70" s="28">
        <v>0</v>
      </c>
      <c r="EW70" s="28">
        <v>0</v>
      </c>
      <c r="EX70" s="28">
        <v>0</v>
      </c>
      <c r="EY70" s="28">
        <v>0</v>
      </c>
      <c r="EZ70" s="28">
        <v>0</v>
      </c>
      <c r="FA70" s="28">
        <v>0</v>
      </c>
      <c r="FB70" s="28">
        <v>0</v>
      </c>
      <c r="FC70" s="28">
        <v>93.9307565976478</v>
      </c>
      <c r="FD70" s="28">
        <v>109.393329857678</v>
      </c>
      <c r="FE70" s="28">
        <v>1.1631652172007301</v>
      </c>
      <c r="FF70" s="28">
        <v>0</v>
      </c>
      <c r="FG70" s="28">
        <v>159.42808257116701</v>
      </c>
      <c r="FH70" s="28">
        <v>2.74474727367283</v>
      </c>
      <c r="FI70" s="28">
        <v>0</v>
      </c>
      <c r="FJ70" s="28">
        <v>0</v>
      </c>
      <c r="FK70" s="28">
        <v>0</v>
      </c>
      <c r="FL70" s="28">
        <v>0</v>
      </c>
      <c r="FM70" s="28">
        <v>0</v>
      </c>
      <c r="FN70" s="28">
        <v>0</v>
      </c>
      <c r="FO70" s="28">
        <v>0</v>
      </c>
      <c r="FP70" s="28">
        <v>0</v>
      </c>
      <c r="FQ70" s="28">
        <v>0</v>
      </c>
      <c r="FR70" s="28">
        <v>0</v>
      </c>
      <c r="FS70" s="28">
        <v>0</v>
      </c>
      <c r="FT70" s="28">
        <v>0</v>
      </c>
      <c r="FU70" s="28">
        <v>0</v>
      </c>
      <c r="FV70" s="28">
        <v>0</v>
      </c>
      <c r="FW70" s="28">
        <v>0</v>
      </c>
      <c r="FX70" s="28">
        <v>0</v>
      </c>
      <c r="FY70" s="28">
        <v>0</v>
      </c>
      <c r="FZ70" s="28">
        <v>0</v>
      </c>
      <c r="GA70" s="28">
        <v>0.12720118131182001</v>
      </c>
      <c r="GB70" s="28">
        <v>0</v>
      </c>
      <c r="GC70" s="28">
        <v>0</v>
      </c>
      <c r="GD70" s="28">
        <v>0</v>
      </c>
      <c r="GE70" s="28">
        <v>0</v>
      </c>
      <c r="GF70" s="28">
        <v>0</v>
      </c>
      <c r="GG70" s="28">
        <v>69.059889475000006</v>
      </c>
      <c r="GH70" s="28">
        <v>0</v>
      </c>
      <c r="GI70" s="28">
        <v>2.2073022011593002</v>
      </c>
      <c r="GJ70" s="28">
        <v>0</v>
      </c>
      <c r="GK70" s="28">
        <v>1.76102412954859</v>
      </c>
      <c r="GL70" s="28">
        <v>0</v>
      </c>
      <c r="GM70" s="28">
        <v>0</v>
      </c>
      <c r="GN70" s="28">
        <v>0</v>
      </c>
      <c r="GO70" s="28">
        <v>0</v>
      </c>
      <c r="GP70" s="28">
        <v>0</v>
      </c>
      <c r="GQ70" s="21">
        <v>769.94826892828962</v>
      </c>
      <c r="GR70" s="21">
        <v>0</v>
      </c>
      <c r="GS70" s="20">
        <v>0</v>
      </c>
      <c r="GT70" s="20">
        <v>0</v>
      </c>
      <c r="GU70" s="20">
        <v>0</v>
      </c>
      <c r="GV70" s="20">
        <v>0</v>
      </c>
      <c r="GW70" s="20">
        <v>0</v>
      </c>
      <c r="GX70" s="21">
        <v>10.972023441557436</v>
      </c>
      <c r="GY70" s="20">
        <v>0</v>
      </c>
      <c r="GZ70" s="20">
        <v>10.972023441557436</v>
      </c>
      <c r="HA70" s="20"/>
      <c r="HB70" s="21">
        <v>9.0350443776000002</v>
      </c>
      <c r="HC70" s="21">
        <v>789.95533674744706</v>
      </c>
    </row>
    <row r="71" spans="2:211" s="7" customFormat="1" ht="17.25" customHeight="1">
      <c r="B71" s="26" t="s">
        <v>56</v>
      </c>
      <c r="C71" s="9" t="s">
        <v>473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0</v>
      </c>
      <c r="AR71" s="28">
        <v>0</v>
      </c>
      <c r="AS71" s="28">
        <v>0</v>
      </c>
      <c r="AT71" s="28">
        <v>24.940456055034701</v>
      </c>
      <c r="AU71" s="28">
        <v>0</v>
      </c>
      <c r="AV71" s="28">
        <v>0</v>
      </c>
      <c r="AW71" s="28">
        <v>0</v>
      </c>
      <c r="AX71" s="28">
        <v>0</v>
      </c>
      <c r="AY71" s="28">
        <v>0</v>
      </c>
      <c r="AZ71" s="28">
        <v>0</v>
      </c>
      <c r="BA71" s="28">
        <v>0</v>
      </c>
      <c r="BB71" s="28">
        <v>0</v>
      </c>
      <c r="BC71" s="28">
        <v>0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0</v>
      </c>
      <c r="BJ71" s="28">
        <v>0</v>
      </c>
      <c r="BK71" s="28">
        <v>0</v>
      </c>
      <c r="BL71" s="28">
        <v>0</v>
      </c>
      <c r="BM71" s="28">
        <v>0</v>
      </c>
      <c r="BN71" s="28">
        <v>0</v>
      </c>
      <c r="BO71" s="28">
        <v>0</v>
      </c>
      <c r="BP71" s="28">
        <v>0</v>
      </c>
      <c r="BQ71" s="28">
        <v>0</v>
      </c>
      <c r="BR71" s="28">
        <v>0</v>
      </c>
      <c r="BS71" s="28">
        <v>0</v>
      </c>
      <c r="BT71" s="28">
        <v>0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2.0781820379278102</v>
      </c>
      <c r="CB71" s="28">
        <v>0</v>
      </c>
      <c r="CC71" s="28">
        <v>0</v>
      </c>
      <c r="CD71" s="28">
        <v>0</v>
      </c>
      <c r="CE71" s="28">
        <v>0</v>
      </c>
      <c r="CF71" s="28">
        <v>0</v>
      </c>
      <c r="CG71" s="28">
        <v>4.6224262528460001</v>
      </c>
      <c r="CH71" s="28">
        <v>0</v>
      </c>
      <c r="CI71" s="28">
        <v>0</v>
      </c>
      <c r="CJ71" s="28">
        <v>0</v>
      </c>
      <c r="CK71" s="28">
        <v>0</v>
      </c>
      <c r="CL71" s="28">
        <v>0</v>
      </c>
      <c r="CM71" s="28">
        <v>2.6253870813232401</v>
      </c>
      <c r="CN71" s="28">
        <v>0</v>
      </c>
      <c r="CO71" s="28">
        <v>0</v>
      </c>
      <c r="CP71" s="28">
        <v>0</v>
      </c>
      <c r="CQ71" s="28">
        <v>0</v>
      </c>
      <c r="CR71" s="28">
        <v>1.34305865243654</v>
      </c>
      <c r="CS71" s="28">
        <v>1.7244021401824401E-4</v>
      </c>
      <c r="CT71" s="28">
        <v>0</v>
      </c>
      <c r="CU71" s="28">
        <v>3.0217961246300599E-2</v>
      </c>
      <c r="CV71" s="28">
        <v>0</v>
      </c>
      <c r="CW71" s="28">
        <v>0</v>
      </c>
      <c r="CX71" s="28">
        <v>0</v>
      </c>
      <c r="CY71" s="28">
        <v>0</v>
      </c>
      <c r="CZ71" s="28">
        <v>0</v>
      </c>
      <c r="DA71" s="28">
        <v>0</v>
      </c>
      <c r="DB71" s="28">
        <v>0</v>
      </c>
      <c r="DC71" s="28">
        <v>0</v>
      </c>
      <c r="DD71" s="28">
        <v>0</v>
      </c>
      <c r="DE71" s="28">
        <v>0</v>
      </c>
      <c r="DF71" s="28">
        <v>0</v>
      </c>
      <c r="DG71" s="28">
        <v>0</v>
      </c>
      <c r="DH71" s="28">
        <v>0</v>
      </c>
      <c r="DI71" s="28">
        <v>0</v>
      </c>
      <c r="DJ71" s="28">
        <v>0</v>
      </c>
      <c r="DK71" s="28">
        <v>0</v>
      </c>
      <c r="DL71" s="28">
        <v>3.1298804010470902</v>
      </c>
      <c r="DM71" s="28">
        <v>9.1862754595670992</v>
      </c>
      <c r="DN71" s="28">
        <v>0</v>
      </c>
      <c r="DO71" s="28">
        <v>0</v>
      </c>
      <c r="DP71" s="28">
        <v>0</v>
      </c>
      <c r="DQ71" s="28">
        <v>0.48896801958388098</v>
      </c>
      <c r="DR71" s="28">
        <v>0</v>
      </c>
      <c r="DS71" s="28">
        <v>3.5651776117048701</v>
      </c>
      <c r="DT71" s="28">
        <v>8.0111291339388296E-2</v>
      </c>
      <c r="DU71" s="28">
        <v>0</v>
      </c>
      <c r="DV71" s="28">
        <v>0</v>
      </c>
      <c r="DW71" s="28">
        <v>0</v>
      </c>
      <c r="DX71" s="28">
        <v>10.734480135586701</v>
      </c>
      <c r="DY71" s="28">
        <v>0</v>
      </c>
      <c r="DZ71" s="28">
        <v>0</v>
      </c>
      <c r="EA71" s="28">
        <v>0</v>
      </c>
      <c r="EB71" s="28">
        <v>11.4497133812459</v>
      </c>
      <c r="EC71" s="28">
        <v>1.2448959171059599</v>
      </c>
      <c r="ED71" s="28">
        <v>0</v>
      </c>
      <c r="EE71" s="28">
        <v>0.97485160809110605</v>
      </c>
      <c r="EF71" s="28">
        <v>0</v>
      </c>
      <c r="EG71" s="28">
        <v>0</v>
      </c>
      <c r="EH71" s="28">
        <v>0</v>
      </c>
      <c r="EI71" s="28">
        <v>0</v>
      </c>
      <c r="EJ71" s="28">
        <v>0.16827536606723401</v>
      </c>
      <c r="EK71" s="28">
        <v>0</v>
      </c>
      <c r="EL71" s="28">
        <v>0</v>
      </c>
      <c r="EM71" s="28">
        <v>0</v>
      </c>
      <c r="EN71" s="28">
        <v>0</v>
      </c>
      <c r="EO71" s="28">
        <v>0</v>
      </c>
      <c r="EP71" s="28">
        <v>0</v>
      </c>
      <c r="EQ71" s="28">
        <v>0.27414745984898298</v>
      </c>
      <c r="ER71" s="28">
        <v>4.2068950460521899</v>
      </c>
      <c r="ES71" s="28">
        <v>0</v>
      </c>
      <c r="ET71" s="28">
        <v>0</v>
      </c>
      <c r="EU71" s="28">
        <v>0</v>
      </c>
      <c r="EV71" s="28">
        <v>0</v>
      </c>
      <c r="EW71" s="28">
        <v>0</v>
      </c>
      <c r="EX71" s="28">
        <v>0</v>
      </c>
      <c r="EY71" s="28">
        <v>0</v>
      </c>
      <c r="EZ71" s="28">
        <v>0</v>
      </c>
      <c r="FA71" s="28">
        <v>0</v>
      </c>
      <c r="FB71" s="28">
        <v>0</v>
      </c>
      <c r="FC71" s="28">
        <v>0</v>
      </c>
      <c r="FD71" s="28">
        <v>0</v>
      </c>
      <c r="FE71" s="28">
        <v>0</v>
      </c>
      <c r="FF71" s="28">
        <v>0</v>
      </c>
      <c r="FG71" s="28">
        <v>0</v>
      </c>
      <c r="FH71" s="28">
        <v>0</v>
      </c>
      <c r="FI71" s="28">
        <v>0</v>
      </c>
      <c r="FJ71" s="28">
        <v>0</v>
      </c>
      <c r="FK71" s="28">
        <v>0</v>
      </c>
      <c r="FL71" s="28">
        <v>0</v>
      </c>
      <c r="FM71" s="28">
        <v>0</v>
      </c>
      <c r="FN71" s="28">
        <v>0</v>
      </c>
      <c r="FO71" s="28">
        <v>0</v>
      </c>
      <c r="FP71" s="28">
        <v>0</v>
      </c>
      <c r="FQ71" s="28">
        <v>0</v>
      </c>
      <c r="FR71" s="28">
        <v>0</v>
      </c>
      <c r="FS71" s="28">
        <v>0</v>
      </c>
      <c r="FT71" s="28">
        <v>0</v>
      </c>
      <c r="FU71" s="28">
        <v>0</v>
      </c>
      <c r="FV71" s="28">
        <v>0</v>
      </c>
      <c r="FW71" s="28">
        <v>0</v>
      </c>
      <c r="FX71" s="28">
        <v>0</v>
      </c>
      <c r="FY71" s="28">
        <v>0</v>
      </c>
      <c r="FZ71" s="28">
        <v>0</v>
      </c>
      <c r="GA71" s="28">
        <v>0</v>
      </c>
      <c r="GB71" s="28">
        <v>0</v>
      </c>
      <c r="GC71" s="28">
        <v>0</v>
      </c>
      <c r="GD71" s="28">
        <v>0</v>
      </c>
      <c r="GE71" s="28">
        <v>0</v>
      </c>
      <c r="GF71" s="28">
        <v>0</v>
      </c>
      <c r="GG71" s="28">
        <v>0</v>
      </c>
      <c r="GH71" s="28">
        <v>0</v>
      </c>
      <c r="GI71" s="28">
        <v>0</v>
      </c>
      <c r="GJ71" s="28">
        <v>0</v>
      </c>
      <c r="GK71" s="28">
        <v>0</v>
      </c>
      <c r="GL71" s="28">
        <v>0</v>
      </c>
      <c r="GM71" s="28">
        <v>0</v>
      </c>
      <c r="GN71" s="28">
        <v>0</v>
      </c>
      <c r="GO71" s="28">
        <v>0</v>
      </c>
      <c r="GP71" s="28">
        <v>0</v>
      </c>
      <c r="GQ71" s="21">
        <v>81.143572178269025</v>
      </c>
      <c r="GR71" s="21">
        <v>0</v>
      </c>
      <c r="GS71" s="20">
        <v>0</v>
      </c>
      <c r="GT71" s="20">
        <v>0</v>
      </c>
      <c r="GU71" s="20">
        <v>0</v>
      </c>
      <c r="GV71" s="20">
        <v>0</v>
      </c>
      <c r="GW71" s="20">
        <v>0</v>
      </c>
      <c r="GX71" s="21">
        <v>2.1188655091509498</v>
      </c>
      <c r="GY71" s="20">
        <v>0</v>
      </c>
      <c r="GZ71" s="20">
        <v>2.1188655091509498</v>
      </c>
      <c r="HA71" s="20"/>
      <c r="HB71" s="21">
        <v>317.40250374959999</v>
      </c>
      <c r="HC71" s="21">
        <v>400.66494143701993</v>
      </c>
    </row>
    <row r="72" spans="2:211" s="7" customFormat="1" ht="17.25" customHeight="1">
      <c r="B72" s="26" t="s">
        <v>474</v>
      </c>
      <c r="C72" s="9" t="s">
        <v>475</v>
      </c>
      <c r="D72" s="28">
        <v>4.6786443057795996E-3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5.8674787129675998E-2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0.24729757056301299</v>
      </c>
      <c r="AF72" s="28">
        <v>1.0139597107767799</v>
      </c>
      <c r="AG72" s="28">
        <v>2.3594129593053799</v>
      </c>
      <c r="AH72" s="28">
        <v>0.75582870292252702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0.37388904849844401</v>
      </c>
      <c r="CC72" s="28">
        <v>2.0494868725187899E-2</v>
      </c>
      <c r="CD72" s="28">
        <v>0.269264292666959</v>
      </c>
      <c r="CE72" s="28">
        <v>9.1556666394087396E-2</v>
      </c>
      <c r="CF72" s="28">
        <v>0</v>
      </c>
      <c r="CG72" s="28">
        <v>0</v>
      </c>
      <c r="CH72" s="28">
        <v>0</v>
      </c>
      <c r="CI72" s="28">
        <v>0</v>
      </c>
      <c r="CJ72" s="28">
        <v>0</v>
      </c>
      <c r="CK72" s="28">
        <v>0</v>
      </c>
      <c r="CL72" s="28">
        <v>8.1181272002326192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2.7777736187492298E-4</v>
      </c>
      <c r="CT72" s="28">
        <v>0</v>
      </c>
      <c r="CU72" s="28">
        <v>0</v>
      </c>
      <c r="CV72" s="28">
        <v>0</v>
      </c>
      <c r="CW72" s="28">
        <v>6.96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0</v>
      </c>
      <c r="DJ72" s="28">
        <v>0</v>
      </c>
      <c r="DK72" s="28">
        <v>0</v>
      </c>
      <c r="DL72" s="28">
        <v>0.233188221868454</v>
      </c>
      <c r="DM72" s="28">
        <v>0.58339506687554099</v>
      </c>
      <c r="DN72" s="28">
        <v>0</v>
      </c>
      <c r="DO72" s="28">
        <v>0</v>
      </c>
      <c r="DP72" s="28">
        <v>0</v>
      </c>
      <c r="DQ72" s="28">
        <v>0</v>
      </c>
      <c r="DR72" s="28">
        <v>1.71578536359642</v>
      </c>
      <c r="DS72" s="28">
        <v>0</v>
      </c>
      <c r="DT72" s="28">
        <v>0</v>
      </c>
      <c r="DU72" s="28">
        <v>0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0</v>
      </c>
      <c r="EC72" s="28">
        <v>0</v>
      </c>
      <c r="ED72" s="28">
        <v>0</v>
      </c>
      <c r="EE72" s="28">
        <v>0</v>
      </c>
      <c r="EF72" s="28">
        <v>0</v>
      </c>
      <c r="EG72" s="28">
        <v>0</v>
      </c>
      <c r="EH72" s="28">
        <v>0</v>
      </c>
      <c r="EI72" s="28">
        <v>0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0</v>
      </c>
      <c r="EQ72" s="28">
        <v>0</v>
      </c>
      <c r="ER72" s="28">
        <v>0</v>
      </c>
      <c r="ES72" s="28">
        <v>0</v>
      </c>
      <c r="ET72" s="28">
        <v>0</v>
      </c>
      <c r="EU72" s="28">
        <v>0</v>
      </c>
      <c r="EV72" s="28">
        <v>0</v>
      </c>
      <c r="EW72" s="28">
        <v>0</v>
      </c>
      <c r="EX72" s="28">
        <v>0</v>
      </c>
      <c r="EY72" s="28">
        <v>0</v>
      </c>
      <c r="EZ72" s="28">
        <v>0</v>
      </c>
      <c r="FA72" s="28">
        <v>0</v>
      </c>
      <c r="FB72" s="28">
        <v>0</v>
      </c>
      <c r="FC72" s="28">
        <v>0</v>
      </c>
      <c r="FD72" s="28">
        <v>0</v>
      </c>
      <c r="FE72" s="28">
        <v>0</v>
      </c>
      <c r="FF72" s="28">
        <v>0</v>
      </c>
      <c r="FG72" s="28">
        <v>0</v>
      </c>
      <c r="FH72" s="28">
        <v>0</v>
      </c>
      <c r="FI72" s="28">
        <v>0</v>
      </c>
      <c r="FJ72" s="28">
        <v>0</v>
      </c>
      <c r="FK72" s="28">
        <v>0</v>
      </c>
      <c r="FL72" s="28">
        <v>0</v>
      </c>
      <c r="FM72" s="28">
        <v>0</v>
      </c>
      <c r="FN72" s="28">
        <v>0</v>
      </c>
      <c r="FO72" s="28">
        <v>0</v>
      </c>
      <c r="FP72" s="28">
        <v>0</v>
      </c>
      <c r="FQ72" s="28">
        <v>0</v>
      </c>
      <c r="FR72" s="28">
        <v>0</v>
      </c>
      <c r="FS72" s="28">
        <v>0</v>
      </c>
      <c r="FT72" s="28">
        <v>0</v>
      </c>
      <c r="FU72" s="28">
        <v>0</v>
      </c>
      <c r="FV72" s="28">
        <v>0</v>
      </c>
      <c r="FW72" s="28">
        <v>0</v>
      </c>
      <c r="FX72" s="28">
        <v>0</v>
      </c>
      <c r="FY72" s="28">
        <v>0</v>
      </c>
      <c r="FZ72" s="28">
        <v>0</v>
      </c>
      <c r="GA72" s="28">
        <v>0</v>
      </c>
      <c r="GB72" s="28">
        <v>0</v>
      </c>
      <c r="GC72" s="28">
        <v>0</v>
      </c>
      <c r="GD72" s="28">
        <v>0</v>
      </c>
      <c r="GE72" s="28">
        <v>0</v>
      </c>
      <c r="GF72" s="28">
        <v>0</v>
      </c>
      <c r="GG72" s="28">
        <v>0.106026703781474</v>
      </c>
      <c r="GH72" s="28">
        <v>3.5410666984363098E-2</v>
      </c>
      <c r="GI72" s="28">
        <v>0</v>
      </c>
      <c r="GJ72" s="28">
        <v>0</v>
      </c>
      <c r="GK72" s="28">
        <v>0</v>
      </c>
      <c r="GL72" s="28">
        <v>0</v>
      </c>
      <c r="GM72" s="28">
        <v>0</v>
      </c>
      <c r="GN72" s="28">
        <v>0</v>
      </c>
      <c r="GO72" s="28">
        <v>0</v>
      </c>
      <c r="GP72" s="28">
        <v>0</v>
      </c>
      <c r="GQ72" s="21">
        <v>22.947268251988561</v>
      </c>
      <c r="GR72" s="21">
        <v>0</v>
      </c>
      <c r="GS72" s="20">
        <v>0</v>
      </c>
      <c r="GT72" s="20">
        <v>0</v>
      </c>
      <c r="GU72" s="20">
        <v>0</v>
      </c>
      <c r="GV72" s="20">
        <v>0</v>
      </c>
      <c r="GW72" s="20">
        <v>0</v>
      </c>
      <c r="GX72" s="21">
        <v>2.5099957704669302</v>
      </c>
      <c r="GY72" s="20">
        <v>0</v>
      </c>
      <c r="GZ72" s="20">
        <v>2.5099957704669302</v>
      </c>
      <c r="HA72" s="20"/>
      <c r="HB72" s="21">
        <v>1.9510966608</v>
      </c>
      <c r="HC72" s="21">
        <v>27.408360683255491</v>
      </c>
    </row>
    <row r="73" spans="2:211" s="7" customFormat="1" ht="17.25" customHeight="1">
      <c r="B73" s="26" t="s">
        <v>476</v>
      </c>
      <c r="C73" s="10" t="s">
        <v>477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0</v>
      </c>
      <c r="DG73" s="28">
        <v>0</v>
      </c>
      <c r="DH73" s="28">
        <v>0</v>
      </c>
      <c r="DI73" s="28">
        <v>0</v>
      </c>
      <c r="DJ73" s="28">
        <v>0</v>
      </c>
      <c r="DK73" s="28">
        <v>0</v>
      </c>
      <c r="DL73" s="28">
        <v>0</v>
      </c>
      <c r="DM73" s="28">
        <v>0</v>
      </c>
      <c r="DN73" s="28">
        <v>0</v>
      </c>
      <c r="DO73" s="28">
        <v>0</v>
      </c>
      <c r="DP73" s="28">
        <v>0</v>
      </c>
      <c r="DQ73" s="28">
        <v>1.32235223693413E-2</v>
      </c>
      <c r="DR73" s="28">
        <v>0</v>
      </c>
      <c r="DS73" s="28">
        <v>0</v>
      </c>
      <c r="DT73" s="28">
        <v>0</v>
      </c>
      <c r="DU73" s="28">
        <v>0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0</v>
      </c>
      <c r="ED73" s="28">
        <v>0</v>
      </c>
      <c r="EE73" s="28">
        <v>0</v>
      </c>
      <c r="EF73" s="28">
        <v>0</v>
      </c>
      <c r="EG73" s="28">
        <v>0</v>
      </c>
      <c r="EH73" s="28">
        <v>0</v>
      </c>
      <c r="EI73" s="28">
        <v>0</v>
      </c>
      <c r="EJ73" s="28">
        <v>0</v>
      </c>
      <c r="EK73" s="28">
        <v>0</v>
      </c>
      <c r="EL73" s="28">
        <v>0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0</v>
      </c>
      <c r="ES73" s="28">
        <v>0</v>
      </c>
      <c r="ET73" s="28">
        <v>60.129466373601304</v>
      </c>
      <c r="EU73" s="28">
        <v>0</v>
      </c>
      <c r="EV73" s="28">
        <v>0</v>
      </c>
      <c r="EW73" s="28">
        <v>0</v>
      </c>
      <c r="EX73" s="28">
        <v>0</v>
      </c>
      <c r="EY73" s="28">
        <v>0</v>
      </c>
      <c r="EZ73" s="28">
        <v>0</v>
      </c>
      <c r="FA73" s="28">
        <v>0</v>
      </c>
      <c r="FB73" s="28">
        <v>0</v>
      </c>
      <c r="FC73" s="28">
        <v>0</v>
      </c>
      <c r="FD73" s="28">
        <v>8.4695867884373596E-2</v>
      </c>
      <c r="FE73" s="28">
        <v>0</v>
      </c>
      <c r="FF73" s="28">
        <v>0</v>
      </c>
      <c r="FG73" s="28">
        <v>0</v>
      </c>
      <c r="FH73" s="28">
        <v>0</v>
      </c>
      <c r="FI73" s="28">
        <v>0</v>
      </c>
      <c r="FJ73" s="28">
        <v>0</v>
      </c>
      <c r="FK73" s="28">
        <v>0</v>
      </c>
      <c r="FL73" s="28">
        <v>0</v>
      </c>
      <c r="FM73" s="28">
        <v>0</v>
      </c>
      <c r="FN73" s="28">
        <v>0</v>
      </c>
      <c r="FO73" s="28">
        <v>0</v>
      </c>
      <c r="FP73" s="28">
        <v>0</v>
      </c>
      <c r="FQ73" s="28">
        <v>0</v>
      </c>
      <c r="FR73" s="28">
        <v>0</v>
      </c>
      <c r="FS73" s="28">
        <v>0</v>
      </c>
      <c r="FT73" s="28">
        <v>0</v>
      </c>
      <c r="FU73" s="28">
        <v>0</v>
      </c>
      <c r="FV73" s="28">
        <v>0</v>
      </c>
      <c r="FW73" s="28">
        <v>0</v>
      </c>
      <c r="FX73" s="28">
        <v>0</v>
      </c>
      <c r="FY73" s="28">
        <v>0</v>
      </c>
      <c r="FZ73" s="28">
        <v>0</v>
      </c>
      <c r="GA73" s="28">
        <v>0</v>
      </c>
      <c r="GB73" s="28">
        <v>0</v>
      </c>
      <c r="GC73" s="28">
        <v>0</v>
      </c>
      <c r="GD73" s="28">
        <v>0</v>
      </c>
      <c r="GE73" s="28">
        <v>0</v>
      </c>
      <c r="GF73" s="28">
        <v>0</v>
      </c>
      <c r="GG73" s="28">
        <v>0</v>
      </c>
      <c r="GH73" s="28">
        <v>0</v>
      </c>
      <c r="GI73" s="28">
        <v>0</v>
      </c>
      <c r="GJ73" s="28">
        <v>0</v>
      </c>
      <c r="GK73" s="28">
        <v>0</v>
      </c>
      <c r="GL73" s="28">
        <v>0</v>
      </c>
      <c r="GM73" s="28">
        <v>0</v>
      </c>
      <c r="GN73" s="28">
        <v>0</v>
      </c>
      <c r="GO73" s="28">
        <v>0</v>
      </c>
      <c r="GP73" s="28">
        <v>0</v>
      </c>
      <c r="GQ73" s="21">
        <v>60.227385763855018</v>
      </c>
      <c r="GR73" s="21">
        <v>0</v>
      </c>
      <c r="GS73" s="20">
        <v>0</v>
      </c>
      <c r="GT73" s="20">
        <v>0</v>
      </c>
      <c r="GU73" s="20">
        <v>0</v>
      </c>
      <c r="GV73" s="20">
        <v>0</v>
      </c>
      <c r="GW73" s="20">
        <v>0</v>
      </c>
      <c r="GX73" s="21">
        <v>3.5368120696107201</v>
      </c>
      <c r="GY73" s="20">
        <v>0</v>
      </c>
      <c r="GZ73" s="20">
        <v>3.5368120696107201</v>
      </c>
      <c r="HA73" s="20"/>
      <c r="HB73" s="21">
        <v>7.5622125383999999</v>
      </c>
      <c r="HC73" s="21">
        <v>71.326410371865734</v>
      </c>
    </row>
    <row r="74" spans="2:211" s="7" customFormat="1" ht="17.25" customHeight="1">
      <c r="B74" s="26" t="s">
        <v>57</v>
      </c>
      <c r="C74" s="9" t="s">
        <v>478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54.870176429852201</v>
      </c>
      <c r="AX74" s="28">
        <v>85.021388640444997</v>
      </c>
      <c r="AY74" s="28">
        <v>6.1262042815115603E-3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0</v>
      </c>
      <c r="BQ74" s="28">
        <v>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0</v>
      </c>
      <c r="CH74" s="28">
        <v>0</v>
      </c>
      <c r="CI74" s="28">
        <v>0</v>
      </c>
      <c r="CJ74" s="28">
        <v>0</v>
      </c>
      <c r="CK74" s="28">
        <v>0</v>
      </c>
      <c r="CL74" s="28">
        <v>0</v>
      </c>
      <c r="CM74" s="28">
        <v>0</v>
      </c>
      <c r="CN74" s="28">
        <v>0</v>
      </c>
      <c r="CO74" s="28">
        <v>0</v>
      </c>
      <c r="CP74" s="28">
        <v>0</v>
      </c>
      <c r="CQ74" s="28">
        <v>0</v>
      </c>
      <c r="CR74" s="28">
        <v>0</v>
      </c>
      <c r="CS74" s="28">
        <v>0</v>
      </c>
      <c r="CT74" s="28">
        <v>0</v>
      </c>
      <c r="CU74" s="28">
        <v>0</v>
      </c>
      <c r="CV74" s="28">
        <v>0</v>
      </c>
      <c r="CW74" s="28">
        <v>0</v>
      </c>
      <c r="CX74" s="28">
        <v>0</v>
      </c>
      <c r="CY74" s="28">
        <v>0</v>
      </c>
      <c r="CZ74" s="28">
        <v>0</v>
      </c>
      <c r="DA74" s="28">
        <v>0</v>
      </c>
      <c r="DB74" s="28">
        <v>0</v>
      </c>
      <c r="DC74" s="28">
        <v>0</v>
      </c>
      <c r="DD74" s="28">
        <v>0</v>
      </c>
      <c r="DE74" s="28">
        <v>0</v>
      </c>
      <c r="DF74" s="28">
        <v>0</v>
      </c>
      <c r="DG74" s="28">
        <v>0</v>
      </c>
      <c r="DH74" s="28">
        <v>0</v>
      </c>
      <c r="DI74" s="28">
        <v>0</v>
      </c>
      <c r="DJ74" s="28">
        <v>0</v>
      </c>
      <c r="DK74" s="28">
        <v>0</v>
      </c>
      <c r="DL74" s="28">
        <v>0.31927699999999998</v>
      </c>
      <c r="DM74" s="28">
        <v>0</v>
      </c>
      <c r="DN74" s="28">
        <v>0</v>
      </c>
      <c r="DO74" s="28">
        <v>0</v>
      </c>
      <c r="DP74" s="28">
        <v>0</v>
      </c>
      <c r="DQ74" s="28">
        <v>0</v>
      </c>
      <c r="DR74" s="28">
        <v>0</v>
      </c>
      <c r="DS74" s="28">
        <v>0</v>
      </c>
      <c r="DT74" s="28">
        <v>0</v>
      </c>
      <c r="DU74" s="28">
        <v>0</v>
      </c>
      <c r="DV74" s="28">
        <v>0</v>
      </c>
      <c r="DW74" s="28">
        <v>0</v>
      </c>
      <c r="DX74" s="28">
        <v>0</v>
      </c>
      <c r="DY74" s="28">
        <v>0</v>
      </c>
      <c r="DZ74" s="28">
        <v>4.4519418736990497</v>
      </c>
      <c r="EA74" s="28">
        <v>0</v>
      </c>
      <c r="EB74" s="28">
        <v>0</v>
      </c>
      <c r="EC74" s="28">
        <v>0</v>
      </c>
      <c r="ED74" s="28">
        <v>0</v>
      </c>
      <c r="EE74" s="28">
        <v>19.9568975875682</v>
      </c>
      <c r="EF74" s="28">
        <v>0</v>
      </c>
      <c r="EG74" s="28">
        <v>0</v>
      </c>
      <c r="EH74" s="28">
        <v>0</v>
      </c>
      <c r="EI74" s="28">
        <v>0</v>
      </c>
      <c r="EJ74" s="28">
        <v>0</v>
      </c>
      <c r="EK74" s="28">
        <v>0</v>
      </c>
      <c r="EL74" s="28">
        <v>0</v>
      </c>
      <c r="EM74" s="28">
        <v>0</v>
      </c>
      <c r="EN74" s="28">
        <v>0</v>
      </c>
      <c r="EO74" s="28">
        <v>0</v>
      </c>
      <c r="EP74" s="28">
        <v>0</v>
      </c>
      <c r="EQ74" s="28">
        <v>0</v>
      </c>
      <c r="ER74" s="28">
        <v>0</v>
      </c>
      <c r="ES74" s="28">
        <v>0</v>
      </c>
      <c r="ET74" s="28">
        <v>0</v>
      </c>
      <c r="EU74" s="28">
        <v>0</v>
      </c>
      <c r="EV74" s="28">
        <v>0</v>
      </c>
      <c r="EW74" s="28">
        <v>0</v>
      </c>
      <c r="EX74" s="28">
        <v>24.9530694189298</v>
      </c>
      <c r="EY74" s="28">
        <v>0.61634498443841401</v>
      </c>
      <c r="EZ74" s="28">
        <v>2455.0575320468502</v>
      </c>
      <c r="FA74" s="28">
        <v>0</v>
      </c>
      <c r="FB74" s="28">
        <v>0</v>
      </c>
      <c r="FC74" s="28">
        <v>0</v>
      </c>
      <c r="FD74" s="28">
        <v>0</v>
      </c>
      <c r="FE74" s="28">
        <v>0</v>
      </c>
      <c r="FF74" s="28">
        <v>0</v>
      </c>
      <c r="FG74" s="28">
        <v>0</v>
      </c>
      <c r="FH74" s="28">
        <v>0</v>
      </c>
      <c r="FI74" s="28">
        <v>0</v>
      </c>
      <c r="FJ74" s="28">
        <v>0</v>
      </c>
      <c r="FK74" s="28">
        <v>0</v>
      </c>
      <c r="FL74" s="28">
        <v>0</v>
      </c>
      <c r="FM74" s="28">
        <v>0</v>
      </c>
      <c r="FN74" s="28">
        <v>0</v>
      </c>
      <c r="FO74" s="28">
        <v>0</v>
      </c>
      <c r="FP74" s="28">
        <v>0</v>
      </c>
      <c r="FQ74" s="28">
        <v>0</v>
      </c>
      <c r="FR74" s="28">
        <v>0</v>
      </c>
      <c r="FS74" s="28">
        <v>0</v>
      </c>
      <c r="FT74" s="28">
        <v>0</v>
      </c>
      <c r="FU74" s="28">
        <v>0</v>
      </c>
      <c r="FV74" s="28">
        <v>0</v>
      </c>
      <c r="FW74" s="28">
        <v>0</v>
      </c>
      <c r="FX74" s="28">
        <v>0</v>
      </c>
      <c r="FY74" s="28">
        <v>0</v>
      </c>
      <c r="FZ74" s="28">
        <v>0</v>
      </c>
      <c r="GA74" s="28">
        <v>0</v>
      </c>
      <c r="GB74" s="28">
        <v>0</v>
      </c>
      <c r="GC74" s="28">
        <v>0</v>
      </c>
      <c r="GD74" s="28">
        <v>0</v>
      </c>
      <c r="GE74" s="28">
        <v>0</v>
      </c>
      <c r="GF74" s="28">
        <v>0</v>
      </c>
      <c r="GG74" s="28">
        <v>0</v>
      </c>
      <c r="GH74" s="28">
        <v>0</v>
      </c>
      <c r="GI74" s="28">
        <v>0</v>
      </c>
      <c r="GJ74" s="28">
        <v>0</v>
      </c>
      <c r="GK74" s="28">
        <v>0</v>
      </c>
      <c r="GL74" s="28">
        <v>0</v>
      </c>
      <c r="GM74" s="28">
        <v>0</v>
      </c>
      <c r="GN74" s="28">
        <v>0</v>
      </c>
      <c r="GO74" s="28">
        <v>0</v>
      </c>
      <c r="GP74" s="28">
        <v>0</v>
      </c>
      <c r="GQ74" s="21">
        <v>2645.2527541860663</v>
      </c>
      <c r="GR74" s="21">
        <v>0</v>
      </c>
      <c r="GS74" s="20">
        <v>0</v>
      </c>
      <c r="GT74" s="20">
        <v>0</v>
      </c>
      <c r="GU74" s="20">
        <v>0</v>
      </c>
      <c r="GV74" s="20">
        <v>0</v>
      </c>
      <c r="GW74" s="20">
        <v>0</v>
      </c>
      <c r="GX74" s="21">
        <v>0</v>
      </c>
      <c r="GY74" s="20">
        <v>0</v>
      </c>
      <c r="GZ74" s="20">
        <v>0</v>
      </c>
      <c r="HA74" s="20"/>
      <c r="HB74" s="21">
        <v>0</v>
      </c>
      <c r="HC74" s="21">
        <v>2645.4779441860665</v>
      </c>
    </row>
    <row r="75" spans="2:211" s="7" customFormat="1" ht="17.25" customHeight="1">
      <c r="B75" s="26" t="s">
        <v>63</v>
      </c>
      <c r="C75" s="9" t="s">
        <v>479</v>
      </c>
      <c r="D75" s="28">
        <v>9.4665412300000001E-2</v>
      </c>
      <c r="E75" s="28">
        <v>0.26548699999999997</v>
      </c>
      <c r="F75" s="28">
        <v>1.4197024</v>
      </c>
      <c r="G75" s="28">
        <v>1.054986</v>
      </c>
      <c r="H75" s="28">
        <v>0.98</v>
      </c>
      <c r="I75" s="28">
        <v>1.242958848235</v>
      </c>
      <c r="J75" s="28">
        <v>0.15687899999999999</v>
      </c>
      <c r="K75" s="28">
        <v>0.101698798465</v>
      </c>
      <c r="L75" s="28">
        <v>1.4018195079739</v>
      </c>
      <c r="M75" s="28">
        <v>0.69550765555027905</v>
      </c>
      <c r="N75" s="28">
        <v>0.64984600000000003</v>
      </c>
      <c r="O75" s="28">
        <v>0.68654539999999997</v>
      </c>
      <c r="P75" s="28">
        <v>8.6549799999999996E-2</v>
      </c>
      <c r="Q75" s="28">
        <v>0.56568969999999996</v>
      </c>
      <c r="R75" s="28">
        <v>1.05654987</v>
      </c>
      <c r="S75" s="28">
        <v>1.6919519670190799</v>
      </c>
      <c r="T75" s="28">
        <v>0.26879799999999998</v>
      </c>
      <c r="U75" s="28">
        <v>0.25658999999999998</v>
      </c>
      <c r="V75" s="28">
        <v>3.6987654000000002E-2</v>
      </c>
      <c r="W75" s="28">
        <v>1.2619700000000001E-3</v>
      </c>
      <c r="X75" s="28">
        <v>5.146879E-2</v>
      </c>
      <c r="Y75" s="28">
        <v>0.19879640000000001</v>
      </c>
      <c r="Z75" s="28">
        <v>0.104336</v>
      </c>
      <c r="AA75" s="28">
        <v>8.6449999999999999E-2</v>
      </c>
      <c r="AB75" s="28">
        <v>8.6540000000000002E-3</v>
      </c>
      <c r="AC75" s="28">
        <v>0.116921987</v>
      </c>
      <c r="AD75" s="28">
        <v>2.16987E-3</v>
      </c>
      <c r="AE75" s="28">
        <v>8.6277530097307498</v>
      </c>
      <c r="AF75" s="28">
        <v>0</v>
      </c>
      <c r="AG75" s="28">
        <v>11.490461725251199</v>
      </c>
      <c r="AH75" s="28">
        <v>0.602108151490787</v>
      </c>
      <c r="AI75" s="28">
        <v>0.66970329010079699</v>
      </c>
      <c r="AJ75" s="28">
        <v>0.52436413494187095</v>
      </c>
      <c r="AK75" s="28">
        <v>30.467127547066301</v>
      </c>
      <c r="AL75" s="28">
        <v>15.082145816959001</v>
      </c>
      <c r="AM75" s="28">
        <v>1.1244054474206999</v>
      </c>
      <c r="AN75" s="28">
        <v>0</v>
      </c>
      <c r="AO75" s="28">
        <v>0</v>
      </c>
      <c r="AP75" s="28">
        <v>0.215892588387229</v>
      </c>
      <c r="AQ75" s="28">
        <v>0</v>
      </c>
      <c r="AR75" s="28">
        <v>0</v>
      </c>
      <c r="AS75" s="28">
        <v>0</v>
      </c>
      <c r="AT75" s="28">
        <v>19.5465482552639</v>
      </c>
      <c r="AU75" s="28">
        <v>1.62389234107658</v>
      </c>
      <c r="AV75" s="28">
        <v>2.7193925688363998</v>
      </c>
      <c r="AW75" s="28">
        <v>0.90254412684268104</v>
      </c>
      <c r="AX75" s="28">
        <v>10.571705928269999</v>
      </c>
      <c r="AY75" s="28">
        <v>6.9291583007018598E-2</v>
      </c>
      <c r="AZ75" s="28">
        <v>1.6947545383464799</v>
      </c>
      <c r="BA75" s="28">
        <v>0.16516262436463999</v>
      </c>
      <c r="BB75" s="28">
        <v>0.27535870430583298</v>
      </c>
      <c r="BC75" s="28">
        <v>3.6571820016700398</v>
      </c>
      <c r="BD75" s="28">
        <v>2.3124205644432902E-3</v>
      </c>
      <c r="BE75" s="28">
        <v>0</v>
      </c>
      <c r="BF75" s="28">
        <v>0</v>
      </c>
      <c r="BG75" s="28">
        <v>0.119752815885935</v>
      </c>
      <c r="BH75" s="28">
        <v>3.31755088710347</v>
      </c>
      <c r="BI75" s="28">
        <v>0.87376478778255895</v>
      </c>
      <c r="BJ75" s="28">
        <v>0.54924018280466103</v>
      </c>
      <c r="BK75" s="28">
        <v>0</v>
      </c>
      <c r="BL75" s="28">
        <v>2.0271057900479401</v>
      </c>
      <c r="BM75" s="28">
        <v>0.17903919338396801</v>
      </c>
      <c r="BN75" s="28">
        <v>0.93597526069998105</v>
      </c>
      <c r="BO75" s="28">
        <v>53.802015085396597</v>
      </c>
      <c r="BP75" s="28">
        <v>4.0860513889136498E-3</v>
      </c>
      <c r="BQ75" s="28">
        <v>4.9088810975185401E-2</v>
      </c>
      <c r="BR75" s="28">
        <v>2.1155383700663399E-2</v>
      </c>
      <c r="BS75" s="28">
        <v>0</v>
      </c>
      <c r="BT75" s="28">
        <v>0</v>
      </c>
      <c r="BU75" s="28">
        <v>0.55285962182743198</v>
      </c>
      <c r="BV75" s="28">
        <v>0</v>
      </c>
      <c r="BW75" s="28">
        <v>0</v>
      </c>
      <c r="BX75" s="28">
        <v>6.0213544011872098E-3</v>
      </c>
      <c r="BY75" s="28">
        <v>0.84525109848570501</v>
      </c>
      <c r="BZ75" s="28">
        <v>2.2413838862735801E-2</v>
      </c>
      <c r="CA75" s="28">
        <v>1.673575</v>
      </c>
      <c r="CB75" s="28">
        <v>0.87855484562399799</v>
      </c>
      <c r="CC75" s="28">
        <v>4.8158314080752003E-2</v>
      </c>
      <c r="CD75" s="28">
        <v>0.63271029206692597</v>
      </c>
      <c r="CE75" s="28">
        <v>0.21513749395107001</v>
      </c>
      <c r="CF75" s="28">
        <v>0</v>
      </c>
      <c r="CG75" s="28">
        <v>0.48508648129954501</v>
      </c>
      <c r="CH75" s="28">
        <v>0.13463028697143101</v>
      </c>
      <c r="CI75" s="28">
        <v>0.74400639967118098</v>
      </c>
      <c r="CJ75" s="28">
        <v>0.114705822529656</v>
      </c>
      <c r="CK75" s="28">
        <v>4.7961801931274299E-2</v>
      </c>
      <c r="CL75" s="28">
        <v>6.0388210143293299E-2</v>
      </c>
      <c r="CM75" s="28">
        <v>5.9373428981530196</v>
      </c>
      <c r="CN75" s="28">
        <v>6.3782674260437497E-3</v>
      </c>
      <c r="CO75" s="28">
        <v>0.20674517750740101</v>
      </c>
      <c r="CP75" s="28">
        <v>22.795089721679702</v>
      </c>
      <c r="CQ75" s="28">
        <v>1.14611489698291E-2</v>
      </c>
      <c r="CR75" s="28">
        <v>1.8671063813828299</v>
      </c>
      <c r="CS75" s="28">
        <v>4.2604229050605097E-2</v>
      </c>
      <c r="CT75" s="28">
        <v>1.64386761953164</v>
      </c>
      <c r="CU75" s="28">
        <v>1.31214530724253</v>
      </c>
      <c r="CV75" s="28">
        <v>1.07402170944669</v>
      </c>
      <c r="CW75" s="28">
        <v>0</v>
      </c>
      <c r="CX75" s="28">
        <v>0</v>
      </c>
      <c r="CY75" s="28">
        <v>1.2615529897703599</v>
      </c>
      <c r="CZ75" s="28">
        <v>0</v>
      </c>
      <c r="DA75" s="28">
        <v>0.97042436791549602</v>
      </c>
      <c r="DB75" s="28">
        <v>0.15070485776616999</v>
      </c>
      <c r="DC75" s="28">
        <v>0.78647115851009297</v>
      </c>
      <c r="DD75" s="28">
        <v>0</v>
      </c>
      <c r="DE75" s="28">
        <v>0</v>
      </c>
      <c r="DF75" s="28">
        <v>7.1892505237926493E-2</v>
      </c>
      <c r="DG75" s="28">
        <v>3.3448909793680399</v>
      </c>
      <c r="DH75" s="28">
        <v>1.1970916772193001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0.18306545760333001</v>
      </c>
      <c r="DP75" s="28">
        <v>0</v>
      </c>
      <c r="DQ75" s="28">
        <v>0</v>
      </c>
      <c r="DR75" s="28">
        <v>0</v>
      </c>
      <c r="DS75" s="28">
        <v>0</v>
      </c>
      <c r="DT75" s="28">
        <v>0</v>
      </c>
      <c r="DU75" s="28">
        <v>1.3578726460975501</v>
      </c>
      <c r="DV75" s="28">
        <v>0</v>
      </c>
      <c r="DW75" s="28">
        <v>0</v>
      </c>
      <c r="DX75" s="28">
        <v>2.76352290689031</v>
      </c>
      <c r="DY75" s="28">
        <v>3.9842130758705601</v>
      </c>
      <c r="DZ75" s="28">
        <v>1.1580168043261201</v>
      </c>
      <c r="EA75" s="28">
        <v>7.9120163166277499E-4</v>
      </c>
      <c r="EB75" s="28">
        <v>1.16644277887815E-2</v>
      </c>
      <c r="EC75" s="28">
        <v>1.6041391033428201</v>
      </c>
      <c r="ED75" s="28">
        <v>0</v>
      </c>
      <c r="EE75" s="28">
        <v>0</v>
      </c>
      <c r="EF75" s="28">
        <v>0</v>
      </c>
      <c r="EG75" s="28">
        <v>0.25216211321401599</v>
      </c>
      <c r="EH75" s="28">
        <v>0</v>
      </c>
      <c r="EI75" s="28">
        <v>0</v>
      </c>
      <c r="EJ75" s="28">
        <v>0</v>
      </c>
      <c r="EK75" s="28">
        <v>0</v>
      </c>
      <c r="EL75" s="28">
        <v>0</v>
      </c>
      <c r="EM75" s="28">
        <v>0</v>
      </c>
      <c r="EN75" s="28">
        <v>0</v>
      </c>
      <c r="EO75" s="28">
        <v>0</v>
      </c>
      <c r="EP75" s="28">
        <v>0</v>
      </c>
      <c r="EQ75" s="28">
        <v>0</v>
      </c>
      <c r="ER75" s="28">
        <v>0.14782881786367999</v>
      </c>
      <c r="ES75" s="28">
        <v>1.18857175420674</v>
      </c>
      <c r="ET75" s="28">
        <v>0.86323300232932498</v>
      </c>
      <c r="EU75" s="28">
        <v>0</v>
      </c>
      <c r="EV75" s="28">
        <v>0</v>
      </c>
      <c r="EW75" s="28">
        <v>0</v>
      </c>
      <c r="EX75" s="28">
        <v>0</v>
      </c>
      <c r="EY75" s="28">
        <v>0</v>
      </c>
      <c r="EZ75" s="28">
        <v>0</v>
      </c>
      <c r="FA75" s="28">
        <v>14.256</v>
      </c>
      <c r="FB75" s="28">
        <v>1.12976336634304</v>
      </c>
      <c r="FC75" s="28">
        <v>2.10527332693907E-3</v>
      </c>
      <c r="FD75" s="28">
        <v>0</v>
      </c>
      <c r="FE75" s="28">
        <v>0</v>
      </c>
      <c r="FF75" s="28">
        <v>0</v>
      </c>
      <c r="FG75" s="28">
        <v>0.240239126391431</v>
      </c>
      <c r="FH75" s="28">
        <v>0</v>
      </c>
      <c r="FI75" s="28">
        <v>6.9988032866781902</v>
      </c>
      <c r="FJ75" s="28">
        <v>0</v>
      </c>
      <c r="FK75" s="28">
        <v>0</v>
      </c>
      <c r="FL75" s="28">
        <v>6.2109273167035697E-2</v>
      </c>
      <c r="FM75" s="28">
        <v>0</v>
      </c>
      <c r="FN75" s="28">
        <v>0</v>
      </c>
      <c r="FO75" s="28">
        <v>0</v>
      </c>
      <c r="FP75" s="28">
        <v>0</v>
      </c>
      <c r="FQ75" s="28">
        <v>2.8800399992707799</v>
      </c>
      <c r="FR75" s="28">
        <v>0</v>
      </c>
      <c r="FS75" s="28">
        <v>12.7089406751568</v>
      </c>
      <c r="FT75" s="28">
        <v>8.5403460921083099</v>
      </c>
      <c r="FU75" s="28">
        <v>0</v>
      </c>
      <c r="FV75" s="28">
        <v>5.2200584144819304</v>
      </c>
      <c r="FW75" s="28">
        <v>0</v>
      </c>
      <c r="FX75" s="28">
        <v>0</v>
      </c>
      <c r="FY75" s="28">
        <v>0</v>
      </c>
      <c r="FZ75" s="28">
        <v>0</v>
      </c>
      <c r="GA75" s="28">
        <v>0</v>
      </c>
      <c r="GB75" s="28">
        <v>0</v>
      </c>
      <c r="GC75" s="28">
        <v>0</v>
      </c>
      <c r="GD75" s="28">
        <v>0</v>
      </c>
      <c r="GE75" s="28">
        <v>0</v>
      </c>
      <c r="GF75" s="28">
        <v>0</v>
      </c>
      <c r="GG75" s="28">
        <v>0</v>
      </c>
      <c r="GH75" s="28">
        <v>1.08500026939781</v>
      </c>
      <c r="GI75" s="28">
        <v>4.5040207736102102</v>
      </c>
      <c r="GJ75" s="28">
        <v>1.1393977365825601</v>
      </c>
      <c r="GK75" s="28">
        <v>17.8775069331022</v>
      </c>
      <c r="GL75" s="28">
        <v>0</v>
      </c>
      <c r="GM75" s="28">
        <v>0.91717944460039702</v>
      </c>
      <c r="GN75" s="28">
        <v>0</v>
      </c>
      <c r="GO75" s="28">
        <v>0</v>
      </c>
      <c r="GP75" s="28">
        <v>0</v>
      </c>
      <c r="GQ75" s="21">
        <v>325.41199691701627</v>
      </c>
      <c r="GR75" s="21">
        <v>147.47345382806475</v>
      </c>
      <c r="GS75" s="20">
        <v>147.47345382806475</v>
      </c>
      <c r="GT75" s="20">
        <v>0</v>
      </c>
      <c r="GU75" s="20">
        <v>0</v>
      </c>
      <c r="GV75" s="20">
        <v>0</v>
      </c>
      <c r="GW75" s="20">
        <v>0</v>
      </c>
      <c r="GX75" s="21">
        <v>0</v>
      </c>
      <c r="GY75" s="20">
        <v>0</v>
      </c>
      <c r="GZ75" s="20">
        <v>0</v>
      </c>
      <c r="HA75" s="20"/>
      <c r="HB75" s="21">
        <v>0</v>
      </c>
      <c r="HC75" s="21">
        <v>472.66026074508102</v>
      </c>
    </row>
    <row r="76" spans="2:211" s="7" customFormat="1" ht="17.25" customHeight="1">
      <c r="B76" s="26" t="s">
        <v>64</v>
      </c>
      <c r="C76" s="9" t="s">
        <v>480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0.217602055912373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8.9419855827028896E-2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174.50403601915801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28">
        <v>0</v>
      </c>
      <c r="CG76" s="28">
        <v>0</v>
      </c>
      <c r="CH76" s="28">
        <v>0</v>
      </c>
      <c r="CI76" s="28">
        <v>0</v>
      </c>
      <c r="CJ76" s="28">
        <v>0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0</v>
      </c>
      <c r="CR76" s="28">
        <v>0</v>
      </c>
      <c r="CS76" s="28">
        <v>0</v>
      </c>
      <c r="CT76" s="28">
        <v>0</v>
      </c>
      <c r="CU76" s="28">
        <v>0</v>
      </c>
      <c r="CV76" s="28">
        <v>0</v>
      </c>
      <c r="CW76" s="28">
        <v>0</v>
      </c>
      <c r="CX76" s="28">
        <v>0</v>
      </c>
      <c r="CY76" s="28">
        <v>0</v>
      </c>
      <c r="CZ76" s="28">
        <v>0</v>
      </c>
      <c r="DA76" s="28">
        <v>0</v>
      </c>
      <c r="DB76" s="28">
        <v>0</v>
      </c>
      <c r="DC76" s="28">
        <v>0</v>
      </c>
      <c r="DD76" s="28">
        <v>0</v>
      </c>
      <c r="DE76" s="28">
        <v>0</v>
      </c>
      <c r="DF76" s="28">
        <v>0</v>
      </c>
      <c r="DG76" s="28">
        <v>0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0</v>
      </c>
      <c r="DP76" s="28">
        <v>0</v>
      </c>
      <c r="DQ76" s="28">
        <v>0</v>
      </c>
      <c r="DR76" s="28">
        <v>0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0</v>
      </c>
      <c r="DY76" s="28">
        <v>0</v>
      </c>
      <c r="DZ76" s="28">
        <v>0</v>
      </c>
      <c r="EA76" s="28">
        <v>0</v>
      </c>
      <c r="EB76" s="28">
        <v>0</v>
      </c>
      <c r="EC76" s="28">
        <v>0</v>
      </c>
      <c r="ED76" s="28">
        <v>0</v>
      </c>
      <c r="EE76" s="28">
        <v>0</v>
      </c>
      <c r="EF76" s="28">
        <v>0</v>
      </c>
      <c r="EG76" s="28">
        <v>0</v>
      </c>
      <c r="EH76" s="28">
        <v>0</v>
      </c>
      <c r="EI76" s="28">
        <v>0</v>
      </c>
      <c r="EJ76" s="28">
        <v>0</v>
      </c>
      <c r="EK76" s="28">
        <v>0</v>
      </c>
      <c r="EL76" s="28">
        <v>0</v>
      </c>
      <c r="EM76" s="28">
        <v>0</v>
      </c>
      <c r="EN76" s="28">
        <v>0</v>
      </c>
      <c r="EO76" s="28">
        <v>0</v>
      </c>
      <c r="EP76" s="28">
        <v>0</v>
      </c>
      <c r="EQ76" s="28">
        <v>0</v>
      </c>
      <c r="ER76" s="28">
        <v>0</v>
      </c>
      <c r="ES76" s="28">
        <v>0</v>
      </c>
      <c r="ET76" s="28">
        <v>0</v>
      </c>
      <c r="EU76" s="28">
        <v>0</v>
      </c>
      <c r="EV76" s="28">
        <v>0</v>
      </c>
      <c r="EW76" s="28">
        <v>0</v>
      </c>
      <c r="EX76" s="28">
        <v>0</v>
      </c>
      <c r="EY76" s="28">
        <v>0</v>
      </c>
      <c r="EZ76" s="28">
        <v>0</v>
      </c>
      <c r="FA76" s="28">
        <v>0</v>
      </c>
      <c r="FB76" s="28">
        <v>0</v>
      </c>
      <c r="FC76" s="28">
        <v>0</v>
      </c>
      <c r="FD76" s="28">
        <v>0</v>
      </c>
      <c r="FE76" s="28">
        <v>0</v>
      </c>
      <c r="FF76" s="28">
        <v>0</v>
      </c>
      <c r="FG76" s="28">
        <v>0</v>
      </c>
      <c r="FH76" s="28">
        <v>0</v>
      </c>
      <c r="FI76" s="28">
        <v>0</v>
      </c>
      <c r="FJ76" s="28">
        <v>0</v>
      </c>
      <c r="FK76" s="28">
        <v>0</v>
      </c>
      <c r="FL76" s="28">
        <v>0</v>
      </c>
      <c r="FM76" s="28">
        <v>0</v>
      </c>
      <c r="FN76" s="28">
        <v>0</v>
      </c>
      <c r="FO76" s="28">
        <v>0</v>
      </c>
      <c r="FP76" s="28">
        <v>0</v>
      </c>
      <c r="FQ76" s="28">
        <v>0</v>
      </c>
      <c r="FR76" s="28">
        <v>0</v>
      </c>
      <c r="FS76" s="28">
        <v>10.3904678025199</v>
      </c>
      <c r="FT76" s="28">
        <v>830.81877708448496</v>
      </c>
      <c r="FU76" s="28">
        <v>0</v>
      </c>
      <c r="FV76" s="28">
        <v>0</v>
      </c>
      <c r="FW76" s="28">
        <v>0</v>
      </c>
      <c r="FX76" s="28">
        <v>0</v>
      </c>
      <c r="FY76" s="28">
        <v>0.90156453918011503</v>
      </c>
      <c r="FZ76" s="28">
        <v>0</v>
      </c>
      <c r="GA76" s="28">
        <v>0</v>
      </c>
      <c r="GB76" s="28">
        <v>0</v>
      </c>
      <c r="GC76" s="28">
        <v>0</v>
      </c>
      <c r="GD76" s="28">
        <v>0</v>
      </c>
      <c r="GE76" s="28">
        <v>0</v>
      </c>
      <c r="GF76" s="28">
        <v>0</v>
      </c>
      <c r="GG76" s="28">
        <v>13.6217742430236</v>
      </c>
      <c r="GH76" s="28">
        <v>0</v>
      </c>
      <c r="GI76" s="28">
        <v>1.10304722778154</v>
      </c>
      <c r="GJ76" s="28">
        <v>8.9307855196107795</v>
      </c>
      <c r="GK76" s="28">
        <v>1.6527217842414501</v>
      </c>
      <c r="GL76" s="28">
        <v>0</v>
      </c>
      <c r="GM76" s="28">
        <v>0</v>
      </c>
      <c r="GN76" s="28">
        <v>0</v>
      </c>
      <c r="GO76" s="28">
        <v>0</v>
      </c>
      <c r="GP76" s="28">
        <v>0</v>
      </c>
      <c r="GQ76" s="21">
        <v>1042.2301961317398</v>
      </c>
      <c r="GR76" s="21">
        <v>6021.3232543398899</v>
      </c>
      <c r="GS76" s="20">
        <v>6021.0464729666282</v>
      </c>
      <c r="GT76" s="20">
        <v>0</v>
      </c>
      <c r="GU76" s="20">
        <v>0.27678137326138452</v>
      </c>
      <c r="GV76" s="20">
        <v>0.27678137326138452</v>
      </c>
      <c r="GW76" s="20">
        <v>0</v>
      </c>
      <c r="GX76" s="21">
        <v>2.1317388374882285E-2</v>
      </c>
      <c r="GY76" s="20">
        <v>0</v>
      </c>
      <c r="GZ76" s="20">
        <v>2.1317388374882285E-2</v>
      </c>
      <c r="HA76" s="20"/>
      <c r="HB76" s="21">
        <v>31.216290153599999</v>
      </c>
      <c r="HC76" s="21">
        <v>7094.7910580136049</v>
      </c>
    </row>
    <row r="77" spans="2:211" s="7" customFormat="1" ht="17.25" customHeight="1">
      <c r="B77" s="26" t="s">
        <v>65</v>
      </c>
      <c r="C77" s="9" t="s">
        <v>481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0.70082357937227702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4.2738546448306401E-2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121.975699385246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  <c r="EU77" s="28">
        <v>0</v>
      </c>
      <c r="EV77" s="28">
        <v>0</v>
      </c>
      <c r="EW77" s="28">
        <v>0</v>
      </c>
      <c r="EX77" s="28">
        <v>0</v>
      </c>
      <c r="EY77" s="28">
        <v>0</v>
      </c>
      <c r="EZ77" s="28">
        <v>0</v>
      </c>
      <c r="FA77" s="28">
        <v>0</v>
      </c>
      <c r="FB77" s="28">
        <v>0</v>
      </c>
      <c r="FC77" s="28">
        <v>0</v>
      </c>
      <c r="FD77" s="28">
        <v>0</v>
      </c>
      <c r="FE77" s="28">
        <v>0</v>
      </c>
      <c r="FF77" s="28">
        <v>0</v>
      </c>
      <c r="FG77" s="28">
        <v>0</v>
      </c>
      <c r="FH77" s="28">
        <v>0</v>
      </c>
      <c r="FI77" s="28">
        <v>0</v>
      </c>
      <c r="FJ77" s="28">
        <v>0</v>
      </c>
      <c r="FK77" s="28">
        <v>0</v>
      </c>
      <c r="FL77" s="28">
        <v>0</v>
      </c>
      <c r="FM77" s="28">
        <v>0</v>
      </c>
      <c r="FN77" s="28">
        <v>0</v>
      </c>
      <c r="FO77" s="28">
        <v>0</v>
      </c>
      <c r="FP77" s="28">
        <v>0</v>
      </c>
      <c r="FQ77" s="28">
        <v>0</v>
      </c>
      <c r="FR77" s="28">
        <v>0</v>
      </c>
      <c r="FS77" s="28">
        <v>12.9715161562204</v>
      </c>
      <c r="FT77" s="28">
        <v>1030.88958792719</v>
      </c>
      <c r="FU77" s="28">
        <v>0</v>
      </c>
      <c r="FV77" s="28">
        <v>0</v>
      </c>
      <c r="FW77" s="28">
        <v>0</v>
      </c>
      <c r="FX77" s="28">
        <v>0</v>
      </c>
      <c r="FY77" s="28">
        <v>0</v>
      </c>
      <c r="FZ77" s="28">
        <v>0</v>
      </c>
      <c r="GA77" s="28">
        <v>0</v>
      </c>
      <c r="GB77" s="28">
        <v>0</v>
      </c>
      <c r="GC77" s="28">
        <v>0</v>
      </c>
      <c r="GD77" s="28">
        <v>0</v>
      </c>
      <c r="GE77" s="28">
        <v>0</v>
      </c>
      <c r="GF77" s="28">
        <v>0</v>
      </c>
      <c r="GG77" s="28">
        <v>0.238362994532406</v>
      </c>
      <c r="GH77" s="28">
        <v>0</v>
      </c>
      <c r="GI77" s="28">
        <v>0</v>
      </c>
      <c r="GJ77" s="28">
        <v>0</v>
      </c>
      <c r="GK77" s="28">
        <v>0</v>
      </c>
      <c r="GL77" s="28">
        <v>0</v>
      </c>
      <c r="GM77" s="28">
        <v>0</v>
      </c>
      <c r="GN77" s="28">
        <v>0</v>
      </c>
      <c r="GO77" s="28">
        <v>0</v>
      </c>
      <c r="GP77" s="28">
        <v>0</v>
      </c>
      <c r="GQ77" s="21">
        <v>1166.8187285890092</v>
      </c>
      <c r="GR77" s="21">
        <v>1960.2442771153601</v>
      </c>
      <c r="GS77" s="20">
        <v>1960.2442771153601</v>
      </c>
      <c r="GT77" s="20">
        <v>0</v>
      </c>
      <c r="GU77" s="20">
        <v>0</v>
      </c>
      <c r="GV77" s="20">
        <v>0</v>
      </c>
      <c r="GW77" s="20">
        <v>0</v>
      </c>
      <c r="GX77" s="21">
        <v>16.100496404392704</v>
      </c>
      <c r="GY77" s="20">
        <v>0</v>
      </c>
      <c r="GZ77" s="20">
        <v>16.100496404392704</v>
      </c>
      <c r="HA77" s="20"/>
      <c r="HB77" s="21">
        <v>0</v>
      </c>
      <c r="HC77" s="21">
        <v>3143.1635021087618</v>
      </c>
    </row>
    <row r="78" spans="2:211" s="7" customFormat="1" ht="17.25" customHeight="1">
      <c r="B78" s="26" t="s">
        <v>66</v>
      </c>
      <c r="C78" s="9" t="s">
        <v>482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0.53741569320855997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0.140391234332263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0.68468654232398996</v>
      </c>
      <c r="BK78" s="28">
        <v>0</v>
      </c>
      <c r="BL78" s="28">
        <v>0</v>
      </c>
      <c r="BM78" s="28">
        <v>0</v>
      </c>
      <c r="BN78" s="28">
        <v>0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0</v>
      </c>
      <c r="CB78" s="28">
        <v>0</v>
      </c>
      <c r="CC78" s="28">
        <v>0</v>
      </c>
      <c r="CD78" s="28">
        <v>0</v>
      </c>
      <c r="CE78" s="28">
        <v>0</v>
      </c>
      <c r="CF78" s="28">
        <v>0</v>
      </c>
      <c r="CG78" s="28">
        <v>0</v>
      </c>
      <c r="CH78" s="28">
        <v>0</v>
      </c>
      <c r="CI78" s="28">
        <v>0</v>
      </c>
      <c r="CJ78" s="28">
        <v>0</v>
      </c>
      <c r="CK78" s="28">
        <v>0</v>
      </c>
      <c r="CL78" s="28">
        <v>0</v>
      </c>
      <c r="CM78" s="28">
        <v>0</v>
      </c>
      <c r="CN78" s="28">
        <v>0</v>
      </c>
      <c r="CO78" s="28">
        <v>0</v>
      </c>
      <c r="CP78" s="28">
        <v>0</v>
      </c>
      <c r="CQ78" s="28">
        <v>0</v>
      </c>
      <c r="CR78" s="28">
        <v>0</v>
      </c>
      <c r="CS78" s="28">
        <v>0</v>
      </c>
      <c r="CT78" s="28">
        <v>0</v>
      </c>
      <c r="CU78" s="28">
        <v>0</v>
      </c>
      <c r="CV78" s="28">
        <v>0</v>
      </c>
      <c r="CW78" s="28">
        <v>0</v>
      </c>
      <c r="CX78" s="28">
        <v>0</v>
      </c>
      <c r="CY78" s="28">
        <v>0</v>
      </c>
      <c r="CZ78" s="28">
        <v>0</v>
      </c>
      <c r="DA78" s="28">
        <v>0</v>
      </c>
      <c r="DB78" s="28">
        <v>0</v>
      </c>
      <c r="DC78" s="28">
        <v>0</v>
      </c>
      <c r="DD78" s="28">
        <v>0</v>
      </c>
      <c r="DE78" s="28">
        <v>0</v>
      </c>
      <c r="DF78" s="28">
        <v>0</v>
      </c>
      <c r="DG78" s="28">
        <v>0</v>
      </c>
      <c r="DH78" s="28">
        <v>0</v>
      </c>
      <c r="DI78" s="28">
        <v>0</v>
      </c>
      <c r="DJ78" s="28">
        <v>0</v>
      </c>
      <c r="DK78" s="28">
        <v>0</v>
      </c>
      <c r="DL78" s="28">
        <v>0</v>
      </c>
      <c r="DM78" s="28">
        <v>0</v>
      </c>
      <c r="DN78" s="28">
        <v>0</v>
      </c>
      <c r="DO78" s="28">
        <v>0</v>
      </c>
      <c r="DP78" s="28">
        <v>0</v>
      </c>
      <c r="DQ78" s="28">
        <v>0</v>
      </c>
      <c r="DR78" s="28">
        <v>0</v>
      </c>
      <c r="DS78" s="28">
        <v>0</v>
      </c>
      <c r="DT78" s="28">
        <v>0</v>
      </c>
      <c r="DU78" s="28">
        <v>0</v>
      </c>
      <c r="DV78" s="28">
        <v>0</v>
      </c>
      <c r="DW78" s="28">
        <v>0</v>
      </c>
      <c r="DX78" s="28">
        <v>0</v>
      </c>
      <c r="DY78" s="28">
        <v>0</v>
      </c>
      <c r="DZ78" s="28">
        <v>0</v>
      </c>
      <c r="EA78" s="28">
        <v>0</v>
      </c>
      <c r="EB78" s="28">
        <v>0</v>
      </c>
      <c r="EC78" s="28">
        <v>0</v>
      </c>
      <c r="ED78" s="28">
        <v>0</v>
      </c>
      <c r="EE78" s="28">
        <v>0</v>
      </c>
      <c r="EF78" s="28">
        <v>0</v>
      </c>
      <c r="EG78" s="28">
        <v>0</v>
      </c>
      <c r="EH78" s="28">
        <v>0</v>
      </c>
      <c r="EI78" s="28">
        <v>0</v>
      </c>
      <c r="EJ78" s="28">
        <v>0</v>
      </c>
      <c r="EK78" s="28">
        <v>0</v>
      </c>
      <c r="EL78" s="28">
        <v>0</v>
      </c>
      <c r="EM78" s="28">
        <v>0</v>
      </c>
      <c r="EN78" s="28">
        <v>0</v>
      </c>
      <c r="EO78" s="28">
        <v>0</v>
      </c>
      <c r="EP78" s="28">
        <v>0</v>
      </c>
      <c r="EQ78" s="28">
        <v>0</v>
      </c>
      <c r="ER78" s="28">
        <v>0</v>
      </c>
      <c r="ES78" s="28">
        <v>0</v>
      </c>
      <c r="ET78" s="28">
        <v>0</v>
      </c>
      <c r="EU78" s="28">
        <v>0</v>
      </c>
      <c r="EV78" s="28">
        <v>0</v>
      </c>
      <c r="EW78" s="28">
        <v>0</v>
      </c>
      <c r="EX78" s="28">
        <v>0</v>
      </c>
      <c r="EY78" s="28">
        <v>0</v>
      </c>
      <c r="EZ78" s="28">
        <v>0</v>
      </c>
      <c r="FA78" s="28">
        <v>0</v>
      </c>
      <c r="FB78" s="28">
        <v>0</v>
      </c>
      <c r="FC78" s="28">
        <v>0</v>
      </c>
      <c r="FD78" s="28">
        <v>0</v>
      </c>
      <c r="FE78" s="28">
        <v>0</v>
      </c>
      <c r="FF78" s="28">
        <v>0</v>
      </c>
      <c r="FG78" s="28">
        <v>0</v>
      </c>
      <c r="FH78" s="28">
        <v>0</v>
      </c>
      <c r="FI78" s="28">
        <v>0</v>
      </c>
      <c r="FJ78" s="28">
        <v>0</v>
      </c>
      <c r="FK78" s="28">
        <v>0</v>
      </c>
      <c r="FL78" s="28">
        <v>0</v>
      </c>
      <c r="FM78" s="28">
        <v>0</v>
      </c>
      <c r="FN78" s="28">
        <v>0</v>
      </c>
      <c r="FO78" s="28">
        <v>0</v>
      </c>
      <c r="FP78" s="28">
        <v>0</v>
      </c>
      <c r="FQ78" s="28">
        <v>0</v>
      </c>
      <c r="FR78" s="28">
        <v>0</v>
      </c>
      <c r="FS78" s="28">
        <v>5.1029153180771099</v>
      </c>
      <c r="FT78" s="28">
        <v>405.54567454762702</v>
      </c>
      <c r="FU78" s="28">
        <v>0</v>
      </c>
      <c r="FV78" s="28">
        <v>0</v>
      </c>
      <c r="FW78" s="28">
        <v>0</v>
      </c>
      <c r="FX78" s="28">
        <v>0</v>
      </c>
      <c r="FY78" s="28">
        <v>0</v>
      </c>
      <c r="FZ78" s="28">
        <v>0</v>
      </c>
      <c r="GA78" s="28">
        <v>0</v>
      </c>
      <c r="GB78" s="28">
        <v>0</v>
      </c>
      <c r="GC78" s="28">
        <v>0</v>
      </c>
      <c r="GD78" s="28">
        <v>0</v>
      </c>
      <c r="GE78" s="28">
        <v>0</v>
      </c>
      <c r="GF78" s="28">
        <v>0</v>
      </c>
      <c r="GG78" s="28">
        <v>6.1772603772461798E-2</v>
      </c>
      <c r="GH78" s="28">
        <v>0</v>
      </c>
      <c r="GI78" s="28">
        <v>0</v>
      </c>
      <c r="GJ78" s="28">
        <v>0</v>
      </c>
      <c r="GK78" s="28">
        <v>0</v>
      </c>
      <c r="GL78" s="28">
        <v>0</v>
      </c>
      <c r="GM78" s="28">
        <v>0</v>
      </c>
      <c r="GN78" s="28">
        <v>0</v>
      </c>
      <c r="GO78" s="28">
        <v>0</v>
      </c>
      <c r="GP78" s="28">
        <v>0</v>
      </c>
      <c r="GQ78" s="21">
        <v>412.07285593934131</v>
      </c>
      <c r="GR78" s="21">
        <v>517.32406088718903</v>
      </c>
      <c r="GS78" s="20">
        <v>517.32406088718903</v>
      </c>
      <c r="GT78" s="20">
        <v>0</v>
      </c>
      <c r="GU78" s="20">
        <v>0</v>
      </c>
      <c r="GV78" s="20">
        <v>0</v>
      </c>
      <c r="GW78" s="20">
        <v>0</v>
      </c>
      <c r="GX78" s="21">
        <v>-0.2890100184719131</v>
      </c>
      <c r="GY78" s="20">
        <v>0</v>
      </c>
      <c r="GZ78" s="20">
        <v>-0.2890100184719131</v>
      </c>
      <c r="HA78" s="20"/>
      <c r="HB78" s="21">
        <v>0</v>
      </c>
      <c r="HC78" s="21">
        <v>929.10790680805837</v>
      </c>
    </row>
    <row r="79" spans="2:211" s="7" customFormat="1" ht="17.25" customHeight="1">
      <c r="B79" s="26" t="s">
        <v>483</v>
      </c>
      <c r="C79" s="9" t="s">
        <v>484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0.911509923029592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0.17469352360023299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33.3314125700782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0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28">
        <v>0</v>
      </c>
      <c r="CZ79" s="28">
        <v>0</v>
      </c>
      <c r="DA79" s="28">
        <v>0</v>
      </c>
      <c r="DB79" s="28">
        <v>0</v>
      </c>
      <c r="DC79" s="28">
        <v>0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28">
        <v>0</v>
      </c>
      <c r="DL79" s="28">
        <v>0</v>
      </c>
      <c r="DM79" s="28">
        <v>0</v>
      </c>
      <c r="DN79" s="28">
        <v>0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0</v>
      </c>
      <c r="EI79" s="28">
        <v>0</v>
      </c>
      <c r="EJ79" s="28">
        <v>0</v>
      </c>
      <c r="EK79" s="28">
        <v>0</v>
      </c>
      <c r="EL79" s="28">
        <v>0</v>
      </c>
      <c r="EM79" s="28">
        <v>0</v>
      </c>
      <c r="EN79" s="28">
        <v>0</v>
      </c>
      <c r="EO79" s="28">
        <v>0</v>
      </c>
      <c r="EP79" s="28">
        <v>0</v>
      </c>
      <c r="EQ79" s="28">
        <v>0</v>
      </c>
      <c r="ER79" s="28">
        <v>0</v>
      </c>
      <c r="ES79" s="28">
        <v>0</v>
      </c>
      <c r="ET79" s="28">
        <v>0</v>
      </c>
      <c r="EU79" s="28">
        <v>0</v>
      </c>
      <c r="EV79" s="28">
        <v>0</v>
      </c>
      <c r="EW79" s="28">
        <v>0</v>
      </c>
      <c r="EX79" s="28">
        <v>0</v>
      </c>
      <c r="EY79" s="28">
        <v>0</v>
      </c>
      <c r="EZ79" s="28">
        <v>0</v>
      </c>
      <c r="FA79" s="28">
        <v>0</v>
      </c>
      <c r="FB79" s="28">
        <v>0</v>
      </c>
      <c r="FC79" s="28">
        <v>0</v>
      </c>
      <c r="FD79" s="28">
        <v>0</v>
      </c>
      <c r="FE79" s="28">
        <v>0</v>
      </c>
      <c r="FF79" s="28">
        <v>0</v>
      </c>
      <c r="FG79" s="28">
        <v>0</v>
      </c>
      <c r="FH79" s="28">
        <v>0</v>
      </c>
      <c r="FI79" s="28">
        <v>0</v>
      </c>
      <c r="FJ79" s="28">
        <v>0</v>
      </c>
      <c r="FK79" s="28">
        <v>0</v>
      </c>
      <c r="FL79" s="28">
        <v>0</v>
      </c>
      <c r="FM79" s="28">
        <v>0</v>
      </c>
      <c r="FN79" s="28">
        <v>0</v>
      </c>
      <c r="FO79" s="28">
        <v>0</v>
      </c>
      <c r="FP79" s="28">
        <v>0</v>
      </c>
      <c r="FQ79" s="28">
        <v>0</v>
      </c>
      <c r="FR79" s="28">
        <v>0</v>
      </c>
      <c r="FS79" s="28">
        <v>27.67555489834</v>
      </c>
      <c r="FT79" s="28">
        <v>1919.5112113452799</v>
      </c>
      <c r="FU79" s="28">
        <v>0</v>
      </c>
      <c r="FV79" s="28">
        <v>0</v>
      </c>
      <c r="FW79" s="28">
        <v>0</v>
      </c>
      <c r="FX79" s="28">
        <v>0</v>
      </c>
      <c r="FY79" s="28">
        <v>1.5425205787534799</v>
      </c>
      <c r="FZ79" s="28">
        <v>0</v>
      </c>
      <c r="GA79" s="28">
        <v>0</v>
      </c>
      <c r="GB79" s="28">
        <v>0</v>
      </c>
      <c r="GC79" s="28">
        <v>0</v>
      </c>
      <c r="GD79" s="28">
        <v>0</v>
      </c>
      <c r="GE79" s="28">
        <v>0</v>
      </c>
      <c r="GF79" s="28">
        <v>0</v>
      </c>
      <c r="GG79" s="28">
        <v>3.8432988202923002</v>
      </c>
      <c r="GH79" s="28">
        <v>0</v>
      </c>
      <c r="GI79" s="28">
        <v>0.62046406562711598</v>
      </c>
      <c r="GJ79" s="28">
        <v>15.280015849959099</v>
      </c>
      <c r="GK79" s="28">
        <v>6.7684813636208903</v>
      </c>
      <c r="GL79" s="28">
        <v>0</v>
      </c>
      <c r="GM79" s="28">
        <v>0</v>
      </c>
      <c r="GN79" s="28">
        <v>0</v>
      </c>
      <c r="GO79" s="28">
        <v>0</v>
      </c>
      <c r="GP79" s="28">
        <v>0</v>
      </c>
      <c r="GQ79" s="21">
        <v>2009.6591629385809</v>
      </c>
      <c r="GR79" s="21">
        <v>4096.93429462517</v>
      </c>
      <c r="GS79" s="20">
        <v>4091.1284289886466</v>
      </c>
      <c r="GT79" s="20">
        <v>0</v>
      </c>
      <c r="GU79" s="20">
        <v>5.8058656365231966</v>
      </c>
      <c r="GV79" s="20">
        <v>5.8058656365231966</v>
      </c>
      <c r="GW79" s="20">
        <v>0</v>
      </c>
      <c r="GX79" s="21">
        <v>89.981436700516255</v>
      </c>
      <c r="GY79" s="20">
        <v>0</v>
      </c>
      <c r="GZ79" s="20">
        <v>89.981436700516255</v>
      </c>
      <c r="HA79" s="20"/>
      <c r="HB79" s="21">
        <v>31.0399647340179</v>
      </c>
      <c r="HC79" s="21">
        <v>6227.6148589982859</v>
      </c>
    </row>
    <row r="80" spans="2:211" s="7" customFormat="1" ht="17.25" customHeight="1">
      <c r="B80" s="26" t="s">
        <v>485</v>
      </c>
      <c r="C80" s="9" t="s">
        <v>486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4.9156096898880598E-2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16.945600244904099</v>
      </c>
      <c r="BK80" s="28">
        <v>0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3.7559959881330802</v>
      </c>
      <c r="CH80" s="28">
        <v>0</v>
      </c>
      <c r="CI80" s="28">
        <v>0</v>
      </c>
      <c r="CJ80" s="28">
        <v>0</v>
      </c>
      <c r="CK80" s="28">
        <v>0</v>
      </c>
      <c r="CL80" s="28">
        <v>0</v>
      </c>
      <c r="CM80" s="28">
        <v>0</v>
      </c>
      <c r="CN80" s="28">
        <v>0</v>
      </c>
      <c r="CO80" s="28">
        <v>0</v>
      </c>
      <c r="CP80" s="28">
        <v>0</v>
      </c>
      <c r="CQ80" s="28">
        <v>0</v>
      </c>
      <c r="CR80" s="28">
        <v>0</v>
      </c>
      <c r="CS80" s="28">
        <v>0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28">
        <v>0</v>
      </c>
      <c r="DB80" s="28">
        <v>0</v>
      </c>
      <c r="DC80" s="28">
        <v>0</v>
      </c>
      <c r="DD80" s="28">
        <v>0</v>
      </c>
      <c r="DE80" s="28">
        <v>0</v>
      </c>
      <c r="DF80" s="28">
        <v>0</v>
      </c>
      <c r="DG80" s="28">
        <v>0</v>
      </c>
      <c r="DH80" s="28">
        <v>0</v>
      </c>
      <c r="DI80" s="28">
        <v>0</v>
      </c>
      <c r="DJ80" s="28">
        <v>0</v>
      </c>
      <c r="DK80" s="28">
        <v>0</v>
      </c>
      <c r="DL80" s="28">
        <v>0</v>
      </c>
      <c r="DM80" s="28">
        <v>0</v>
      </c>
      <c r="DN80" s="28">
        <v>0</v>
      </c>
      <c r="DO80" s="28">
        <v>0</v>
      </c>
      <c r="DP80" s="28">
        <v>0</v>
      </c>
      <c r="DQ80" s="28">
        <v>0</v>
      </c>
      <c r="DR80" s="28">
        <v>0</v>
      </c>
      <c r="DS80" s="28">
        <v>0</v>
      </c>
      <c r="DT80" s="28">
        <v>0</v>
      </c>
      <c r="DU80" s="28">
        <v>0</v>
      </c>
      <c r="DV80" s="28">
        <v>0</v>
      </c>
      <c r="DW80" s="28">
        <v>0</v>
      </c>
      <c r="DX80" s="28">
        <v>0</v>
      </c>
      <c r="DY80" s="28">
        <v>0</v>
      </c>
      <c r="DZ80" s="28">
        <v>0</v>
      </c>
      <c r="EA80" s="28">
        <v>0</v>
      </c>
      <c r="EB80" s="28">
        <v>0</v>
      </c>
      <c r="EC80" s="28">
        <v>0</v>
      </c>
      <c r="ED80" s="28">
        <v>0</v>
      </c>
      <c r="EE80" s="28">
        <v>0</v>
      </c>
      <c r="EF80" s="28">
        <v>0</v>
      </c>
      <c r="EG80" s="28">
        <v>0</v>
      </c>
      <c r="EH80" s="28">
        <v>0</v>
      </c>
      <c r="EI80" s="28">
        <v>0</v>
      </c>
      <c r="EJ80" s="28">
        <v>0</v>
      </c>
      <c r="EK80" s="28">
        <v>0</v>
      </c>
      <c r="EL80" s="28">
        <v>0</v>
      </c>
      <c r="EM80" s="28">
        <v>0</v>
      </c>
      <c r="EN80" s="28">
        <v>0</v>
      </c>
      <c r="EO80" s="28">
        <v>0</v>
      </c>
      <c r="EP80" s="28">
        <v>0</v>
      </c>
      <c r="EQ80" s="28">
        <v>0</v>
      </c>
      <c r="ER80" s="28">
        <v>0</v>
      </c>
      <c r="ES80" s="28">
        <v>0</v>
      </c>
      <c r="ET80" s="28">
        <v>0</v>
      </c>
      <c r="EU80" s="28">
        <v>0</v>
      </c>
      <c r="EV80" s="28">
        <v>0</v>
      </c>
      <c r="EW80" s="28">
        <v>0</v>
      </c>
      <c r="EX80" s="28">
        <v>0</v>
      </c>
      <c r="EY80" s="28">
        <v>0</v>
      </c>
      <c r="EZ80" s="28">
        <v>0</v>
      </c>
      <c r="FA80" s="28">
        <v>0</v>
      </c>
      <c r="FB80" s="28">
        <v>0</v>
      </c>
      <c r="FC80" s="28">
        <v>0</v>
      </c>
      <c r="FD80" s="28">
        <v>0</v>
      </c>
      <c r="FE80" s="28">
        <v>0</v>
      </c>
      <c r="FF80" s="28">
        <v>0</v>
      </c>
      <c r="FG80" s="28">
        <v>0</v>
      </c>
      <c r="FH80" s="28">
        <v>0</v>
      </c>
      <c r="FI80" s="28">
        <v>0</v>
      </c>
      <c r="FJ80" s="28">
        <v>0</v>
      </c>
      <c r="FK80" s="28">
        <v>0</v>
      </c>
      <c r="FL80" s="28">
        <v>0</v>
      </c>
      <c r="FM80" s="28">
        <v>0</v>
      </c>
      <c r="FN80" s="28">
        <v>0</v>
      </c>
      <c r="FO80" s="28">
        <v>0</v>
      </c>
      <c r="FP80" s="28">
        <v>0</v>
      </c>
      <c r="FQ80" s="28">
        <v>0</v>
      </c>
      <c r="FR80" s="28">
        <v>0</v>
      </c>
      <c r="FS80" s="28">
        <v>3.4047876400593502</v>
      </c>
      <c r="FT80" s="28">
        <v>268.64855838167301</v>
      </c>
      <c r="FU80" s="28">
        <v>0</v>
      </c>
      <c r="FV80" s="28">
        <v>0</v>
      </c>
      <c r="FW80" s="28">
        <v>0</v>
      </c>
      <c r="FX80" s="28">
        <v>0</v>
      </c>
      <c r="FY80" s="28">
        <v>0</v>
      </c>
      <c r="FZ80" s="28">
        <v>0</v>
      </c>
      <c r="GA80" s="28">
        <v>0</v>
      </c>
      <c r="GB80" s="28">
        <v>0</v>
      </c>
      <c r="GC80" s="28">
        <v>0</v>
      </c>
      <c r="GD80" s="28">
        <v>0</v>
      </c>
      <c r="GE80" s="28">
        <v>0</v>
      </c>
      <c r="GF80" s="28">
        <v>0</v>
      </c>
      <c r="GG80" s="28">
        <v>0.39126674787924298</v>
      </c>
      <c r="GH80" s="28">
        <v>0</v>
      </c>
      <c r="GI80" s="28">
        <v>0</v>
      </c>
      <c r="GJ80" s="28">
        <v>1.67452228492702</v>
      </c>
      <c r="GK80" s="28">
        <v>0</v>
      </c>
      <c r="GL80" s="28">
        <v>0</v>
      </c>
      <c r="GM80" s="28">
        <v>0</v>
      </c>
      <c r="GN80" s="28">
        <v>0</v>
      </c>
      <c r="GO80" s="28">
        <v>0</v>
      </c>
      <c r="GP80" s="28">
        <v>0</v>
      </c>
      <c r="GQ80" s="21">
        <v>294.86988738447531</v>
      </c>
      <c r="GR80" s="21">
        <v>1005.51655644837</v>
      </c>
      <c r="GS80" s="20">
        <v>1005.51655644837</v>
      </c>
      <c r="GT80" s="20">
        <v>0</v>
      </c>
      <c r="GU80" s="20">
        <v>0</v>
      </c>
      <c r="GV80" s="20">
        <v>0</v>
      </c>
      <c r="GW80" s="20">
        <v>0</v>
      </c>
      <c r="GX80" s="21">
        <v>-2.5011104298755527E-12</v>
      </c>
      <c r="GY80" s="20">
        <v>0</v>
      </c>
      <c r="GZ80" s="20">
        <v>-2.5011104298755527E-12</v>
      </c>
      <c r="HA80" s="20"/>
      <c r="HB80" s="21">
        <v>3.1911577032</v>
      </c>
      <c r="HC80" s="21">
        <v>1303.5776015360427</v>
      </c>
    </row>
    <row r="81" spans="2:211" s="7" customFormat="1" ht="17.25" customHeight="1">
      <c r="B81" s="26" t="s">
        <v>487</v>
      </c>
      <c r="C81" s="9" t="s">
        <v>488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0.64354706002414896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6.11299732109035E-2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0</v>
      </c>
      <c r="CU81" s="28">
        <v>0</v>
      </c>
      <c r="CV81" s="28">
        <v>0</v>
      </c>
      <c r="CW81" s="28">
        <v>0</v>
      </c>
      <c r="CX81" s="28">
        <v>0</v>
      </c>
      <c r="CY81" s="28">
        <v>0</v>
      </c>
      <c r="CZ81" s="28">
        <v>0</v>
      </c>
      <c r="DA81" s="28">
        <v>0</v>
      </c>
      <c r="DB81" s="28">
        <v>0</v>
      </c>
      <c r="DC81" s="28">
        <v>0</v>
      </c>
      <c r="DD81" s="28">
        <v>0</v>
      </c>
      <c r="DE81" s="28">
        <v>0</v>
      </c>
      <c r="DF81" s="28">
        <v>0</v>
      </c>
      <c r="DG81" s="28">
        <v>0</v>
      </c>
      <c r="DH81" s="28">
        <v>0</v>
      </c>
      <c r="DI81" s="28">
        <v>0</v>
      </c>
      <c r="DJ81" s="28">
        <v>0</v>
      </c>
      <c r="DK81" s="28">
        <v>0</v>
      </c>
      <c r="DL81" s="28">
        <v>0</v>
      </c>
      <c r="DM81" s="28">
        <v>0</v>
      </c>
      <c r="DN81" s="28">
        <v>0</v>
      </c>
      <c r="DO81" s="28">
        <v>0</v>
      </c>
      <c r="DP81" s="28">
        <v>0</v>
      </c>
      <c r="DQ81" s="28">
        <v>0</v>
      </c>
      <c r="DR81" s="28">
        <v>0</v>
      </c>
      <c r="DS81" s="28">
        <v>0</v>
      </c>
      <c r="DT81" s="28">
        <v>0</v>
      </c>
      <c r="DU81" s="28">
        <v>0</v>
      </c>
      <c r="DV81" s="28">
        <v>0</v>
      </c>
      <c r="DW81" s="28">
        <v>0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0</v>
      </c>
      <c r="EH81" s="28">
        <v>0</v>
      </c>
      <c r="EI81" s="28">
        <v>0</v>
      </c>
      <c r="EJ81" s="28">
        <v>0</v>
      </c>
      <c r="EK81" s="28">
        <v>0</v>
      </c>
      <c r="EL81" s="28">
        <v>0</v>
      </c>
      <c r="EM81" s="28">
        <v>0</v>
      </c>
      <c r="EN81" s="28">
        <v>0</v>
      </c>
      <c r="EO81" s="28">
        <v>0</v>
      </c>
      <c r="EP81" s="28">
        <v>0</v>
      </c>
      <c r="EQ81" s="28">
        <v>0</v>
      </c>
      <c r="ER81" s="28">
        <v>0</v>
      </c>
      <c r="ES81" s="28">
        <v>0</v>
      </c>
      <c r="ET81" s="28">
        <v>0</v>
      </c>
      <c r="EU81" s="28">
        <v>0</v>
      </c>
      <c r="EV81" s="28">
        <v>0</v>
      </c>
      <c r="EW81" s="28">
        <v>0</v>
      </c>
      <c r="EX81" s="28">
        <v>0</v>
      </c>
      <c r="EY81" s="28">
        <v>0</v>
      </c>
      <c r="EZ81" s="28">
        <v>0</v>
      </c>
      <c r="FA81" s="28">
        <v>0</v>
      </c>
      <c r="FB81" s="28">
        <v>0</v>
      </c>
      <c r="FC81" s="28">
        <v>0</v>
      </c>
      <c r="FD81" s="28">
        <v>0</v>
      </c>
      <c r="FE81" s="28">
        <v>0</v>
      </c>
      <c r="FF81" s="28">
        <v>0</v>
      </c>
      <c r="FG81" s="28">
        <v>0</v>
      </c>
      <c r="FH81" s="28">
        <v>0</v>
      </c>
      <c r="FI81" s="28">
        <v>0</v>
      </c>
      <c r="FJ81" s="28">
        <v>0</v>
      </c>
      <c r="FK81" s="28">
        <v>0</v>
      </c>
      <c r="FL81" s="28">
        <v>0</v>
      </c>
      <c r="FM81" s="28">
        <v>0</v>
      </c>
      <c r="FN81" s="28">
        <v>0</v>
      </c>
      <c r="FO81" s="28">
        <v>0</v>
      </c>
      <c r="FP81" s="28">
        <v>0</v>
      </c>
      <c r="FQ81" s="28">
        <v>0</v>
      </c>
      <c r="FR81" s="28">
        <v>0</v>
      </c>
      <c r="FS81" s="28">
        <v>2.7056959829188498</v>
      </c>
      <c r="FT81" s="28">
        <v>215.030670531901</v>
      </c>
      <c r="FU81" s="28">
        <v>0</v>
      </c>
      <c r="FV81" s="28">
        <v>0</v>
      </c>
      <c r="FW81" s="28">
        <v>0</v>
      </c>
      <c r="FX81" s="28">
        <v>0</v>
      </c>
      <c r="FY81" s="28">
        <v>0</v>
      </c>
      <c r="FZ81" s="28">
        <v>0</v>
      </c>
      <c r="GA81" s="28">
        <v>0</v>
      </c>
      <c r="GB81" s="28">
        <v>0</v>
      </c>
      <c r="GC81" s="28">
        <v>0</v>
      </c>
      <c r="GD81" s="28">
        <v>0</v>
      </c>
      <c r="GE81" s="28">
        <v>0</v>
      </c>
      <c r="GF81" s="28">
        <v>0</v>
      </c>
      <c r="GG81" s="28">
        <v>0.84445257498000303</v>
      </c>
      <c r="GH81" s="28">
        <v>0</v>
      </c>
      <c r="GI81" s="28">
        <v>0</v>
      </c>
      <c r="GJ81" s="28">
        <v>0</v>
      </c>
      <c r="GK81" s="28">
        <v>0</v>
      </c>
      <c r="GL81" s="28">
        <v>0</v>
      </c>
      <c r="GM81" s="28">
        <v>0</v>
      </c>
      <c r="GN81" s="28">
        <v>0</v>
      </c>
      <c r="GO81" s="28">
        <v>0</v>
      </c>
      <c r="GP81" s="28">
        <v>0</v>
      </c>
      <c r="GQ81" s="21">
        <v>219.28549612303505</v>
      </c>
      <c r="GR81" s="21">
        <v>943.51244075072202</v>
      </c>
      <c r="GS81" s="20">
        <v>943.50566480197119</v>
      </c>
      <c r="GT81" s="20">
        <v>0</v>
      </c>
      <c r="GU81" s="20">
        <v>6.7759487508615938E-3</v>
      </c>
      <c r="GV81" s="20">
        <v>6.7759487508615938E-3</v>
      </c>
      <c r="GW81" s="20">
        <v>0</v>
      </c>
      <c r="GX81" s="21">
        <v>-0.445892784424754</v>
      </c>
      <c r="GY81" s="20">
        <v>0</v>
      </c>
      <c r="GZ81" s="20">
        <v>-0.445892784424754</v>
      </c>
      <c r="HA81" s="20"/>
      <c r="HB81" s="21">
        <v>51.138550444800003</v>
      </c>
      <c r="HC81" s="21">
        <v>1213.4905945341322</v>
      </c>
    </row>
    <row r="82" spans="2:211" s="7" customFormat="1" ht="17.25" customHeight="1">
      <c r="B82" s="26" t="s">
        <v>68</v>
      </c>
      <c r="C82" s="9" t="s">
        <v>489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8.1707499768680095E-2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7.2345626260025803E-2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  <c r="EU82" s="28">
        <v>0</v>
      </c>
      <c r="EV82" s="28">
        <v>0</v>
      </c>
      <c r="EW82" s="28">
        <v>0</v>
      </c>
      <c r="EX82" s="28">
        <v>0</v>
      </c>
      <c r="EY82" s="28">
        <v>0</v>
      </c>
      <c r="EZ82" s="28">
        <v>0</v>
      </c>
      <c r="FA82" s="28">
        <v>0</v>
      </c>
      <c r="FB82" s="28">
        <v>0</v>
      </c>
      <c r="FC82" s="28">
        <v>0</v>
      </c>
      <c r="FD82" s="28">
        <v>0</v>
      </c>
      <c r="FE82" s="28">
        <v>0</v>
      </c>
      <c r="FF82" s="28">
        <v>0</v>
      </c>
      <c r="FG82" s="28">
        <v>0</v>
      </c>
      <c r="FH82" s="28">
        <v>0</v>
      </c>
      <c r="FI82" s="28">
        <v>0</v>
      </c>
      <c r="FJ82" s="28">
        <v>0</v>
      </c>
      <c r="FK82" s="28">
        <v>0</v>
      </c>
      <c r="FL82" s="28">
        <v>0</v>
      </c>
      <c r="FM82" s="28">
        <v>0</v>
      </c>
      <c r="FN82" s="28">
        <v>0</v>
      </c>
      <c r="FO82" s="28">
        <v>0</v>
      </c>
      <c r="FP82" s="28">
        <v>0</v>
      </c>
      <c r="FQ82" s="28">
        <v>0</v>
      </c>
      <c r="FR82" s="28">
        <v>0</v>
      </c>
      <c r="FS82" s="28">
        <v>1.93148148937322</v>
      </c>
      <c r="FT82" s="28">
        <v>153.50126636616099</v>
      </c>
      <c r="FU82" s="28">
        <v>0</v>
      </c>
      <c r="FV82" s="28">
        <v>0</v>
      </c>
      <c r="FW82" s="28">
        <v>0</v>
      </c>
      <c r="FX82" s="28">
        <v>0</v>
      </c>
      <c r="FY82" s="28">
        <v>0</v>
      </c>
      <c r="FZ82" s="28">
        <v>0</v>
      </c>
      <c r="GA82" s="28">
        <v>0</v>
      </c>
      <c r="GB82" s="28">
        <v>0</v>
      </c>
      <c r="GC82" s="28">
        <v>0</v>
      </c>
      <c r="GD82" s="28">
        <v>0</v>
      </c>
      <c r="GE82" s="28">
        <v>0</v>
      </c>
      <c r="GF82" s="28">
        <v>0</v>
      </c>
      <c r="GG82" s="28">
        <v>3.0123569632718699</v>
      </c>
      <c r="GH82" s="28">
        <v>0</v>
      </c>
      <c r="GI82" s="28">
        <v>0</v>
      </c>
      <c r="GJ82" s="28">
        <v>0.52118187303783103</v>
      </c>
      <c r="GK82" s="28">
        <v>0</v>
      </c>
      <c r="GL82" s="28">
        <v>0</v>
      </c>
      <c r="GM82" s="28">
        <v>0</v>
      </c>
      <c r="GN82" s="28">
        <v>0</v>
      </c>
      <c r="GO82" s="28">
        <v>0</v>
      </c>
      <c r="GP82" s="28">
        <v>0</v>
      </c>
      <c r="GQ82" s="21">
        <v>159.12033981787241</v>
      </c>
      <c r="GR82" s="21">
        <v>410.78340143379</v>
      </c>
      <c r="GS82" s="20">
        <v>410.30200415478504</v>
      </c>
      <c r="GT82" s="20">
        <v>0</v>
      </c>
      <c r="GU82" s="20">
        <v>0.48139727900496193</v>
      </c>
      <c r="GV82" s="20">
        <v>0.48139727900496193</v>
      </c>
      <c r="GW82" s="20">
        <v>0</v>
      </c>
      <c r="GX82" s="21">
        <v>0.20403875697843432</v>
      </c>
      <c r="GY82" s="20">
        <v>0</v>
      </c>
      <c r="GZ82" s="20">
        <v>0.20403875697843432</v>
      </c>
      <c r="HA82" s="20"/>
      <c r="HB82" s="21">
        <v>0</v>
      </c>
      <c r="HC82" s="21">
        <v>570.10778000864082</v>
      </c>
    </row>
    <row r="83" spans="2:211" s="7" customFormat="1" ht="17.25" customHeight="1">
      <c r="B83" s="26" t="s">
        <v>69</v>
      </c>
      <c r="C83" s="9" t="s">
        <v>490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4.6643900201790399E-3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0</v>
      </c>
      <c r="BO83" s="28">
        <v>0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2.4716960434728201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0</v>
      </c>
      <c r="CF83" s="28">
        <v>0</v>
      </c>
      <c r="CG83" s="28">
        <v>0</v>
      </c>
      <c r="CH83" s="28">
        <v>0</v>
      </c>
      <c r="CI83" s="28">
        <v>0</v>
      </c>
      <c r="CJ83" s="28">
        <v>0</v>
      </c>
      <c r="CK83" s="28">
        <v>0</v>
      </c>
      <c r="CL83" s="28">
        <v>0</v>
      </c>
      <c r="CM83" s="28">
        <v>0</v>
      </c>
      <c r="CN83" s="28">
        <v>0</v>
      </c>
      <c r="CO83" s="28">
        <v>0</v>
      </c>
      <c r="CP83" s="28">
        <v>0</v>
      </c>
      <c r="CQ83" s="28">
        <v>0</v>
      </c>
      <c r="CR83" s="28">
        <v>0</v>
      </c>
      <c r="CS83" s="28">
        <v>0</v>
      </c>
      <c r="CT83" s="28">
        <v>0</v>
      </c>
      <c r="CU83" s="28">
        <v>0</v>
      </c>
      <c r="CV83" s="28">
        <v>0</v>
      </c>
      <c r="CW83" s="28">
        <v>0</v>
      </c>
      <c r="CX83" s="28">
        <v>0</v>
      </c>
      <c r="CY83" s="28">
        <v>0</v>
      </c>
      <c r="CZ83" s="28">
        <v>0</v>
      </c>
      <c r="DA83" s="28">
        <v>0</v>
      </c>
      <c r="DB83" s="28">
        <v>0</v>
      </c>
      <c r="DC83" s="28">
        <v>0</v>
      </c>
      <c r="DD83" s="28">
        <v>0</v>
      </c>
      <c r="DE83" s="28">
        <v>0</v>
      </c>
      <c r="DF83" s="28">
        <v>0</v>
      </c>
      <c r="DG83" s="28">
        <v>0</v>
      </c>
      <c r="DH83" s="28">
        <v>0</v>
      </c>
      <c r="DI83" s="28">
        <v>0</v>
      </c>
      <c r="DJ83" s="28">
        <v>0</v>
      </c>
      <c r="DK83" s="28">
        <v>0</v>
      </c>
      <c r="DL83" s="28">
        <v>0</v>
      </c>
      <c r="DM83" s="28">
        <v>0</v>
      </c>
      <c r="DN83" s="28">
        <v>0</v>
      </c>
      <c r="DO83" s="28">
        <v>0</v>
      </c>
      <c r="DP83" s="28">
        <v>0</v>
      </c>
      <c r="DQ83" s="28">
        <v>0</v>
      </c>
      <c r="DR83" s="28">
        <v>0</v>
      </c>
      <c r="DS83" s="28">
        <v>0</v>
      </c>
      <c r="DT83" s="28">
        <v>0</v>
      </c>
      <c r="DU83" s="28">
        <v>0</v>
      </c>
      <c r="DV83" s="28">
        <v>0</v>
      </c>
      <c r="DW83" s="28">
        <v>0</v>
      </c>
      <c r="DX83" s="28">
        <v>0</v>
      </c>
      <c r="DY83" s="28">
        <v>0</v>
      </c>
      <c r="DZ83" s="28">
        <v>0</v>
      </c>
      <c r="EA83" s="28">
        <v>0</v>
      </c>
      <c r="EB83" s="28">
        <v>0</v>
      </c>
      <c r="EC83" s="28">
        <v>0</v>
      </c>
      <c r="ED83" s="28">
        <v>0</v>
      </c>
      <c r="EE83" s="28">
        <v>0</v>
      </c>
      <c r="EF83" s="28">
        <v>0</v>
      </c>
      <c r="EG83" s="28">
        <v>0</v>
      </c>
      <c r="EH83" s="28">
        <v>0</v>
      </c>
      <c r="EI83" s="28">
        <v>0</v>
      </c>
      <c r="EJ83" s="28">
        <v>0</v>
      </c>
      <c r="EK83" s="28">
        <v>0</v>
      </c>
      <c r="EL83" s="28">
        <v>0</v>
      </c>
      <c r="EM83" s="28">
        <v>0</v>
      </c>
      <c r="EN83" s="28">
        <v>0</v>
      </c>
      <c r="EO83" s="28">
        <v>0</v>
      </c>
      <c r="EP83" s="28">
        <v>0</v>
      </c>
      <c r="EQ83" s="28">
        <v>0</v>
      </c>
      <c r="ER83" s="28">
        <v>0</v>
      </c>
      <c r="ES83" s="28">
        <v>0</v>
      </c>
      <c r="ET83" s="28">
        <v>0</v>
      </c>
      <c r="EU83" s="28">
        <v>0</v>
      </c>
      <c r="EV83" s="28">
        <v>0</v>
      </c>
      <c r="EW83" s="28">
        <v>0</v>
      </c>
      <c r="EX83" s="28">
        <v>0</v>
      </c>
      <c r="EY83" s="28">
        <v>0</v>
      </c>
      <c r="EZ83" s="28">
        <v>0</v>
      </c>
      <c r="FA83" s="28">
        <v>0</v>
      </c>
      <c r="FB83" s="28">
        <v>0</v>
      </c>
      <c r="FC83" s="28">
        <v>0</v>
      </c>
      <c r="FD83" s="28">
        <v>0</v>
      </c>
      <c r="FE83" s="28">
        <v>0</v>
      </c>
      <c r="FF83" s="28">
        <v>0</v>
      </c>
      <c r="FG83" s="28">
        <v>0</v>
      </c>
      <c r="FH83" s="28">
        <v>0</v>
      </c>
      <c r="FI83" s="28">
        <v>0</v>
      </c>
      <c r="FJ83" s="28">
        <v>0</v>
      </c>
      <c r="FK83" s="28">
        <v>0</v>
      </c>
      <c r="FL83" s="28">
        <v>0</v>
      </c>
      <c r="FM83" s="28">
        <v>0</v>
      </c>
      <c r="FN83" s="28">
        <v>0</v>
      </c>
      <c r="FO83" s="28">
        <v>0</v>
      </c>
      <c r="FP83" s="28">
        <v>0</v>
      </c>
      <c r="FQ83" s="28">
        <v>0</v>
      </c>
      <c r="FR83" s="28">
        <v>0</v>
      </c>
      <c r="FS83" s="28">
        <v>0.32432528326769899</v>
      </c>
      <c r="FT83" s="28">
        <v>22.9050448535667</v>
      </c>
      <c r="FU83" s="28">
        <v>0</v>
      </c>
      <c r="FV83" s="28">
        <v>0</v>
      </c>
      <c r="FW83" s="28">
        <v>0</v>
      </c>
      <c r="FX83" s="28">
        <v>0</v>
      </c>
      <c r="FY83" s="28">
        <v>0.65220876046375198</v>
      </c>
      <c r="FZ83" s="28">
        <v>0</v>
      </c>
      <c r="GA83" s="28">
        <v>0</v>
      </c>
      <c r="GB83" s="28">
        <v>0</v>
      </c>
      <c r="GC83" s="28">
        <v>0</v>
      </c>
      <c r="GD83" s="28">
        <v>0</v>
      </c>
      <c r="GE83" s="28">
        <v>0</v>
      </c>
      <c r="GF83" s="28">
        <v>0</v>
      </c>
      <c r="GG83" s="28">
        <v>1.57375319433844</v>
      </c>
      <c r="GH83" s="28">
        <v>0</v>
      </c>
      <c r="GI83" s="28">
        <v>0.61310167628854595</v>
      </c>
      <c r="GJ83" s="28">
        <v>6.46069837552617</v>
      </c>
      <c r="GK83" s="28">
        <v>6.68816697026522</v>
      </c>
      <c r="GL83" s="28">
        <v>0</v>
      </c>
      <c r="GM83" s="28">
        <v>0</v>
      </c>
      <c r="GN83" s="28">
        <v>0</v>
      </c>
      <c r="GO83" s="28">
        <v>0</v>
      </c>
      <c r="GP83" s="28">
        <v>0</v>
      </c>
      <c r="GQ83" s="21">
        <v>41.693659547209528</v>
      </c>
      <c r="GR83" s="21">
        <v>971.60119134525405</v>
      </c>
      <c r="GS83" s="20">
        <v>946.37446941926112</v>
      </c>
      <c r="GT83" s="20">
        <v>6.1250361975058798</v>
      </c>
      <c r="GU83" s="20">
        <v>19.101685728487045</v>
      </c>
      <c r="GV83" s="20">
        <v>19.101685728487045</v>
      </c>
      <c r="GW83" s="20">
        <v>0</v>
      </c>
      <c r="GX83" s="21">
        <v>-0.57422228487882876</v>
      </c>
      <c r="GY83" s="20">
        <v>0</v>
      </c>
      <c r="GZ83" s="20">
        <v>-0.57422228487882876</v>
      </c>
      <c r="HA83" s="20"/>
      <c r="HB83" s="21">
        <v>2.2450176000000002</v>
      </c>
      <c r="HC83" s="21">
        <v>1014.9656462075848</v>
      </c>
    </row>
    <row r="84" spans="2:211" s="7" customFormat="1" ht="17.25" customHeight="1">
      <c r="B84" s="26" t="s">
        <v>70</v>
      </c>
      <c r="C84" s="9" t="s">
        <v>491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1.27241162455037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37.5344930861921</v>
      </c>
      <c r="BO84" s="28">
        <v>6.7568830000000002</v>
      </c>
      <c r="BP84" s="28">
        <v>0.95822756852695701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8.0938213040946501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99.501094814741407</v>
      </c>
      <c r="CI84" s="28">
        <v>0</v>
      </c>
      <c r="CJ84" s="28">
        <v>0</v>
      </c>
      <c r="CK84" s="28">
        <v>0</v>
      </c>
      <c r="CL84" s="28">
        <v>0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  <c r="CR84" s="28">
        <v>0</v>
      </c>
      <c r="CS84" s="28">
        <v>0</v>
      </c>
      <c r="CT84" s="28">
        <v>0</v>
      </c>
      <c r="CU84" s="28">
        <v>0</v>
      </c>
      <c r="CV84" s="28">
        <v>0</v>
      </c>
      <c r="CW84" s="28">
        <v>0</v>
      </c>
      <c r="CX84" s="28">
        <v>0</v>
      </c>
      <c r="CY84" s="28">
        <v>0</v>
      </c>
      <c r="CZ84" s="28">
        <v>0</v>
      </c>
      <c r="DA84" s="28">
        <v>0</v>
      </c>
      <c r="DB84" s="28">
        <v>0</v>
      </c>
      <c r="DC84" s="28">
        <v>0</v>
      </c>
      <c r="DD84" s="28">
        <v>0</v>
      </c>
      <c r="DE84" s="28">
        <v>0</v>
      </c>
      <c r="DF84" s="28">
        <v>0</v>
      </c>
      <c r="DG84" s="28">
        <v>0</v>
      </c>
      <c r="DH84" s="28">
        <v>0</v>
      </c>
      <c r="DI84" s="28">
        <v>0</v>
      </c>
      <c r="DJ84" s="28">
        <v>0</v>
      </c>
      <c r="DK84" s="28">
        <v>0</v>
      </c>
      <c r="DL84" s="28">
        <v>0</v>
      </c>
      <c r="DM84" s="28">
        <v>0</v>
      </c>
      <c r="DN84" s="28">
        <v>0</v>
      </c>
      <c r="DO84" s="28">
        <v>0</v>
      </c>
      <c r="DP84" s="28">
        <v>0</v>
      </c>
      <c r="DQ84" s="28">
        <v>0</v>
      </c>
      <c r="DR84" s="28">
        <v>0</v>
      </c>
      <c r="DS84" s="28">
        <v>0</v>
      </c>
      <c r="DT84" s="28">
        <v>0</v>
      </c>
      <c r="DU84" s="28">
        <v>0</v>
      </c>
      <c r="DV84" s="28">
        <v>0</v>
      </c>
      <c r="DW84" s="28">
        <v>0</v>
      </c>
      <c r="DX84" s="28">
        <v>0</v>
      </c>
      <c r="DY84" s="28">
        <v>0</v>
      </c>
      <c r="DZ84" s="28">
        <v>0</v>
      </c>
      <c r="EA84" s="28">
        <v>0</v>
      </c>
      <c r="EB84" s="28">
        <v>0</v>
      </c>
      <c r="EC84" s="28">
        <v>0</v>
      </c>
      <c r="ED84" s="28">
        <v>0</v>
      </c>
      <c r="EE84" s="28">
        <v>0</v>
      </c>
      <c r="EF84" s="28">
        <v>0</v>
      </c>
      <c r="EG84" s="28">
        <v>0</v>
      </c>
      <c r="EH84" s="28">
        <v>0</v>
      </c>
      <c r="EI84" s="28">
        <v>0</v>
      </c>
      <c r="EJ84" s="28">
        <v>0</v>
      </c>
      <c r="EK84" s="28">
        <v>0</v>
      </c>
      <c r="EL84" s="28">
        <v>0</v>
      </c>
      <c r="EM84" s="28">
        <v>0</v>
      </c>
      <c r="EN84" s="28">
        <v>0</v>
      </c>
      <c r="EO84" s="28">
        <v>0</v>
      </c>
      <c r="EP84" s="28">
        <v>0</v>
      </c>
      <c r="EQ84" s="28">
        <v>0</v>
      </c>
      <c r="ER84" s="28">
        <v>0</v>
      </c>
      <c r="ES84" s="28">
        <v>0</v>
      </c>
      <c r="ET84" s="28">
        <v>0</v>
      </c>
      <c r="EU84" s="28">
        <v>0</v>
      </c>
      <c r="EV84" s="28">
        <v>0</v>
      </c>
      <c r="EW84" s="28">
        <v>0</v>
      </c>
      <c r="EX84" s="28">
        <v>0</v>
      </c>
      <c r="EY84" s="28">
        <v>0</v>
      </c>
      <c r="EZ84" s="28">
        <v>0</v>
      </c>
      <c r="FA84" s="28">
        <v>0</v>
      </c>
      <c r="FB84" s="28">
        <v>0</v>
      </c>
      <c r="FC84" s="28">
        <v>0</v>
      </c>
      <c r="FD84" s="28">
        <v>0</v>
      </c>
      <c r="FE84" s="28">
        <v>0</v>
      </c>
      <c r="FF84" s="28">
        <v>0</v>
      </c>
      <c r="FG84" s="28">
        <v>0</v>
      </c>
      <c r="FH84" s="28">
        <v>0</v>
      </c>
      <c r="FI84" s="28">
        <v>0</v>
      </c>
      <c r="FJ84" s="28">
        <v>0</v>
      </c>
      <c r="FK84" s="28">
        <v>0</v>
      </c>
      <c r="FL84" s="28">
        <v>0</v>
      </c>
      <c r="FM84" s="28">
        <v>0</v>
      </c>
      <c r="FN84" s="28">
        <v>0</v>
      </c>
      <c r="FO84" s="28">
        <v>0</v>
      </c>
      <c r="FP84" s="28">
        <v>0</v>
      </c>
      <c r="FQ84" s="28">
        <v>0</v>
      </c>
      <c r="FR84" s="28">
        <v>0</v>
      </c>
      <c r="FS84" s="28">
        <v>0.32432528326769899</v>
      </c>
      <c r="FT84" s="28">
        <v>23.5360537753964</v>
      </c>
      <c r="FU84" s="28">
        <v>0</v>
      </c>
      <c r="FV84" s="28">
        <v>0</v>
      </c>
      <c r="FW84" s="28">
        <v>0</v>
      </c>
      <c r="FX84" s="28">
        <v>0</v>
      </c>
      <c r="FY84" s="28">
        <v>0.79404441363902101</v>
      </c>
      <c r="FZ84" s="28">
        <v>0</v>
      </c>
      <c r="GA84" s="28">
        <v>0</v>
      </c>
      <c r="GB84" s="28">
        <v>0</v>
      </c>
      <c r="GC84" s="28">
        <v>0</v>
      </c>
      <c r="GD84" s="28">
        <v>0</v>
      </c>
      <c r="GE84" s="28">
        <v>0</v>
      </c>
      <c r="GF84" s="28">
        <v>0</v>
      </c>
      <c r="GG84" s="28">
        <v>22.191872514043698</v>
      </c>
      <c r="GH84" s="28">
        <v>0</v>
      </c>
      <c r="GI84" s="28">
        <v>2.86954230358872</v>
      </c>
      <c r="GJ84" s="28">
        <v>7.86570460912779</v>
      </c>
      <c r="GK84" s="28">
        <v>31.303091798444999</v>
      </c>
      <c r="GL84" s="28">
        <v>0</v>
      </c>
      <c r="GM84" s="28">
        <v>0</v>
      </c>
      <c r="GN84" s="28">
        <v>0</v>
      </c>
      <c r="GO84" s="28">
        <v>0</v>
      </c>
      <c r="GP84" s="28">
        <v>0</v>
      </c>
      <c r="GQ84" s="21">
        <v>243.00156609561387</v>
      </c>
      <c r="GR84" s="21">
        <v>605.46426934625299</v>
      </c>
      <c r="GS84" s="20">
        <v>567.99856595323558</v>
      </c>
      <c r="GT84" s="20">
        <v>0</v>
      </c>
      <c r="GU84" s="20">
        <v>37.465703393017463</v>
      </c>
      <c r="GV84" s="20">
        <v>37.465703393017463</v>
      </c>
      <c r="GW84" s="20">
        <v>0</v>
      </c>
      <c r="GX84" s="21">
        <v>-98.384739211202614</v>
      </c>
      <c r="GY84" s="20">
        <v>0</v>
      </c>
      <c r="GZ84" s="20">
        <v>-98.384739211202614</v>
      </c>
      <c r="HA84" s="20"/>
      <c r="HB84" s="21">
        <v>127.2853181232</v>
      </c>
      <c r="HC84" s="21">
        <v>877.36641435386423</v>
      </c>
    </row>
    <row r="85" spans="2:211" s="7" customFormat="1" ht="17.25" customHeight="1">
      <c r="B85" s="26" t="s">
        <v>72</v>
      </c>
      <c r="C85" s="9" t="s">
        <v>492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1.8356943479893799E-2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14.4460980364909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0</v>
      </c>
      <c r="CH85" s="28">
        <v>0</v>
      </c>
      <c r="CI85" s="28">
        <v>0.766987264156342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28">
        <v>0</v>
      </c>
      <c r="DA85" s="28">
        <v>0</v>
      </c>
      <c r="DB85" s="28">
        <v>0</v>
      </c>
      <c r="DC85" s="28">
        <v>0</v>
      </c>
      <c r="DD85" s="28">
        <v>0</v>
      </c>
      <c r="DE85" s="28">
        <v>0</v>
      </c>
      <c r="DF85" s="28">
        <v>0</v>
      </c>
      <c r="DG85" s="28">
        <v>0</v>
      </c>
      <c r="DH85" s="28">
        <v>0</v>
      </c>
      <c r="DI85" s="28">
        <v>0</v>
      </c>
      <c r="DJ85" s="28">
        <v>0</v>
      </c>
      <c r="DK85" s="28">
        <v>0</v>
      </c>
      <c r="DL85" s="28">
        <v>0</v>
      </c>
      <c r="DM85" s="28">
        <v>0</v>
      </c>
      <c r="DN85" s="28">
        <v>0</v>
      </c>
      <c r="DO85" s="28">
        <v>0</v>
      </c>
      <c r="DP85" s="28">
        <v>0</v>
      </c>
      <c r="DQ85" s="28">
        <v>0</v>
      </c>
      <c r="DR85" s="28">
        <v>0</v>
      </c>
      <c r="DS85" s="28">
        <v>0</v>
      </c>
      <c r="DT85" s="28">
        <v>0</v>
      </c>
      <c r="DU85" s="28">
        <v>0</v>
      </c>
      <c r="DV85" s="28">
        <v>0</v>
      </c>
      <c r="DW85" s="28">
        <v>0</v>
      </c>
      <c r="DX85" s="28">
        <v>0</v>
      </c>
      <c r="DY85" s="28">
        <v>0</v>
      </c>
      <c r="DZ85" s="28">
        <v>0</v>
      </c>
      <c r="EA85" s="28">
        <v>0</v>
      </c>
      <c r="EB85" s="28">
        <v>0</v>
      </c>
      <c r="EC85" s="28">
        <v>0</v>
      </c>
      <c r="ED85" s="28">
        <v>0</v>
      </c>
      <c r="EE85" s="28">
        <v>0</v>
      </c>
      <c r="EF85" s="28">
        <v>0</v>
      </c>
      <c r="EG85" s="28">
        <v>0</v>
      </c>
      <c r="EH85" s="28">
        <v>0</v>
      </c>
      <c r="EI85" s="28">
        <v>0</v>
      </c>
      <c r="EJ85" s="28">
        <v>0</v>
      </c>
      <c r="EK85" s="28">
        <v>0</v>
      </c>
      <c r="EL85" s="28">
        <v>0</v>
      </c>
      <c r="EM85" s="28">
        <v>0</v>
      </c>
      <c r="EN85" s="28">
        <v>0</v>
      </c>
      <c r="EO85" s="28">
        <v>0</v>
      </c>
      <c r="EP85" s="28">
        <v>0</v>
      </c>
      <c r="EQ85" s="28">
        <v>0</v>
      </c>
      <c r="ER85" s="28">
        <v>0</v>
      </c>
      <c r="ES85" s="28">
        <v>0</v>
      </c>
      <c r="ET85" s="28">
        <v>0</v>
      </c>
      <c r="EU85" s="28">
        <v>0</v>
      </c>
      <c r="EV85" s="28">
        <v>0</v>
      </c>
      <c r="EW85" s="28">
        <v>0</v>
      </c>
      <c r="EX85" s="28">
        <v>0</v>
      </c>
      <c r="EY85" s="28">
        <v>0</v>
      </c>
      <c r="EZ85" s="28">
        <v>0</v>
      </c>
      <c r="FA85" s="28">
        <v>0</v>
      </c>
      <c r="FB85" s="28">
        <v>0</v>
      </c>
      <c r="FC85" s="28">
        <v>0</v>
      </c>
      <c r="FD85" s="28">
        <v>0</v>
      </c>
      <c r="FE85" s="28">
        <v>0</v>
      </c>
      <c r="FF85" s="28">
        <v>0</v>
      </c>
      <c r="FG85" s="28">
        <v>0</v>
      </c>
      <c r="FH85" s="28">
        <v>0</v>
      </c>
      <c r="FI85" s="28">
        <v>0</v>
      </c>
      <c r="FJ85" s="28">
        <v>0</v>
      </c>
      <c r="FK85" s="28">
        <v>0</v>
      </c>
      <c r="FL85" s="28">
        <v>0</v>
      </c>
      <c r="FM85" s="28">
        <v>0</v>
      </c>
      <c r="FN85" s="28">
        <v>0</v>
      </c>
      <c r="FO85" s="28">
        <v>0</v>
      </c>
      <c r="FP85" s="28">
        <v>0</v>
      </c>
      <c r="FQ85" s="28">
        <v>0</v>
      </c>
      <c r="FR85" s="28">
        <v>0</v>
      </c>
      <c r="FS85" s="28">
        <v>1.26744220245557</v>
      </c>
      <c r="FT85" s="28">
        <v>99.229445759872803</v>
      </c>
      <c r="FU85" s="28">
        <v>0</v>
      </c>
      <c r="FV85" s="28">
        <v>0</v>
      </c>
      <c r="FW85" s="28">
        <v>0</v>
      </c>
      <c r="FX85" s="28">
        <v>0</v>
      </c>
      <c r="FY85" s="28">
        <v>0.12722180564167801</v>
      </c>
      <c r="FZ85" s="28">
        <v>0</v>
      </c>
      <c r="GA85" s="28">
        <v>0</v>
      </c>
      <c r="GB85" s="28">
        <v>0</v>
      </c>
      <c r="GC85" s="28">
        <v>0</v>
      </c>
      <c r="GD85" s="28">
        <v>0</v>
      </c>
      <c r="GE85" s="28">
        <v>0</v>
      </c>
      <c r="GF85" s="28">
        <v>0</v>
      </c>
      <c r="GG85" s="28">
        <v>1.03726504430133</v>
      </c>
      <c r="GH85" s="28">
        <v>0</v>
      </c>
      <c r="GI85" s="28">
        <v>0.55680273325902196</v>
      </c>
      <c r="GJ85" s="28">
        <v>2.1307796857894301</v>
      </c>
      <c r="GK85" s="28">
        <v>6.0740164210279497</v>
      </c>
      <c r="GL85" s="28">
        <v>0</v>
      </c>
      <c r="GM85" s="28">
        <v>0</v>
      </c>
      <c r="GN85" s="28">
        <v>0</v>
      </c>
      <c r="GO85" s="28">
        <v>0</v>
      </c>
      <c r="GP85" s="28">
        <v>0</v>
      </c>
      <c r="GQ85" s="21">
        <v>125.65441589647456</v>
      </c>
      <c r="GR85" s="21">
        <v>815.17689218858902</v>
      </c>
      <c r="GS85" s="20">
        <v>815.14364365672725</v>
      </c>
      <c r="GT85" s="20">
        <v>0</v>
      </c>
      <c r="GU85" s="20">
        <v>3.3248531861742585E-2</v>
      </c>
      <c r="GV85" s="20">
        <v>3.3248531861742585E-2</v>
      </c>
      <c r="GW85" s="20">
        <v>0</v>
      </c>
      <c r="GX85" s="21">
        <v>-1.9561564033190031</v>
      </c>
      <c r="GY85" s="20">
        <v>0</v>
      </c>
      <c r="GZ85" s="20">
        <v>-1.9561564033190031</v>
      </c>
      <c r="HA85" s="20"/>
      <c r="HB85" s="21">
        <v>10.032116508</v>
      </c>
      <c r="HC85" s="21">
        <v>948.90726818974451</v>
      </c>
    </row>
    <row r="86" spans="2:211" s="7" customFormat="1" ht="17.25" customHeight="1">
      <c r="B86" s="26" t="s">
        <v>75</v>
      </c>
      <c r="C86" s="9" t="s">
        <v>493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9.7408052544369107E-3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0</v>
      </c>
      <c r="CG86" s="28">
        <v>0</v>
      </c>
      <c r="CH86" s="28">
        <v>0</v>
      </c>
      <c r="CI86" s="28">
        <v>0</v>
      </c>
      <c r="CJ86" s="28">
        <v>0</v>
      </c>
      <c r="CK86" s="28">
        <v>0</v>
      </c>
      <c r="CL86" s="28">
        <v>0</v>
      </c>
      <c r="CM86" s="28">
        <v>0</v>
      </c>
      <c r="CN86" s="28">
        <v>0</v>
      </c>
      <c r="CO86" s="28">
        <v>0</v>
      </c>
      <c r="CP86" s="28">
        <v>0</v>
      </c>
      <c r="CQ86" s="28">
        <v>0</v>
      </c>
      <c r="CR86" s="28">
        <v>0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28">
        <v>0</v>
      </c>
      <c r="CY86" s="28">
        <v>0</v>
      </c>
      <c r="CZ86" s="28">
        <v>0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28">
        <v>0</v>
      </c>
      <c r="DI86" s="28">
        <v>0</v>
      </c>
      <c r="DJ86" s="28">
        <v>0</v>
      </c>
      <c r="DK86" s="28">
        <v>0</v>
      </c>
      <c r="DL86" s="28">
        <v>0</v>
      </c>
      <c r="DM86" s="28">
        <v>0</v>
      </c>
      <c r="DN86" s="28">
        <v>0</v>
      </c>
      <c r="DO86" s="28">
        <v>0</v>
      </c>
      <c r="DP86" s="28">
        <v>0</v>
      </c>
      <c r="DQ86" s="28">
        <v>0</v>
      </c>
      <c r="DR86" s="28">
        <v>0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0</v>
      </c>
      <c r="EB86" s="28">
        <v>0</v>
      </c>
      <c r="EC86" s="28">
        <v>0</v>
      </c>
      <c r="ED86" s="28">
        <v>0</v>
      </c>
      <c r="EE86" s="28">
        <v>0</v>
      </c>
      <c r="EF86" s="28">
        <v>0</v>
      </c>
      <c r="EG86" s="28">
        <v>0</v>
      </c>
      <c r="EH86" s="28">
        <v>0</v>
      </c>
      <c r="EI86" s="28">
        <v>0</v>
      </c>
      <c r="EJ86" s="28">
        <v>0</v>
      </c>
      <c r="EK86" s="28">
        <v>0</v>
      </c>
      <c r="EL86" s="28">
        <v>0</v>
      </c>
      <c r="EM86" s="28">
        <v>0</v>
      </c>
      <c r="EN86" s="28">
        <v>0</v>
      </c>
      <c r="EO86" s="28">
        <v>0</v>
      </c>
      <c r="EP86" s="28">
        <v>0</v>
      </c>
      <c r="EQ86" s="28">
        <v>0</v>
      </c>
      <c r="ER86" s="28">
        <v>0</v>
      </c>
      <c r="ES86" s="28">
        <v>0</v>
      </c>
      <c r="ET86" s="28">
        <v>0</v>
      </c>
      <c r="EU86" s="28">
        <v>0</v>
      </c>
      <c r="EV86" s="28">
        <v>0</v>
      </c>
      <c r="EW86" s="28">
        <v>0</v>
      </c>
      <c r="EX86" s="28">
        <v>0</v>
      </c>
      <c r="EY86" s="28">
        <v>0</v>
      </c>
      <c r="EZ86" s="28">
        <v>0</v>
      </c>
      <c r="FA86" s="28">
        <v>0</v>
      </c>
      <c r="FB86" s="28">
        <v>0</v>
      </c>
      <c r="FC86" s="28">
        <v>0</v>
      </c>
      <c r="FD86" s="28">
        <v>0</v>
      </c>
      <c r="FE86" s="28">
        <v>0</v>
      </c>
      <c r="FF86" s="28">
        <v>0</v>
      </c>
      <c r="FG86" s="28">
        <v>0</v>
      </c>
      <c r="FH86" s="28">
        <v>0</v>
      </c>
      <c r="FI86" s="28">
        <v>0</v>
      </c>
      <c r="FJ86" s="28">
        <v>0</v>
      </c>
      <c r="FK86" s="28">
        <v>0</v>
      </c>
      <c r="FL86" s="28">
        <v>0</v>
      </c>
      <c r="FM86" s="28">
        <v>0</v>
      </c>
      <c r="FN86" s="28">
        <v>0</v>
      </c>
      <c r="FO86" s="28">
        <v>0</v>
      </c>
      <c r="FP86" s="28">
        <v>0</v>
      </c>
      <c r="FQ86" s="28">
        <v>0</v>
      </c>
      <c r="FR86" s="28">
        <v>0</v>
      </c>
      <c r="FS86" s="28">
        <v>0.66139128022348004</v>
      </c>
      <c r="FT86" s="28">
        <v>52.562967668298</v>
      </c>
      <c r="FU86" s="28">
        <v>0</v>
      </c>
      <c r="FV86" s="28">
        <v>0</v>
      </c>
      <c r="FW86" s="28">
        <v>0</v>
      </c>
      <c r="FX86" s="28">
        <v>0</v>
      </c>
      <c r="FY86" s="28">
        <v>0</v>
      </c>
      <c r="FZ86" s="28">
        <v>0</v>
      </c>
      <c r="GA86" s="28">
        <v>0</v>
      </c>
      <c r="GB86" s="28">
        <v>0</v>
      </c>
      <c r="GC86" s="28">
        <v>0</v>
      </c>
      <c r="GD86" s="28">
        <v>0</v>
      </c>
      <c r="GE86" s="28">
        <v>0</v>
      </c>
      <c r="GF86" s="28">
        <v>0</v>
      </c>
      <c r="GG86" s="28">
        <v>2.7636690214037398</v>
      </c>
      <c r="GH86" s="28">
        <v>0</v>
      </c>
      <c r="GI86" s="28">
        <v>0.223958432710851</v>
      </c>
      <c r="GJ86" s="28">
        <v>1.8608644013204001</v>
      </c>
      <c r="GK86" s="28">
        <v>2.4431043826801302</v>
      </c>
      <c r="GL86" s="28">
        <v>0</v>
      </c>
      <c r="GM86" s="28">
        <v>0</v>
      </c>
      <c r="GN86" s="28">
        <v>0</v>
      </c>
      <c r="GO86" s="28">
        <v>0</v>
      </c>
      <c r="GP86" s="28">
        <v>0</v>
      </c>
      <c r="GQ86" s="21">
        <v>60.525695991891062</v>
      </c>
      <c r="GR86" s="21">
        <v>560.76976302553498</v>
      </c>
      <c r="GS86" s="20">
        <v>470.59996595742484</v>
      </c>
      <c r="GT86" s="20">
        <v>0</v>
      </c>
      <c r="GU86" s="20">
        <v>90.169797068110142</v>
      </c>
      <c r="GV86" s="20">
        <v>90.169797068110142</v>
      </c>
      <c r="GW86" s="20">
        <v>0</v>
      </c>
      <c r="GX86" s="21">
        <v>13.396092767674329</v>
      </c>
      <c r="GY86" s="20">
        <v>0</v>
      </c>
      <c r="GZ86" s="20">
        <v>13.396092767674329</v>
      </c>
      <c r="HA86" s="20"/>
      <c r="HB86" s="21">
        <v>0</v>
      </c>
      <c r="HC86" s="21">
        <v>634.69155178510039</v>
      </c>
    </row>
    <row r="87" spans="2:211" s="7" customFormat="1" ht="17.25" customHeight="1">
      <c r="B87" s="26" t="s">
        <v>494</v>
      </c>
      <c r="C87" s="10" t="s">
        <v>495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7.8060278462142004E-3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8.9656920000000007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15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28">
        <v>0</v>
      </c>
      <c r="CG87" s="28">
        <v>2.1526260000000002</v>
      </c>
      <c r="CH87" s="28">
        <v>0</v>
      </c>
      <c r="CI87" s="28">
        <v>0</v>
      </c>
      <c r="CJ87" s="28">
        <v>0</v>
      </c>
      <c r="CK87" s="28">
        <v>0</v>
      </c>
      <c r="CL87" s="28">
        <v>0</v>
      </c>
      <c r="CM87" s="28">
        <v>0</v>
      </c>
      <c r="CN87" s="28">
        <v>0</v>
      </c>
      <c r="CO87" s="28">
        <v>0</v>
      </c>
      <c r="CP87" s="28">
        <v>0</v>
      </c>
      <c r="CQ87" s="28">
        <v>0</v>
      </c>
      <c r="CR87" s="28">
        <v>0</v>
      </c>
      <c r="CS87" s="28">
        <v>0</v>
      </c>
      <c r="CT87" s="28">
        <v>0</v>
      </c>
      <c r="CU87" s="28">
        <v>0</v>
      </c>
      <c r="CV87" s="28">
        <v>0</v>
      </c>
      <c r="CW87" s="28">
        <v>0</v>
      </c>
      <c r="CX87" s="28">
        <v>0</v>
      </c>
      <c r="CY87" s="28">
        <v>0</v>
      </c>
      <c r="CZ87" s="28">
        <v>0</v>
      </c>
      <c r="DA87" s="28">
        <v>0</v>
      </c>
      <c r="DB87" s="28">
        <v>0</v>
      </c>
      <c r="DC87" s="28">
        <v>0</v>
      </c>
      <c r="DD87" s="28">
        <v>0</v>
      </c>
      <c r="DE87" s="28">
        <v>0</v>
      </c>
      <c r="DF87" s="28">
        <v>0</v>
      </c>
      <c r="DG87" s="28">
        <v>0</v>
      </c>
      <c r="DH87" s="28">
        <v>0</v>
      </c>
      <c r="DI87" s="28">
        <v>0</v>
      </c>
      <c r="DJ87" s="28">
        <v>0</v>
      </c>
      <c r="DK87" s="28">
        <v>0</v>
      </c>
      <c r="DL87" s="28">
        <v>0</v>
      </c>
      <c r="DM87" s="28">
        <v>0</v>
      </c>
      <c r="DN87" s="28">
        <v>0</v>
      </c>
      <c r="DO87" s="28">
        <v>0</v>
      </c>
      <c r="DP87" s="28">
        <v>0</v>
      </c>
      <c r="DQ87" s="28">
        <v>0</v>
      </c>
      <c r="DR87" s="28">
        <v>0</v>
      </c>
      <c r="DS87" s="28">
        <v>0</v>
      </c>
      <c r="DT87" s="28">
        <v>0</v>
      </c>
      <c r="DU87" s="28">
        <v>0</v>
      </c>
      <c r="DV87" s="28">
        <v>0</v>
      </c>
      <c r="DW87" s="28">
        <v>0</v>
      </c>
      <c r="DX87" s="28">
        <v>0</v>
      </c>
      <c r="DY87" s="28">
        <v>0</v>
      </c>
      <c r="DZ87" s="28">
        <v>0</v>
      </c>
      <c r="EA87" s="28">
        <v>0</v>
      </c>
      <c r="EB87" s="28">
        <v>0</v>
      </c>
      <c r="EC87" s="28">
        <v>0</v>
      </c>
      <c r="ED87" s="28">
        <v>0</v>
      </c>
      <c r="EE87" s="28">
        <v>0</v>
      </c>
      <c r="EF87" s="28">
        <v>0</v>
      </c>
      <c r="EG87" s="28">
        <v>0</v>
      </c>
      <c r="EH87" s="28">
        <v>0</v>
      </c>
      <c r="EI87" s="28">
        <v>0</v>
      </c>
      <c r="EJ87" s="28">
        <v>0</v>
      </c>
      <c r="EK87" s="28">
        <v>0</v>
      </c>
      <c r="EL87" s="28">
        <v>0</v>
      </c>
      <c r="EM87" s="28">
        <v>0</v>
      </c>
      <c r="EN87" s="28">
        <v>0</v>
      </c>
      <c r="EO87" s="28">
        <v>0</v>
      </c>
      <c r="EP87" s="28">
        <v>0</v>
      </c>
      <c r="EQ87" s="28">
        <v>0</v>
      </c>
      <c r="ER87" s="28">
        <v>0</v>
      </c>
      <c r="ES87" s="28">
        <v>0</v>
      </c>
      <c r="ET87" s="28">
        <v>0</v>
      </c>
      <c r="EU87" s="28">
        <v>0</v>
      </c>
      <c r="EV87" s="28">
        <v>0</v>
      </c>
      <c r="EW87" s="28">
        <v>0</v>
      </c>
      <c r="EX87" s="28">
        <v>0</v>
      </c>
      <c r="EY87" s="28">
        <v>0</v>
      </c>
      <c r="EZ87" s="28">
        <v>0</v>
      </c>
      <c r="FA87" s="28">
        <v>0</v>
      </c>
      <c r="FB87" s="28">
        <v>0</v>
      </c>
      <c r="FC87" s="28">
        <v>0</v>
      </c>
      <c r="FD87" s="28">
        <v>0</v>
      </c>
      <c r="FE87" s="28">
        <v>0</v>
      </c>
      <c r="FF87" s="28">
        <v>0</v>
      </c>
      <c r="FG87" s="28">
        <v>0</v>
      </c>
      <c r="FH87" s="28">
        <v>0</v>
      </c>
      <c r="FI87" s="28">
        <v>0</v>
      </c>
      <c r="FJ87" s="28">
        <v>0</v>
      </c>
      <c r="FK87" s="28">
        <v>0</v>
      </c>
      <c r="FL87" s="28">
        <v>0</v>
      </c>
      <c r="FM87" s="28">
        <v>0</v>
      </c>
      <c r="FN87" s="28">
        <v>0</v>
      </c>
      <c r="FO87" s="28">
        <v>0</v>
      </c>
      <c r="FP87" s="28">
        <v>0</v>
      </c>
      <c r="FQ87" s="28">
        <v>0</v>
      </c>
      <c r="FR87" s="28">
        <v>0</v>
      </c>
      <c r="FS87" s="28">
        <v>0.59450650273516503</v>
      </c>
      <c r="FT87" s="28">
        <v>49.791830024139102</v>
      </c>
      <c r="FU87" s="28">
        <v>0</v>
      </c>
      <c r="FV87" s="28">
        <v>0</v>
      </c>
      <c r="FW87" s="28">
        <v>0</v>
      </c>
      <c r="FX87" s="28">
        <v>0</v>
      </c>
      <c r="FY87" s="28">
        <v>0</v>
      </c>
      <c r="FZ87" s="28">
        <v>0</v>
      </c>
      <c r="GA87" s="28">
        <v>0</v>
      </c>
      <c r="GB87" s="28">
        <v>0</v>
      </c>
      <c r="GC87" s="28">
        <v>0</v>
      </c>
      <c r="GD87" s="28">
        <v>0</v>
      </c>
      <c r="GE87" s="28">
        <v>0</v>
      </c>
      <c r="GF87" s="28">
        <v>0</v>
      </c>
      <c r="GG87" s="28">
        <v>4.1813478796663102</v>
      </c>
      <c r="GH87" s="28">
        <v>0</v>
      </c>
      <c r="GI87" s="28">
        <v>0.59237624121723798</v>
      </c>
      <c r="GJ87" s="28">
        <v>0.84619634841262403</v>
      </c>
      <c r="GK87" s="28">
        <v>6.4620785812602897</v>
      </c>
      <c r="GL87" s="28">
        <v>0</v>
      </c>
      <c r="GM87" s="28">
        <v>0</v>
      </c>
      <c r="GN87" s="28">
        <v>0</v>
      </c>
      <c r="GO87" s="28">
        <v>0</v>
      </c>
      <c r="GP87" s="28">
        <v>0</v>
      </c>
      <c r="GQ87" s="21">
        <v>88.594459605276967</v>
      </c>
      <c r="GR87" s="21">
        <v>897.23788151676501</v>
      </c>
      <c r="GS87" s="20">
        <v>664.16679563198068</v>
      </c>
      <c r="GT87" s="20">
        <v>7.8600025926109298</v>
      </c>
      <c r="GU87" s="20">
        <v>225.21108329217333</v>
      </c>
      <c r="GV87" s="20">
        <v>225.21108329217333</v>
      </c>
      <c r="GW87" s="20">
        <v>0</v>
      </c>
      <c r="GX87" s="21">
        <v>-1.6741626221589765</v>
      </c>
      <c r="GY87" s="20">
        <v>0</v>
      </c>
      <c r="GZ87" s="20">
        <v>-1.6741626221589765</v>
      </c>
      <c r="HA87" s="20"/>
      <c r="HB87" s="21">
        <v>0</v>
      </c>
      <c r="HC87" s="21">
        <v>984.15817849988298</v>
      </c>
    </row>
    <row r="88" spans="2:211" s="7" customFormat="1" ht="17.25" customHeight="1">
      <c r="B88" s="26" t="s">
        <v>79</v>
      </c>
      <c r="C88" s="10" t="s">
        <v>496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4.85701864910838E-2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2.9129209714685699E-2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1.38811385568183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1204.72985072452</v>
      </c>
      <c r="BU88" s="28">
        <v>217.20562481279501</v>
      </c>
      <c r="BV88" s="28">
        <v>380.12509732928498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28">
        <v>0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0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28">
        <v>0</v>
      </c>
      <c r="DI88" s="28">
        <v>0</v>
      </c>
      <c r="DJ88" s="28">
        <v>0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28">
        <v>0</v>
      </c>
      <c r="DQ88" s="28">
        <v>0</v>
      </c>
      <c r="DR88" s="28">
        <v>0</v>
      </c>
      <c r="DS88" s="28">
        <v>0</v>
      </c>
      <c r="DT88" s="28">
        <v>0</v>
      </c>
      <c r="DU88" s="28">
        <v>0</v>
      </c>
      <c r="DV88" s="28">
        <v>0</v>
      </c>
      <c r="DW88" s="28">
        <v>0</v>
      </c>
      <c r="DX88" s="28">
        <v>0</v>
      </c>
      <c r="DY88" s="28">
        <v>0</v>
      </c>
      <c r="DZ88" s="28">
        <v>0</v>
      </c>
      <c r="EA88" s="28">
        <v>0</v>
      </c>
      <c r="EB88" s="28">
        <v>0</v>
      </c>
      <c r="EC88" s="28">
        <v>0</v>
      </c>
      <c r="ED88" s="28">
        <v>0</v>
      </c>
      <c r="EE88" s="28">
        <v>0</v>
      </c>
      <c r="EF88" s="28">
        <v>0</v>
      </c>
      <c r="EG88" s="28">
        <v>0</v>
      </c>
      <c r="EH88" s="28">
        <v>0</v>
      </c>
      <c r="EI88" s="28">
        <v>0</v>
      </c>
      <c r="EJ88" s="28">
        <v>0</v>
      </c>
      <c r="EK88" s="28">
        <v>0</v>
      </c>
      <c r="EL88" s="28">
        <v>0</v>
      </c>
      <c r="EM88" s="28">
        <v>0</v>
      </c>
      <c r="EN88" s="28">
        <v>0</v>
      </c>
      <c r="EO88" s="28">
        <v>0</v>
      </c>
      <c r="EP88" s="28">
        <v>0</v>
      </c>
      <c r="EQ88" s="28">
        <v>0</v>
      </c>
      <c r="ER88" s="28">
        <v>0</v>
      </c>
      <c r="ES88" s="28">
        <v>0</v>
      </c>
      <c r="ET88" s="28">
        <v>0</v>
      </c>
      <c r="EU88" s="28">
        <v>0</v>
      </c>
      <c r="EV88" s="28">
        <v>0</v>
      </c>
      <c r="EW88" s="28">
        <v>0</v>
      </c>
      <c r="EX88" s="28">
        <v>0</v>
      </c>
      <c r="EY88" s="28">
        <v>0</v>
      </c>
      <c r="EZ88" s="28">
        <v>0</v>
      </c>
      <c r="FA88" s="28">
        <v>0</v>
      </c>
      <c r="FB88" s="28">
        <v>0</v>
      </c>
      <c r="FC88" s="28">
        <v>0</v>
      </c>
      <c r="FD88" s="28">
        <v>0</v>
      </c>
      <c r="FE88" s="28">
        <v>0</v>
      </c>
      <c r="FF88" s="28">
        <v>0</v>
      </c>
      <c r="FG88" s="28">
        <v>0</v>
      </c>
      <c r="FH88" s="28">
        <v>0</v>
      </c>
      <c r="FI88" s="28">
        <v>0</v>
      </c>
      <c r="FJ88" s="28">
        <v>0</v>
      </c>
      <c r="FK88" s="28">
        <v>0</v>
      </c>
      <c r="FL88" s="28">
        <v>0</v>
      </c>
      <c r="FM88" s="28">
        <v>0</v>
      </c>
      <c r="FN88" s="28">
        <v>0</v>
      </c>
      <c r="FO88" s="28">
        <v>0</v>
      </c>
      <c r="FP88" s="28">
        <v>0</v>
      </c>
      <c r="FQ88" s="28">
        <v>0</v>
      </c>
      <c r="FR88" s="28">
        <v>0</v>
      </c>
      <c r="FS88" s="28">
        <v>0.53512999667563899</v>
      </c>
      <c r="FT88" s="28">
        <v>42.528562977264798</v>
      </c>
      <c r="FU88" s="28">
        <v>0</v>
      </c>
      <c r="FV88" s="28">
        <v>0</v>
      </c>
      <c r="FW88" s="28">
        <v>0</v>
      </c>
      <c r="FX88" s="28">
        <v>0</v>
      </c>
      <c r="FY88" s="28">
        <v>0</v>
      </c>
      <c r="FZ88" s="28">
        <v>0</v>
      </c>
      <c r="GA88" s="28">
        <v>0</v>
      </c>
      <c r="GB88" s="28">
        <v>0</v>
      </c>
      <c r="GC88" s="28">
        <v>0</v>
      </c>
      <c r="GD88" s="28">
        <v>0</v>
      </c>
      <c r="GE88" s="28">
        <v>0</v>
      </c>
      <c r="GF88" s="28">
        <v>0</v>
      </c>
      <c r="GG88" s="28">
        <v>28.358328649222301</v>
      </c>
      <c r="GH88" s="28">
        <v>0</v>
      </c>
      <c r="GI88" s="28">
        <v>0.22077228397203</v>
      </c>
      <c r="GJ88" s="28">
        <v>0.30359132570126302</v>
      </c>
      <c r="GK88" s="28">
        <v>2.40834751349926</v>
      </c>
      <c r="GL88" s="28">
        <v>0</v>
      </c>
      <c r="GM88" s="28">
        <v>0</v>
      </c>
      <c r="GN88" s="28">
        <v>0</v>
      </c>
      <c r="GO88" s="28">
        <v>0</v>
      </c>
      <c r="GP88" s="28">
        <v>0</v>
      </c>
      <c r="GQ88" s="21">
        <v>1877.8811188648228</v>
      </c>
      <c r="GR88" s="21">
        <v>248.46618824508499</v>
      </c>
      <c r="GS88" s="20">
        <v>236.53454808024375</v>
      </c>
      <c r="GT88" s="20">
        <v>0</v>
      </c>
      <c r="GU88" s="20">
        <v>11.931640164841232</v>
      </c>
      <c r="GV88" s="20">
        <v>11.931640164841232</v>
      </c>
      <c r="GW88" s="20">
        <v>0</v>
      </c>
      <c r="GX88" s="21">
        <v>117.11100167879736</v>
      </c>
      <c r="GY88" s="20">
        <v>0</v>
      </c>
      <c r="GZ88" s="20">
        <v>117.11100167879736</v>
      </c>
      <c r="HA88" s="20"/>
      <c r="HB88" s="21">
        <v>0.1228362048</v>
      </c>
      <c r="HC88" s="21">
        <v>2243.5811449935054</v>
      </c>
    </row>
    <row r="89" spans="2:211" s="7" customFormat="1" ht="17.25" customHeight="1">
      <c r="B89" s="26" t="s">
        <v>497</v>
      </c>
      <c r="C89" s="10" t="s">
        <v>498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5.2424844561315201E-2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2.91681044508562E-2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0.86228855612129396</v>
      </c>
      <c r="BK89" s="28">
        <v>0</v>
      </c>
      <c r="BL89" s="28">
        <v>0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0.57917101003295202</v>
      </c>
      <c r="BV89" s="28">
        <v>17.889074823731399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70.845851417919803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0</v>
      </c>
      <c r="CU89" s="28">
        <v>0</v>
      </c>
      <c r="CV89" s="28">
        <v>0</v>
      </c>
      <c r="CW89" s="28">
        <v>0</v>
      </c>
      <c r="CX89" s="28">
        <v>0</v>
      </c>
      <c r="CY89" s="28">
        <v>0</v>
      </c>
      <c r="CZ89" s="28">
        <v>0</v>
      </c>
      <c r="DA89" s="28">
        <v>0</v>
      </c>
      <c r="DB89" s="28">
        <v>0</v>
      </c>
      <c r="DC89" s="28">
        <v>0</v>
      </c>
      <c r="DD89" s="28">
        <v>0</v>
      </c>
      <c r="DE89" s="28">
        <v>0</v>
      </c>
      <c r="DF89" s="28">
        <v>0</v>
      </c>
      <c r="DG89" s="28">
        <v>0</v>
      </c>
      <c r="DH89" s="28">
        <v>0</v>
      </c>
      <c r="DI89" s="28">
        <v>0</v>
      </c>
      <c r="DJ89" s="28">
        <v>0</v>
      </c>
      <c r="DK89" s="28">
        <v>0</v>
      </c>
      <c r="DL89" s="28">
        <v>0</v>
      </c>
      <c r="DM89" s="28">
        <v>0</v>
      </c>
      <c r="DN89" s="28">
        <v>0</v>
      </c>
      <c r="DO89" s="28">
        <v>0</v>
      </c>
      <c r="DP89" s="28">
        <v>0</v>
      </c>
      <c r="DQ89" s="28">
        <v>0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0</v>
      </c>
      <c r="DY89" s="28">
        <v>0</v>
      </c>
      <c r="DZ89" s="28">
        <v>0</v>
      </c>
      <c r="EA89" s="28">
        <v>0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0</v>
      </c>
      <c r="EM89" s="28">
        <v>0</v>
      </c>
      <c r="EN89" s="28">
        <v>0</v>
      </c>
      <c r="EO89" s="28">
        <v>0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  <c r="EU89" s="28">
        <v>0</v>
      </c>
      <c r="EV89" s="28">
        <v>0</v>
      </c>
      <c r="EW89" s="28">
        <v>0</v>
      </c>
      <c r="EX89" s="28">
        <v>0</v>
      </c>
      <c r="EY89" s="28">
        <v>0</v>
      </c>
      <c r="EZ89" s="28">
        <v>0</v>
      </c>
      <c r="FA89" s="28">
        <v>0</v>
      </c>
      <c r="FB89" s="28">
        <v>0</v>
      </c>
      <c r="FC89" s="28">
        <v>0</v>
      </c>
      <c r="FD89" s="28">
        <v>0</v>
      </c>
      <c r="FE89" s="28">
        <v>0</v>
      </c>
      <c r="FF89" s="28">
        <v>0</v>
      </c>
      <c r="FG89" s="28">
        <v>0</v>
      </c>
      <c r="FH89" s="28">
        <v>0</v>
      </c>
      <c r="FI89" s="28">
        <v>0</v>
      </c>
      <c r="FJ89" s="28">
        <v>0</v>
      </c>
      <c r="FK89" s="28">
        <v>0</v>
      </c>
      <c r="FL89" s="28">
        <v>0</v>
      </c>
      <c r="FM89" s="28">
        <v>0</v>
      </c>
      <c r="FN89" s="28">
        <v>0</v>
      </c>
      <c r="FO89" s="28">
        <v>0</v>
      </c>
      <c r="FP89" s="28">
        <v>0</v>
      </c>
      <c r="FQ89" s="28">
        <v>0</v>
      </c>
      <c r="FR89" s="28">
        <v>0</v>
      </c>
      <c r="FS89" s="28">
        <v>0.82997954652245598</v>
      </c>
      <c r="FT89" s="28">
        <v>65.961238639958296</v>
      </c>
      <c r="FU89" s="28">
        <v>0</v>
      </c>
      <c r="FV89" s="28">
        <v>0</v>
      </c>
      <c r="FW89" s="28">
        <v>0</v>
      </c>
      <c r="FX89" s="28">
        <v>0</v>
      </c>
      <c r="FY89" s="28">
        <v>0</v>
      </c>
      <c r="FZ89" s="28">
        <v>0</v>
      </c>
      <c r="GA89" s="28">
        <v>0</v>
      </c>
      <c r="GB89" s="28">
        <v>0</v>
      </c>
      <c r="GC89" s="28">
        <v>0</v>
      </c>
      <c r="GD89" s="28">
        <v>0</v>
      </c>
      <c r="GE89" s="28">
        <v>0</v>
      </c>
      <c r="GF89" s="28">
        <v>0</v>
      </c>
      <c r="GG89" s="28">
        <v>1.35084154785532</v>
      </c>
      <c r="GH89" s="28">
        <v>0</v>
      </c>
      <c r="GI89" s="28">
        <v>0</v>
      </c>
      <c r="GJ89" s="28">
        <v>1.0465764280793901</v>
      </c>
      <c r="GK89" s="28">
        <v>0</v>
      </c>
      <c r="GL89" s="28">
        <v>0</v>
      </c>
      <c r="GM89" s="28">
        <v>0</v>
      </c>
      <c r="GN89" s="28">
        <v>0</v>
      </c>
      <c r="GO89" s="28">
        <v>0</v>
      </c>
      <c r="GP89" s="28">
        <v>0</v>
      </c>
      <c r="GQ89" s="21">
        <v>159.44661491923307</v>
      </c>
      <c r="GR89" s="21">
        <v>548.62136684233099</v>
      </c>
      <c r="GS89" s="20">
        <v>545.69975603680734</v>
      </c>
      <c r="GT89" s="20">
        <v>0</v>
      </c>
      <c r="GU89" s="20">
        <v>2.9216108055235939</v>
      </c>
      <c r="GV89" s="20">
        <v>2.9216108055235939</v>
      </c>
      <c r="GW89" s="20">
        <v>0</v>
      </c>
      <c r="GX89" s="21">
        <v>-18.246439970501232</v>
      </c>
      <c r="GY89" s="20">
        <v>0</v>
      </c>
      <c r="GZ89" s="20">
        <v>-18.246439970501232</v>
      </c>
      <c r="HA89" s="20"/>
      <c r="HB89" s="21">
        <v>17.723038934400002</v>
      </c>
      <c r="HC89" s="21">
        <v>707.54458072546288</v>
      </c>
    </row>
    <row r="90" spans="2:211" s="7" customFormat="1" ht="17.25" customHeight="1">
      <c r="B90" s="26" t="s">
        <v>499</v>
      </c>
      <c r="C90" s="10" t="s">
        <v>500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0.38824725569596602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0.154055841061469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5.1005304575400698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  <c r="EU90" s="28">
        <v>0</v>
      </c>
      <c r="EV90" s="28">
        <v>0</v>
      </c>
      <c r="EW90" s="28">
        <v>0</v>
      </c>
      <c r="EX90" s="28">
        <v>0</v>
      </c>
      <c r="EY90" s="28">
        <v>0</v>
      </c>
      <c r="EZ90" s="28">
        <v>0</v>
      </c>
      <c r="FA90" s="28">
        <v>0</v>
      </c>
      <c r="FB90" s="28">
        <v>0</v>
      </c>
      <c r="FC90" s="28">
        <v>0</v>
      </c>
      <c r="FD90" s="28">
        <v>0</v>
      </c>
      <c r="FE90" s="28">
        <v>0</v>
      </c>
      <c r="FF90" s="28">
        <v>0</v>
      </c>
      <c r="FG90" s="28">
        <v>0</v>
      </c>
      <c r="FH90" s="28">
        <v>0</v>
      </c>
      <c r="FI90" s="28">
        <v>0</v>
      </c>
      <c r="FJ90" s="28">
        <v>0</v>
      </c>
      <c r="FK90" s="28">
        <v>0</v>
      </c>
      <c r="FL90" s="28">
        <v>0</v>
      </c>
      <c r="FM90" s="28">
        <v>0</v>
      </c>
      <c r="FN90" s="28">
        <v>0</v>
      </c>
      <c r="FO90" s="28">
        <v>0</v>
      </c>
      <c r="FP90" s="28">
        <v>0</v>
      </c>
      <c r="FQ90" s="28">
        <v>0</v>
      </c>
      <c r="FR90" s="28">
        <v>0</v>
      </c>
      <c r="FS90" s="28">
        <v>12.0225834672295</v>
      </c>
      <c r="FT90" s="28">
        <v>901.54370388258405</v>
      </c>
      <c r="FU90" s="28">
        <v>0</v>
      </c>
      <c r="FV90" s="28">
        <v>0</v>
      </c>
      <c r="FW90" s="28">
        <v>0</v>
      </c>
      <c r="FX90" s="28">
        <v>0</v>
      </c>
      <c r="FY90" s="28">
        <v>0.36134354923909101</v>
      </c>
      <c r="FZ90" s="28">
        <v>0</v>
      </c>
      <c r="GA90" s="28">
        <v>0</v>
      </c>
      <c r="GB90" s="28">
        <v>0</v>
      </c>
      <c r="GC90" s="28">
        <v>0</v>
      </c>
      <c r="GD90" s="28">
        <v>0</v>
      </c>
      <c r="GE90" s="28">
        <v>0</v>
      </c>
      <c r="GF90" s="28">
        <v>0</v>
      </c>
      <c r="GG90" s="28">
        <v>35.034840096308997</v>
      </c>
      <c r="GH90" s="28">
        <v>0</v>
      </c>
      <c r="GI90" s="28">
        <v>0.51534567641937001</v>
      </c>
      <c r="GJ90" s="28">
        <v>3.57942398675524</v>
      </c>
      <c r="GK90" s="28">
        <v>5.6217721539467398</v>
      </c>
      <c r="GL90" s="28">
        <v>0</v>
      </c>
      <c r="GM90" s="28">
        <v>0</v>
      </c>
      <c r="GN90" s="28">
        <v>0</v>
      </c>
      <c r="GO90" s="28">
        <v>0</v>
      </c>
      <c r="GP90" s="28">
        <v>0</v>
      </c>
      <c r="GQ90" s="21">
        <v>964.32184636677994</v>
      </c>
      <c r="GR90" s="21">
        <v>1984.97688877572</v>
      </c>
      <c r="GS90" s="20">
        <v>1966.0179556248463</v>
      </c>
      <c r="GT90" s="20">
        <v>0</v>
      </c>
      <c r="GU90" s="20">
        <v>18.958933150873612</v>
      </c>
      <c r="GV90" s="20">
        <v>18.958933150873612</v>
      </c>
      <c r="GW90" s="20">
        <v>0</v>
      </c>
      <c r="GX90" s="21">
        <v>-43.257241183691143</v>
      </c>
      <c r="GY90" s="20">
        <v>0</v>
      </c>
      <c r="GZ90" s="20">
        <v>-43.257241183691143</v>
      </c>
      <c r="HA90" s="20"/>
      <c r="HB90" s="21">
        <v>31.471828081967399</v>
      </c>
      <c r="HC90" s="21">
        <v>2937.5133220407761</v>
      </c>
    </row>
    <row r="91" spans="2:211" s="7" customFormat="1" ht="17.25" customHeight="1">
      <c r="B91" s="26" t="s">
        <v>501</v>
      </c>
      <c r="C91" s="9" t="s">
        <v>502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0.13041214773222301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4.5884518200759103E-2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28">
        <v>0</v>
      </c>
      <c r="DJ91" s="28">
        <v>0</v>
      </c>
      <c r="DK91" s="28">
        <v>0</v>
      </c>
      <c r="DL91" s="28">
        <v>0</v>
      </c>
      <c r="DM91" s="28">
        <v>0</v>
      </c>
      <c r="DN91" s="28">
        <v>0</v>
      </c>
      <c r="DO91" s="28">
        <v>0</v>
      </c>
      <c r="DP91" s="28">
        <v>0</v>
      </c>
      <c r="DQ91" s="28">
        <v>0</v>
      </c>
      <c r="DR91" s="28">
        <v>0</v>
      </c>
      <c r="DS91" s="28">
        <v>0</v>
      </c>
      <c r="DT91" s="28">
        <v>0</v>
      </c>
      <c r="DU91" s="28">
        <v>0</v>
      </c>
      <c r="DV91" s="28">
        <v>0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0</v>
      </c>
      <c r="EC91" s="28">
        <v>0</v>
      </c>
      <c r="ED91" s="28">
        <v>0</v>
      </c>
      <c r="EE91" s="28">
        <v>0</v>
      </c>
      <c r="EF91" s="28">
        <v>0</v>
      </c>
      <c r="EG91" s="28">
        <v>0</v>
      </c>
      <c r="EH91" s="28">
        <v>0</v>
      </c>
      <c r="EI91" s="28">
        <v>0</v>
      </c>
      <c r="EJ91" s="28">
        <v>0</v>
      </c>
      <c r="EK91" s="28">
        <v>0</v>
      </c>
      <c r="EL91" s="28">
        <v>0</v>
      </c>
      <c r="EM91" s="28">
        <v>0</v>
      </c>
      <c r="EN91" s="28">
        <v>0</v>
      </c>
      <c r="EO91" s="28">
        <v>0</v>
      </c>
      <c r="EP91" s="28">
        <v>0</v>
      </c>
      <c r="EQ91" s="28">
        <v>0</v>
      </c>
      <c r="ER91" s="28">
        <v>0</v>
      </c>
      <c r="ES91" s="28">
        <v>0</v>
      </c>
      <c r="ET91" s="28">
        <v>0</v>
      </c>
      <c r="EU91" s="28">
        <v>0</v>
      </c>
      <c r="EV91" s="28">
        <v>0</v>
      </c>
      <c r="EW91" s="28">
        <v>0</v>
      </c>
      <c r="EX91" s="28">
        <v>0</v>
      </c>
      <c r="EY91" s="28">
        <v>0</v>
      </c>
      <c r="EZ91" s="28">
        <v>0</v>
      </c>
      <c r="FA91" s="28">
        <v>0</v>
      </c>
      <c r="FB91" s="28">
        <v>0</v>
      </c>
      <c r="FC91" s="28">
        <v>0</v>
      </c>
      <c r="FD91" s="28">
        <v>0</v>
      </c>
      <c r="FE91" s="28">
        <v>0</v>
      </c>
      <c r="FF91" s="28">
        <v>0</v>
      </c>
      <c r="FG91" s="28">
        <v>0</v>
      </c>
      <c r="FH91" s="28">
        <v>0</v>
      </c>
      <c r="FI91" s="28">
        <v>0</v>
      </c>
      <c r="FJ91" s="28">
        <v>0</v>
      </c>
      <c r="FK91" s="28">
        <v>0</v>
      </c>
      <c r="FL91" s="28">
        <v>0</v>
      </c>
      <c r="FM91" s="28">
        <v>0</v>
      </c>
      <c r="FN91" s="28">
        <v>0</v>
      </c>
      <c r="FO91" s="28">
        <v>0</v>
      </c>
      <c r="FP91" s="28">
        <v>0</v>
      </c>
      <c r="FQ91" s="28">
        <v>0</v>
      </c>
      <c r="FR91" s="28">
        <v>0</v>
      </c>
      <c r="FS91" s="28">
        <v>4.6284605272980297</v>
      </c>
      <c r="FT91" s="28">
        <v>367.83917224937602</v>
      </c>
      <c r="FU91" s="28">
        <v>0</v>
      </c>
      <c r="FV91" s="28">
        <v>0</v>
      </c>
      <c r="FW91" s="28">
        <v>0</v>
      </c>
      <c r="FX91" s="28">
        <v>0</v>
      </c>
      <c r="FY91" s="28">
        <v>0</v>
      </c>
      <c r="FZ91" s="28">
        <v>0</v>
      </c>
      <c r="GA91" s="28">
        <v>0</v>
      </c>
      <c r="GB91" s="28">
        <v>0</v>
      </c>
      <c r="GC91" s="28">
        <v>0</v>
      </c>
      <c r="GD91" s="28">
        <v>0</v>
      </c>
      <c r="GE91" s="28">
        <v>0</v>
      </c>
      <c r="GF91" s="28">
        <v>0</v>
      </c>
      <c r="GG91" s="28">
        <v>0.61408403961094904</v>
      </c>
      <c r="GH91" s="28">
        <v>0</v>
      </c>
      <c r="GI91" s="28">
        <v>0.38280187952275202</v>
      </c>
      <c r="GJ91" s="28">
        <v>0.33942218182616402</v>
      </c>
      <c r="GK91" s="28">
        <v>4.1758862938984702</v>
      </c>
      <c r="GL91" s="28">
        <v>0</v>
      </c>
      <c r="GM91" s="28">
        <v>0</v>
      </c>
      <c r="GN91" s="28">
        <v>0</v>
      </c>
      <c r="GO91" s="28">
        <v>0</v>
      </c>
      <c r="GP91" s="28">
        <v>0</v>
      </c>
      <c r="GQ91" s="21">
        <v>378.15612383746526</v>
      </c>
      <c r="GR91" s="21">
        <v>3372.6222131424802</v>
      </c>
      <c r="GS91" s="20">
        <v>3367.3292233923121</v>
      </c>
      <c r="GT91" s="20">
        <v>3.77934900953304</v>
      </c>
      <c r="GU91" s="20">
        <v>1.513640740634679</v>
      </c>
      <c r="GV91" s="20">
        <v>1.513640740634679</v>
      </c>
      <c r="GW91" s="20">
        <v>0</v>
      </c>
      <c r="GX91" s="21">
        <v>-0.39467372278431867</v>
      </c>
      <c r="GY91" s="20">
        <v>0</v>
      </c>
      <c r="GZ91" s="20">
        <v>-0.39467372278431867</v>
      </c>
      <c r="HA91" s="20"/>
      <c r="HB91" s="21">
        <v>0</v>
      </c>
      <c r="HC91" s="21">
        <v>3750.3836632571611</v>
      </c>
    </row>
    <row r="92" spans="2:211" s="7" customFormat="1" ht="17.25" customHeight="1">
      <c r="B92" s="26" t="s">
        <v>503</v>
      </c>
      <c r="C92" s="9" t="s">
        <v>504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0.18911079753422799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0.10489678292211201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28">
        <v>0</v>
      </c>
      <c r="CI92" s="28">
        <v>0</v>
      </c>
      <c r="CJ92" s="28">
        <v>0</v>
      </c>
      <c r="CK92" s="28">
        <v>0</v>
      </c>
      <c r="CL92" s="28">
        <v>1.03528474838086</v>
      </c>
      <c r="CM92" s="28">
        <v>0</v>
      </c>
      <c r="CN92" s="28">
        <v>0</v>
      </c>
      <c r="CO92" s="28">
        <v>0</v>
      </c>
      <c r="CP92" s="28">
        <v>0</v>
      </c>
      <c r="CQ92" s="28">
        <v>0</v>
      </c>
      <c r="CR92" s="28">
        <v>0</v>
      </c>
      <c r="CS92" s="28">
        <v>0</v>
      </c>
      <c r="CT92" s="28">
        <v>0</v>
      </c>
      <c r="CU92" s="28">
        <v>0</v>
      </c>
      <c r="CV92" s="28">
        <v>0</v>
      </c>
      <c r="CW92" s="28">
        <v>0</v>
      </c>
      <c r="CX92" s="28">
        <v>0</v>
      </c>
      <c r="CY92" s="28">
        <v>0</v>
      </c>
      <c r="CZ92" s="28">
        <v>0</v>
      </c>
      <c r="DA92" s="28">
        <v>0</v>
      </c>
      <c r="DB92" s="28">
        <v>0</v>
      </c>
      <c r="DC92" s="28">
        <v>0</v>
      </c>
      <c r="DD92" s="28">
        <v>0</v>
      </c>
      <c r="DE92" s="28">
        <v>0</v>
      </c>
      <c r="DF92" s="28">
        <v>0</v>
      </c>
      <c r="DG92" s="28">
        <v>0</v>
      </c>
      <c r="DH92" s="28">
        <v>0</v>
      </c>
      <c r="DI92" s="28">
        <v>0</v>
      </c>
      <c r="DJ92" s="28">
        <v>0</v>
      </c>
      <c r="DK92" s="28">
        <v>0</v>
      </c>
      <c r="DL92" s="28">
        <v>0</v>
      </c>
      <c r="DM92" s="28">
        <v>0</v>
      </c>
      <c r="DN92" s="28">
        <v>0</v>
      </c>
      <c r="DO92" s="28">
        <v>0</v>
      </c>
      <c r="DP92" s="28">
        <v>0</v>
      </c>
      <c r="DQ92" s="28">
        <v>0</v>
      </c>
      <c r="DR92" s="28">
        <v>0</v>
      </c>
      <c r="DS92" s="28">
        <v>0</v>
      </c>
      <c r="DT92" s="28">
        <v>0</v>
      </c>
      <c r="DU92" s="28">
        <v>0</v>
      </c>
      <c r="DV92" s="28">
        <v>0</v>
      </c>
      <c r="DW92" s="28">
        <v>0</v>
      </c>
      <c r="DX92" s="28">
        <v>0</v>
      </c>
      <c r="DY92" s="28">
        <v>0</v>
      </c>
      <c r="DZ92" s="28">
        <v>0</v>
      </c>
      <c r="EA92" s="28">
        <v>0</v>
      </c>
      <c r="EB92" s="28">
        <v>0</v>
      </c>
      <c r="EC92" s="28">
        <v>0</v>
      </c>
      <c r="ED92" s="28">
        <v>0</v>
      </c>
      <c r="EE92" s="28">
        <v>0</v>
      </c>
      <c r="EF92" s="28">
        <v>0</v>
      </c>
      <c r="EG92" s="28">
        <v>0</v>
      </c>
      <c r="EH92" s="28">
        <v>0</v>
      </c>
      <c r="EI92" s="28">
        <v>0</v>
      </c>
      <c r="EJ92" s="28">
        <v>0</v>
      </c>
      <c r="EK92" s="28">
        <v>0</v>
      </c>
      <c r="EL92" s="28">
        <v>0</v>
      </c>
      <c r="EM92" s="28">
        <v>0</v>
      </c>
      <c r="EN92" s="28">
        <v>0</v>
      </c>
      <c r="EO92" s="28">
        <v>0</v>
      </c>
      <c r="EP92" s="28">
        <v>0</v>
      </c>
      <c r="EQ92" s="28">
        <v>0</v>
      </c>
      <c r="ER92" s="28">
        <v>0</v>
      </c>
      <c r="ES92" s="28">
        <v>0</v>
      </c>
      <c r="ET92" s="28">
        <v>0</v>
      </c>
      <c r="EU92" s="28">
        <v>0</v>
      </c>
      <c r="EV92" s="28">
        <v>0</v>
      </c>
      <c r="EW92" s="28">
        <v>0</v>
      </c>
      <c r="EX92" s="28">
        <v>0</v>
      </c>
      <c r="EY92" s="28">
        <v>0</v>
      </c>
      <c r="EZ92" s="28">
        <v>0</v>
      </c>
      <c r="FA92" s="28">
        <v>0</v>
      </c>
      <c r="FB92" s="28">
        <v>0</v>
      </c>
      <c r="FC92" s="28">
        <v>0</v>
      </c>
      <c r="FD92" s="28">
        <v>0</v>
      </c>
      <c r="FE92" s="28">
        <v>0</v>
      </c>
      <c r="FF92" s="28">
        <v>0</v>
      </c>
      <c r="FG92" s="28">
        <v>0</v>
      </c>
      <c r="FH92" s="28">
        <v>0</v>
      </c>
      <c r="FI92" s="28">
        <v>0</v>
      </c>
      <c r="FJ92" s="28">
        <v>0</v>
      </c>
      <c r="FK92" s="28">
        <v>0</v>
      </c>
      <c r="FL92" s="28">
        <v>0</v>
      </c>
      <c r="FM92" s="28">
        <v>0</v>
      </c>
      <c r="FN92" s="28">
        <v>0</v>
      </c>
      <c r="FO92" s="28">
        <v>0</v>
      </c>
      <c r="FP92" s="28">
        <v>0</v>
      </c>
      <c r="FQ92" s="28">
        <v>0</v>
      </c>
      <c r="FR92" s="28">
        <v>0</v>
      </c>
      <c r="FS92" s="28">
        <v>2.97331109992261</v>
      </c>
      <c r="FT92" s="28">
        <v>236.29893511782501</v>
      </c>
      <c r="FU92" s="28">
        <v>0</v>
      </c>
      <c r="FV92" s="28">
        <v>0</v>
      </c>
      <c r="FW92" s="28">
        <v>0</v>
      </c>
      <c r="FX92" s="28">
        <v>0</v>
      </c>
      <c r="FY92" s="28">
        <v>0</v>
      </c>
      <c r="FZ92" s="28">
        <v>0</v>
      </c>
      <c r="GA92" s="28">
        <v>0</v>
      </c>
      <c r="GB92" s="28">
        <v>0</v>
      </c>
      <c r="GC92" s="28">
        <v>0</v>
      </c>
      <c r="GD92" s="28">
        <v>0</v>
      </c>
      <c r="GE92" s="28">
        <v>0</v>
      </c>
      <c r="GF92" s="28">
        <v>0</v>
      </c>
      <c r="GG92" s="28">
        <v>24.939000967454799</v>
      </c>
      <c r="GH92" s="28">
        <v>0</v>
      </c>
      <c r="GI92" s="28">
        <v>9.4842065666000397E-2</v>
      </c>
      <c r="GJ92" s="28">
        <v>2.51717159803948</v>
      </c>
      <c r="GK92" s="28">
        <v>1.0346074648155701</v>
      </c>
      <c r="GL92" s="28">
        <v>0</v>
      </c>
      <c r="GM92" s="28">
        <v>0</v>
      </c>
      <c r="GN92" s="28">
        <v>0</v>
      </c>
      <c r="GO92" s="28">
        <v>0</v>
      </c>
      <c r="GP92" s="28">
        <v>0</v>
      </c>
      <c r="GQ92" s="21">
        <v>269.18716064256103</v>
      </c>
      <c r="GR92" s="21">
        <v>791.27177377701605</v>
      </c>
      <c r="GS92" s="20">
        <v>784.2283335199445</v>
      </c>
      <c r="GT92" s="20">
        <v>0</v>
      </c>
      <c r="GU92" s="20">
        <v>7.0434402570715644</v>
      </c>
      <c r="GV92" s="20">
        <v>7.0434402570715644</v>
      </c>
      <c r="GW92" s="20">
        <v>0</v>
      </c>
      <c r="GX92" s="21">
        <v>2.3460090431606671</v>
      </c>
      <c r="GY92" s="20">
        <v>0</v>
      </c>
      <c r="GZ92" s="20">
        <v>2.3460090431606671</v>
      </c>
      <c r="HA92" s="20"/>
      <c r="HB92" s="21">
        <v>69.645052570720395</v>
      </c>
      <c r="HC92" s="21">
        <v>1132.4499960334579</v>
      </c>
    </row>
    <row r="93" spans="2:211" s="7" customFormat="1" ht="17.25" customHeight="1">
      <c r="B93" s="26" t="s">
        <v>505</v>
      </c>
      <c r="C93" s="9" t="s">
        <v>506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6.9468595102195704E-2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3.0468027925496299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28">
        <v>0</v>
      </c>
      <c r="DE93" s="28">
        <v>0</v>
      </c>
      <c r="DF93" s="28">
        <v>0</v>
      </c>
      <c r="DG93" s="28">
        <v>0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0</v>
      </c>
      <c r="DN93" s="28">
        <v>0</v>
      </c>
      <c r="DO93" s="28">
        <v>0</v>
      </c>
      <c r="DP93" s="28">
        <v>0</v>
      </c>
      <c r="DQ93" s="28">
        <v>0</v>
      </c>
      <c r="DR93" s="28">
        <v>0</v>
      </c>
      <c r="DS93" s="28">
        <v>0</v>
      </c>
      <c r="DT93" s="28">
        <v>0</v>
      </c>
      <c r="DU93" s="28">
        <v>0</v>
      </c>
      <c r="DV93" s="28">
        <v>0</v>
      </c>
      <c r="DW93" s="28">
        <v>0</v>
      </c>
      <c r="DX93" s="28">
        <v>0</v>
      </c>
      <c r="DY93" s="28">
        <v>0</v>
      </c>
      <c r="DZ93" s="28">
        <v>0</v>
      </c>
      <c r="EA93" s="28">
        <v>0</v>
      </c>
      <c r="EB93" s="28">
        <v>0</v>
      </c>
      <c r="EC93" s="28">
        <v>0</v>
      </c>
      <c r="ED93" s="28">
        <v>0</v>
      </c>
      <c r="EE93" s="28">
        <v>0</v>
      </c>
      <c r="EF93" s="28">
        <v>0</v>
      </c>
      <c r="EG93" s="28">
        <v>0</v>
      </c>
      <c r="EH93" s="28">
        <v>0</v>
      </c>
      <c r="EI93" s="28">
        <v>0</v>
      </c>
      <c r="EJ93" s="28">
        <v>0</v>
      </c>
      <c r="EK93" s="28">
        <v>0</v>
      </c>
      <c r="EL93" s="28">
        <v>0</v>
      </c>
      <c r="EM93" s="28">
        <v>0</v>
      </c>
      <c r="EN93" s="28">
        <v>0</v>
      </c>
      <c r="EO93" s="28">
        <v>0</v>
      </c>
      <c r="EP93" s="28">
        <v>0</v>
      </c>
      <c r="EQ93" s="28">
        <v>0</v>
      </c>
      <c r="ER93" s="28">
        <v>0</v>
      </c>
      <c r="ES93" s="28">
        <v>0</v>
      </c>
      <c r="ET93" s="28">
        <v>0</v>
      </c>
      <c r="EU93" s="28">
        <v>0</v>
      </c>
      <c r="EV93" s="28">
        <v>0</v>
      </c>
      <c r="EW93" s="28">
        <v>0</v>
      </c>
      <c r="EX93" s="28">
        <v>0</v>
      </c>
      <c r="EY93" s="28">
        <v>0</v>
      </c>
      <c r="EZ93" s="28">
        <v>0</v>
      </c>
      <c r="FA93" s="28">
        <v>0</v>
      </c>
      <c r="FB93" s="28">
        <v>0</v>
      </c>
      <c r="FC93" s="28">
        <v>0</v>
      </c>
      <c r="FD93" s="28">
        <v>0</v>
      </c>
      <c r="FE93" s="28">
        <v>0</v>
      </c>
      <c r="FF93" s="28">
        <v>0</v>
      </c>
      <c r="FG93" s="28">
        <v>0</v>
      </c>
      <c r="FH93" s="28">
        <v>0</v>
      </c>
      <c r="FI93" s="28">
        <v>0</v>
      </c>
      <c r="FJ93" s="28">
        <v>0</v>
      </c>
      <c r="FK93" s="28">
        <v>0</v>
      </c>
      <c r="FL93" s="28">
        <v>0</v>
      </c>
      <c r="FM93" s="28">
        <v>0</v>
      </c>
      <c r="FN93" s="28">
        <v>0</v>
      </c>
      <c r="FO93" s="28">
        <v>0</v>
      </c>
      <c r="FP93" s="28">
        <v>0</v>
      </c>
      <c r="FQ93" s="28">
        <v>0</v>
      </c>
      <c r="FR93" s="28">
        <v>0</v>
      </c>
      <c r="FS93" s="28">
        <v>4.6610079749015796</v>
      </c>
      <c r="FT93" s="28">
        <v>367.06616288125798</v>
      </c>
      <c r="FU93" s="28">
        <v>0</v>
      </c>
      <c r="FV93" s="28">
        <v>0</v>
      </c>
      <c r="FW93" s="28">
        <v>0</v>
      </c>
      <c r="FX93" s="28">
        <v>0</v>
      </c>
      <c r="FY93" s="28">
        <v>0.25708676312557999</v>
      </c>
      <c r="FZ93" s="28">
        <v>0</v>
      </c>
      <c r="GA93" s="28">
        <v>0</v>
      </c>
      <c r="GB93" s="28">
        <v>0</v>
      </c>
      <c r="GC93" s="28">
        <v>0</v>
      </c>
      <c r="GD93" s="28">
        <v>0</v>
      </c>
      <c r="GE93" s="28">
        <v>0</v>
      </c>
      <c r="GF93" s="28">
        <v>0</v>
      </c>
      <c r="GG93" s="28">
        <v>2.3634630835400001</v>
      </c>
      <c r="GH93" s="28">
        <v>0</v>
      </c>
      <c r="GI93" s="28">
        <v>0.25000442749922203</v>
      </c>
      <c r="GJ93" s="28">
        <v>4.5691979537129503</v>
      </c>
      <c r="GK93" s="28">
        <v>2.7272333759424199</v>
      </c>
      <c r="GL93" s="28">
        <v>0</v>
      </c>
      <c r="GM93" s="28">
        <v>0</v>
      </c>
      <c r="GN93" s="28">
        <v>0</v>
      </c>
      <c r="GO93" s="28">
        <v>0</v>
      </c>
      <c r="GP93" s="28">
        <v>0</v>
      </c>
      <c r="GQ93" s="21">
        <v>385.010427847632</v>
      </c>
      <c r="GR93" s="21">
        <v>1660.2023849613399</v>
      </c>
      <c r="GS93" s="20">
        <v>1494.9378191387373</v>
      </c>
      <c r="GT93" s="20">
        <v>6.07548074629341</v>
      </c>
      <c r="GU93" s="20">
        <v>159.18908507630925</v>
      </c>
      <c r="GV93" s="20">
        <v>159.18908507630925</v>
      </c>
      <c r="GW93" s="20">
        <v>0</v>
      </c>
      <c r="GX93" s="21">
        <v>13.245018684337216</v>
      </c>
      <c r="GY93" s="20">
        <v>0</v>
      </c>
      <c r="GZ93" s="20">
        <v>13.245018684337216</v>
      </c>
      <c r="HA93" s="20"/>
      <c r="HB93" s="21">
        <v>77.164404071233903</v>
      </c>
      <c r="HC93" s="21">
        <v>2135.6222355645432</v>
      </c>
    </row>
    <row r="94" spans="2:211" s="7" customFormat="1" ht="17.25" customHeight="1">
      <c r="B94" s="26" t="s">
        <v>507</v>
      </c>
      <c r="C94" s="9" t="s">
        <v>508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0.220608587457092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0.160973049170654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388.25441199505701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0</v>
      </c>
      <c r="DB94" s="28">
        <v>0</v>
      </c>
      <c r="DC94" s="28">
        <v>0</v>
      </c>
      <c r="DD94" s="28">
        <v>0</v>
      </c>
      <c r="DE94" s="28">
        <v>0</v>
      </c>
      <c r="DF94" s="28">
        <v>0</v>
      </c>
      <c r="DG94" s="28">
        <v>0</v>
      </c>
      <c r="DH94" s="28">
        <v>0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0</v>
      </c>
      <c r="DO94" s="28">
        <v>0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28">
        <v>0</v>
      </c>
      <c r="DX94" s="28">
        <v>0</v>
      </c>
      <c r="DY94" s="28">
        <v>0</v>
      </c>
      <c r="DZ94" s="28">
        <v>0</v>
      </c>
      <c r="EA94" s="28">
        <v>0</v>
      </c>
      <c r="EB94" s="28">
        <v>0</v>
      </c>
      <c r="EC94" s="28">
        <v>0</v>
      </c>
      <c r="ED94" s="28">
        <v>0</v>
      </c>
      <c r="EE94" s="28">
        <v>0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0</v>
      </c>
      <c r="ET94" s="28">
        <v>0</v>
      </c>
      <c r="EU94" s="28">
        <v>0</v>
      </c>
      <c r="EV94" s="28">
        <v>0</v>
      </c>
      <c r="EW94" s="28">
        <v>0</v>
      </c>
      <c r="EX94" s="28">
        <v>0</v>
      </c>
      <c r="EY94" s="28">
        <v>0</v>
      </c>
      <c r="EZ94" s="28">
        <v>0</v>
      </c>
      <c r="FA94" s="28">
        <v>0</v>
      </c>
      <c r="FB94" s="28">
        <v>0</v>
      </c>
      <c r="FC94" s="28">
        <v>0</v>
      </c>
      <c r="FD94" s="28">
        <v>0</v>
      </c>
      <c r="FE94" s="28">
        <v>0</v>
      </c>
      <c r="FF94" s="28">
        <v>0</v>
      </c>
      <c r="FG94" s="28">
        <v>0</v>
      </c>
      <c r="FH94" s="28">
        <v>0</v>
      </c>
      <c r="FI94" s="28">
        <v>0</v>
      </c>
      <c r="FJ94" s="28">
        <v>0</v>
      </c>
      <c r="FK94" s="28">
        <v>0</v>
      </c>
      <c r="FL94" s="28">
        <v>0</v>
      </c>
      <c r="FM94" s="28">
        <v>0</v>
      </c>
      <c r="FN94" s="28">
        <v>0</v>
      </c>
      <c r="FO94" s="28">
        <v>0</v>
      </c>
      <c r="FP94" s="28">
        <v>0</v>
      </c>
      <c r="FQ94" s="28">
        <v>0</v>
      </c>
      <c r="FR94" s="28">
        <v>0</v>
      </c>
      <c r="FS94" s="28">
        <v>0</v>
      </c>
      <c r="FT94" s="28">
        <v>0</v>
      </c>
      <c r="FU94" s="28">
        <v>0</v>
      </c>
      <c r="FV94" s="28">
        <v>0</v>
      </c>
      <c r="FW94" s="28">
        <v>0</v>
      </c>
      <c r="FX94" s="28">
        <v>0</v>
      </c>
      <c r="FY94" s="28">
        <v>0</v>
      </c>
      <c r="FZ94" s="28">
        <v>0</v>
      </c>
      <c r="GA94" s="28">
        <v>0</v>
      </c>
      <c r="GB94" s="28">
        <v>0</v>
      </c>
      <c r="GC94" s="28">
        <v>0</v>
      </c>
      <c r="GD94" s="28">
        <v>0</v>
      </c>
      <c r="GE94" s="28">
        <v>0</v>
      </c>
      <c r="GF94" s="28">
        <v>0</v>
      </c>
      <c r="GG94" s="28">
        <v>0</v>
      </c>
      <c r="GH94" s="28">
        <v>0</v>
      </c>
      <c r="GI94" s="28">
        <v>0</v>
      </c>
      <c r="GJ94" s="28">
        <v>0</v>
      </c>
      <c r="GK94" s="28">
        <v>0</v>
      </c>
      <c r="GL94" s="28">
        <v>0</v>
      </c>
      <c r="GM94" s="28">
        <v>0</v>
      </c>
      <c r="GN94" s="28">
        <v>0</v>
      </c>
      <c r="GO94" s="28">
        <v>0</v>
      </c>
      <c r="GP94" s="28">
        <v>0</v>
      </c>
      <c r="GQ94" s="21">
        <v>388.63599363168476</v>
      </c>
      <c r="GR94" s="21">
        <v>0</v>
      </c>
      <c r="GS94" s="20">
        <v>0</v>
      </c>
      <c r="GT94" s="20">
        <v>0</v>
      </c>
      <c r="GU94" s="20">
        <v>0</v>
      </c>
      <c r="GV94" s="20">
        <v>0</v>
      </c>
      <c r="GW94" s="20">
        <v>0</v>
      </c>
      <c r="GX94" s="21">
        <v>-0.38158163662728839</v>
      </c>
      <c r="GY94" s="20">
        <v>0</v>
      </c>
      <c r="GZ94" s="20">
        <v>-0.38158163662728839</v>
      </c>
      <c r="HA94" s="20"/>
      <c r="HB94" s="21">
        <v>69.595127443199999</v>
      </c>
      <c r="HC94" s="21">
        <v>457.84953943825747</v>
      </c>
    </row>
    <row r="95" spans="2:211" s="7" customFormat="1" ht="17.25" customHeight="1">
      <c r="B95" s="26" t="s">
        <v>509</v>
      </c>
      <c r="C95" s="9" t="s">
        <v>510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28">
        <v>0</v>
      </c>
      <c r="CK95" s="28">
        <v>0</v>
      </c>
      <c r="CL95" s="28">
        <v>10.8475001178242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  <c r="CR95" s="28">
        <v>0</v>
      </c>
      <c r="CS95" s="28">
        <v>0</v>
      </c>
      <c r="CT95" s="28">
        <v>0</v>
      </c>
      <c r="CU95" s="28">
        <v>0</v>
      </c>
      <c r="CV95" s="28">
        <v>0</v>
      </c>
      <c r="CW95" s="28">
        <v>0</v>
      </c>
      <c r="CX95" s="28">
        <v>0</v>
      </c>
      <c r="CY95" s="28">
        <v>0</v>
      </c>
      <c r="CZ95" s="28">
        <v>0</v>
      </c>
      <c r="DA95" s="28">
        <v>0</v>
      </c>
      <c r="DB95" s="28">
        <v>0</v>
      </c>
      <c r="DC95" s="28">
        <v>0</v>
      </c>
      <c r="DD95" s="28">
        <v>0</v>
      </c>
      <c r="DE95" s="28">
        <v>0</v>
      </c>
      <c r="DF95" s="28">
        <v>0</v>
      </c>
      <c r="DG95" s="28">
        <v>0</v>
      </c>
      <c r="DH95" s="28">
        <v>0</v>
      </c>
      <c r="DI95" s="28">
        <v>0</v>
      </c>
      <c r="DJ95" s="28">
        <v>0</v>
      </c>
      <c r="DK95" s="28">
        <v>0</v>
      </c>
      <c r="DL95" s="28">
        <v>0</v>
      </c>
      <c r="DM95" s="28">
        <v>0</v>
      </c>
      <c r="DN95" s="28">
        <v>0</v>
      </c>
      <c r="DO95" s="28">
        <v>0</v>
      </c>
      <c r="DP95" s="28">
        <v>0</v>
      </c>
      <c r="DQ95" s="28">
        <v>0</v>
      </c>
      <c r="DR95" s="28">
        <v>0</v>
      </c>
      <c r="DS95" s="28">
        <v>0</v>
      </c>
      <c r="DT95" s="28">
        <v>0</v>
      </c>
      <c r="DU95" s="28">
        <v>0</v>
      </c>
      <c r="DV95" s="28">
        <v>0</v>
      </c>
      <c r="DW95" s="28">
        <v>0</v>
      </c>
      <c r="DX95" s="28">
        <v>0</v>
      </c>
      <c r="DY95" s="28">
        <v>0</v>
      </c>
      <c r="DZ95" s="28">
        <v>0</v>
      </c>
      <c r="EA95" s="28">
        <v>0</v>
      </c>
      <c r="EB95" s="28">
        <v>0</v>
      </c>
      <c r="EC95" s="28">
        <v>0</v>
      </c>
      <c r="ED95" s="28">
        <v>0</v>
      </c>
      <c r="EE95" s="28">
        <v>0</v>
      </c>
      <c r="EF95" s="28">
        <v>0</v>
      </c>
      <c r="EG95" s="28">
        <v>0</v>
      </c>
      <c r="EH95" s="28">
        <v>0</v>
      </c>
      <c r="EI95" s="28">
        <v>0</v>
      </c>
      <c r="EJ95" s="28">
        <v>0</v>
      </c>
      <c r="EK95" s="28">
        <v>0</v>
      </c>
      <c r="EL95" s="28">
        <v>0</v>
      </c>
      <c r="EM95" s="28">
        <v>0</v>
      </c>
      <c r="EN95" s="28">
        <v>0</v>
      </c>
      <c r="EO95" s="28">
        <v>0</v>
      </c>
      <c r="EP95" s="28">
        <v>0</v>
      </c>
      <c r="EQ95" s="28">
        <v>0</v>
      </c>
      <c r="ER95" s="28">
        <v>0</v>
      </c>
      <c r="ES95" s="28">
        <v>0</v>
      </c>
      <c r="ET95" s="28">
        <v>0</v>
      </c>
      <c r="EU95" s="28">
        <v>0</v>
      </c>
      <c r="EV95" s="28">
        <v>0</v>
      </c>
      <c r="EW95" s="28">
        <v>0</v>
      </c>
      <c r="EX95" s="28">
        <v>0</v>
      </c>
      <c r="EY95" s="28">
        <v>0</v>
      </c>
      <c r="EZ95" s="28">
        <v>0</v>
      </c>
      <c r="FA95" s="28">
        <v>0</v>
      </c>
      <c r="FB95" s="28">
        <v>0</v>
      </c>
      <c r="FC95" s="28">
        <v>0</v>
      </c>
      <c r="FD95" s="28">
        <v>0</v>
      </c>
      <c r="FE95" s="28">
        <v>0</v>
      </c>
      <c r="FF95" s="28">
        <v>0</v>
      </c>
      <c r="FG95" s="28">
        <v>0</v>
      </c>
      <c r="FH95" s="28">
        <v>0</v>
      </c>
      <c r="FI95" s="28">
        <v>0</v>
      </c>
      <c r="FJ95" s="28">
        <v>0</v>
      </c>
      <c r="FK95" s="28">
        <v>0</v>
      </c>
      <c r="FL95" s="28">
        <v>0</v>
      </c>
      <c r="FM95" s="28">
        <v>0</v>
      </c>
      <c r="FN95" s="28">
        <v>0</v>
      </c>
      <c r="FO95" s="28">
        <v>0</v>
      </c>
      <c r="FP95" s="28">
        <v>0</v>
      </c>
      <c r="FQ95" s="28">
        <v>0</v>
      </c>
      <c r="FR95" s="28">
        <v>0</v>
      </c>
      <c r="FS95" s="28">
        <v>0.14083117751185201</v>
      </c>
      <c r="FT95" s="28">
        <v>11.192322686417199</v>
      </c>
      <c r="FU95" s="28">
        <v>0</v>
      </c>
      <c r="FV95" s="28">
        <v>0</v>
      </c>
      <c r="FW95" s="28">
        <v>0</v>
      </c>
      <c r="FX95" s="28">
        <v>0</v>
      </c>
      <c r="FY95" s="28">
        <v>0</v>
      </c>
      <c r="FZ95" s="28">
        <v>0</v>
      </c>
      <c r="GA95" s="28">
        <v>0</v>
      </c>
      <c r="GB95" s="28">
        <v>0</v>
      </c>
      <c r="GC95" s="28">
        <v>0</v>
      </c>
      <c r="GD95" s="28">
        <v>0</v>
      </c>
      <c r="GE95" s="28">
        <v>0</v>
      </c>
      <c r="GF95" s="28">
        <v>0</v>
      </c>
      <c r="GG95" s="28">
        <v>0</v>
      </c>
      <c r="GH95" s="28">
        <v>0</v>
      </c>
      <c r="GI95" s="28">
        <v>0</v>
      </c>
      <c r="GJ95" s="28">
        <v>0</v>
      </c>
      <c r="GK95" s="28">
        <v>0</v>
      </c>
      <c r="GL95" s="28">
        <v>0</v>
      </c>
      <c r="GM95" s="28">
        <v>0</v>
      </c>
      <c r="GN95" s="28">
        <v>0</v>
      </c>
      <c r="GO95" s="28">
        <v>0</v>
      </c>
      <c r="GP95" s="28">
        <v>0</v>
      </c>
      <c r="GQ95" s="21">
        <v>22.180653981753302</v>
      </c>
      <c r="GR95" s="21">
        <v>114.936860807138</v>
      </c>
      <c r="GS95" s="20">
        <v>114.936860807138</v>
      </c>
      <c r="GT95" s="20">
        <v>0</v>
      </c>
      <c r="GU95" s="20">
        <v>0</v>
      </c>
      <c r="GV95" s="20">
        <v>0</v>
      </c>
      <c r="GW95" s="20">
        <v>0</v>
      </c>
      <c r="GX95" s="21">
        <v>-64.061289672949044</v>
      </c>
      <c r="GY95" s="20">
        <v>0</v>
      </c>
      <c r="GZ95" s="20">
        <v>-64.061289672949044</v>
      </c>
      <c r="HA95" s="20"/>
      <c r="HB95" s="21">
        <v>1210.8691785380499</v>
      </c>
      <c r="HC95" s="21">
        <v>1283.9254036539921</v>
      </c>
    </row>
    <row r="96" spans="2:211" s="7" customFormat="1" ht="17.25" customHeight="1">
      <c r="B96" s="26" t="s">
        <v>511</v>
      </c>
      <c r="C96" s="10" t="s">
        <v>512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2.9407007239216101E-2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1.8263571821569201E-2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79.290322518223604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28">
        <v>0</v>
      </c>
      <c r="CJ96" s="28">
        <v>0</v>
      </c>
      <c r="CK96" s="28">
        <v>0</v>
      </c>
      <c r="CL96" s="28">
        <v>3.1258269396030398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28">
        <v>0</v>
      </c>
      <c r="CU96" s="28">
        <v>0</v>
      </c>
      <c r="CV96" s="28">
        <v>0</v>
      </c>
      <c r="CW96" s="28">
        <v>0</v>
      </c>
      <c r="CX96" s="28">
        <v>0</v>
      </c>
      <c r="CY96" s="28">
        <v>0</v>
      </c>
      <c r="CZ96" s="28">
        <v>0</v>
      </c>
      <c r="DA96" s="28">
        <v>0</v>
      </c>
      <c r="DB96" s="28">
        <v>0</v>
      </c>
      <c r="DC96" s="28">
        <v>0</v>
      </c>
      <c r="DD96" s="28">
        <v>0</v>
      </c>
      <c r="DE96" s="28">
        <v>0</v>
      </c>
      <c r="DF96" s="28">
        <v>0</v>
      </c>
      <c r="DG96" s="28">
        <v>0</v>
      </c>
      <c r="DH96" s="28">
        <v>0</v>
      </c>
      <c r="DI96" s="28">
        <v>0</v>
      </c>
      <c r="DJ96" s="28">
        <v>0</v>
      </c>
      <c r="DK96" s="28">
        <v>0</v>
      </c>
      <c r="DL96" s="28">
        <v>0</v>
      </c>
      <c r="DM96" s="28">
        <v>0</v>
      </c>
      <c r="DN96" s="28">
        <v>0</v>
      </c>
      <c r="DO96" s="28">
        <v>0</v>
      </c>
      <c r="DP96" s="28">
        <v>0</v>
      </c>
      <c r="DQ96" s="28">
        <v>0</v>
      </c>
      <c r="DR96" s="28">
        <v>0</v>
      </c>
      <c r="DS96" s="28">
        <v>0</v>
      </c>
      <c r="DT96" s="28">
        <v>0</v>
      </c>
      <c r="DU96" s="28">
        <v>0</v>
      </c>
      <c r="DV96" s="28">
        <v>0</v>
      </c>
      <c r="DW96" s="28">
        <v>0</v>
      </c>
      <c r="DX96" s="28">
        <v>0</v>
      </c>
      <c r="DY96" s="28">
        <v>0</v>
      </c>
      <c r="DZ96" s="28">
        <v>0</v>
      </c>
      <c r="EA96" s="28">
        <v>0</v>
      </c>
      <c r="EB96" s="28">
        <v>0</v>
      </c>
      <c r="EC96" s="28">
        <v>0</v>
      </c>
      <c r="ED96" s="28">
        <v>0</v>
      </c>
      <c r="EE96" s="28">
        <v>0</v>
      </c>
      <c r="EF96" s="28">
        <v>0</v>
      </c>
      <c r="EG96" s="28">
        <v>0</v>
      </c>
      <c r="EH96" s="28">
        <v>0</v>
      </c>
      <c r="EI96" s="28">
        <v>0</v>
      </c>
      <c r="EJ96" s="28">
        <v>0</v>
      </c>
      <c r="EK96" s="28">
        <v>0</v>
      </c>
      <c r="EL96" s="28">
        <v>0</v>
      </c>
      <c r="EM96" s="28">
        <v>0</v>
      </c>
      <c r="EN96" s="28">
        <v>0</v>
      </c>
      <c r="EO96" s="28">
        <v>0</v>
      </c>
      <c r="EP96" s="28">
        <v>0</v>
      </c>
      <c r="EQ96" s="28">
        <v>0</v>
      </c>
      <c r="ER96" s="28">
        <v>0</v>
      </c>
      <c r="ES96" s="28">
        <v>0</v>
      </c>
      <c r="ET96" s="28">
        <v>0</v>
      </c>
      <c r="EU96" s="28">
        <v>0</v>
      </c>
      <c r="EV96" s="28">
        <v>0</v>
      </c>
      <c r="EW96" s="28">
        <v>0</v>
      </c>
      <c r="EX96" s="28">
        <v>0</v>
      </c>
      <c r="EY96" s="28">
        <v>0</v>
      </c>
      <c r="EZ96" s="28">
        <v>0</v>
      </c>
      <c r="FA96" s="28">
        <v>0</v>
      </c>
      <c r="FB96" s="28">
        <v>0</v>
      </c>
      <c r="FC96" s="28">
        <v>0</v>
      </c>
      <c r="FD96" s="28">
        <v>0</v>
      </c>
      <c r="FE96" s="28">
        <v>0</v>
      </c>
      <c r="FF96" s="28">
        <v>0</v>
      </c>
      <c r="FG96" s="28">
        <v>0</v>
      </c>
      <c r="FH96" s="28">
        <v>0</v>
      </c>
      <c r="FI96" s="28">
        <v>0</v>
      </c>
      <c r="FJ96" s="28">
        <v>0</v>
      </c>
      <c r="FK96" s="28">
        <v>0</v>
      </c>
      <c r="FL96" s="28">
        <v>0</v>
      </c>
      <c r="FM96" s="28">
        <v>0</v>
      </c>
      <c r="FN96" s="28">
        <v>0</v>
      </c>
      <c r="FO96" s="28">
        <v>0</v>
      </c>
      <c r="FP96" s="28">
        <v>0</v>
      </c>
      <c r="FQ96" s="28">
        <v>0</v>
      </c>
      <c r="FR96" s="28">
        <v>0</v>
      </c>
      <c r="FS96" s="28">
        <v>0.27486919007252902</v>
      </c>
      <c r="FT96" s="28">
        <v>21.844769930912499</v>
      </c>
      <c r="FU96" s="28">
        <v>0</v>
      </c>
      <c r="FV96" s="28">
        <v>0</v>
      </c>
      <c r="FW96" s="28">
        <v>0</v>
      </c>
      <c r="FX96" s="28">
        <v>0</v>
      </c>
      <c r="FY96" s="28">
        <v>0</v>
      </c>
      <c r="FZ96" s="28">
        <v>0</v>
      </c>
      <c r="GA96" s="28">
        <v>0</v>
      </c>
      <c r="GB96" s="28">
        <v>0</v>
      </c>
      <c r="GC96" s="28">
        <v>0</v>
      </c>
      <c r="GD96" s="28">
        <v>0</v>
      </c>
      <c r="GE96" s="28">
        <v>0</v>
      </c>
      <c r="GF96" s="28">
        <v>0</v>
      </c>
      <c r="GG96" s="28">
        <v>3.51732864621196</v>
      </c>
      <c r="GH96" s="28">
        <v>0</v>
      </c>
      <c r="GI96" s="28">
        <v>0.409712773332226</v>
      </c>
      <c r="GJ96" s="28">
        <v>1.4475167374562801</v>
      </c>
      <c r="GK96" s="28">
        <v>4.4694502459763497</v>
      </c>
      <c r="GL96" s="28">
        <v>0</v>
      </c>
      <c r="GM96" s="28">
        <v>0</v>
      </c>
      <c r="GN96" s="28">
        <v>0</v>
      </c>
      <c r="GO96" s="28">
        <v>0</v>
      </c>
      <c r="GP96" s="28">
        <v>0</v>
      </c>
      <c r="GQ96" s="21">
        <v>114.42746756084927</v>
      </c>
      <c r="GR96" s="21">
        <v>93.043746776125303</v>
      </c>
      <c r="GS96" s="20">
        <v>79.256104556279851</v>
      </c>
      <c r="GT96" s="20">
        <v>0</v>
      </c>
      <c r="GU96" s="20">
        <v>13.787642219845447</v>
      </c>
      <c r="GV96" s="20">
        <v>13.787642219845447</v>
      </c>
      <c r="GW96" s="20">
        <v>0</v>
      </c>
      <c r="GX96" s="21">
        <v>-37.997980517892991</v>
      </c>
      <c r="GY96" s="20">
        <v>0</v>
      </c>
      <c r="GZ96" s="20">
        <v>-37.997980517892991</v>
      </c>
      <c r="HA96" s="20"/>
      <c r="HB96" s="21">
        <v>749.31951841690704</v>
      </c>
      <c r="HC96" s="21">
        <v>918.7927522359887</v>
      </c>
    </row>
    <row r="97" spans="2:211" s="7" customFormat="1" ht="17.25" customHeight="1">
      <c r="B97" s="26" t="s">
        <v>80</v>
      </c>
      <c r="C97" s="9" t="s">
        <v>513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0.37004601389400799</v>
      </c>
      <c r="Q97" s="28">
        <v>0</v>
      </c>
      <c r="R97" s="28">
        <v>0</v>
      </c>
      <c r="S97" s="28">
        <v>0.28763419562520598</v>
      </c>
      <c r="T97" s="28">
        <v>0</v>
      </c>
      <c r="U97" s="28">
        <v>0</v>
      </c>
      <c r="V97" s="28">
        <v>0</v>
      </c>
      <c r="W97" s="28">
        <v>3.4014628873038903E-2</v>
      </c>
      <c r="X97" s="28">
        <v>0.15906218955234799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4.2806998497673998E-2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0.73259502890504702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30.766713938960699</v>
      </c>
      <c r="BO97" s="28">
        <v>38.223530972967801</v>
      </c>
      <c r="BP97" s="28">
        <v>0</v>
      </c>
      <c r="BQ97" s="28">
        <v>0</v>
      </c>
      <c r="BR97" s="28">
        <v>0</v>
      </c>
      <c r="BS97" s="28">
        <v>0</v>
      </c>
      <c r="BT97" s="28">
        <v>55.755452380600502</v>
      </c>
      <c r="BU97" s="28">
        <v>0</v>
      </c>
      <c r="BV97" s="28">
        <v>50.751669646612797</v>
      </c>
      <c r="BW97" s="28">
        <v>0</v>
      </c>
      <c r="BX97" s="28">
        <v>0</v>
      </c>
      <c r="BY97" s="28">
        <v>0</v>
      </c>
      <c r="BZ97" s="28">
        <v>0</v>
      </c>
      <c r="CA97" s="28">
        <v>13.905972823707399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12.7174243964454</v>
      </c>
      <c r="CI97" s="28">
        <v>4.5197482109069798</v>
      </c>
      <c r="CJ97" s="28">
        <v>14.2900018247714</v>
      </c>
      <c r="CK97" s="28">
        <v>0</v>
      </c>
      <c r="CL97" s="28">
        <v>8.4358066921137596</v>
      </c>
      <c r="CM97" s="28">
        <v>0</v>
      </c>
      <c r="CN97" s="28">
        <v>0.64552551507949796</v>
      </c>
      <c r="CO97" s="28">
        <v>34.192586018363698</v>
      </c>
      <c r="CP97" s="28">
        <v>433.53635091446301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0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0</v>
      </c>
      <c r="DJ97" s="28">
        <v>0</v>
      </c>
      <c r="DK97" s="28">
        <v>0</v>
      </c>
      <c r="DL97" s="28">
        <v>0</v>
      </c>
      <c r="DM97" s="28">
        <v>0</v>
      </c>
      <c r="DN97" s="28">
        <v>0</v>
      </c>
      <c r="DO97" s="28">
        <v>0</v>
      </c>
      <c r="DP97" s="28">
        <v>0</v>
      </c>
      <c r="DQ97" s="28">
        <v>0</v>
      </c>
      <c r="DR97" s="28">
        <v>5.4017797331175004</v>
      </c>
      <c r="DS97" s="28">
        <v>0</v>
      </c>
      <c r="DT97" s="28">
        <v>0</v>
      </c>
      <c r="DU97" s="28">
        <v>0</v>
      </c>
      <c r="DV97" s="28">
        <v>0</v>
      </c>
      <c r="DW97" s="28">
        <v>0</v>
      </c>
      <c r="DX97" s="28">
        <v>0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0</v>
      </c>
      <c r="EE97" s="28">
        <v>0</v>
      </c>
      <c r="EF97" s="28">
        <v>0</v>
      </c>
      <c r="EG97" s="28">
        <v>0</v>
      </c>
      <c r="EH97" s="28">
        <v>0</v>
      </c>
      <c r="EI97" s="28">
        <v>0</v>
      </c>
      <c r="EJ97" s="28">
        <v>0</v>
      </c>
      <c r="EK97" s="28">
        <v>0</v>
      </c>
      <c r="EL97" s="28">
        <v>0</v>
      </c>
      <c r="EM97" s="28">
        <v>0</v>
      </c>
      <c r="EN97" s="28">
        <v>0</v>
      </c>
      <c r="EO97" s="28">
        <v>0</v>
      </c>
      <c r="EP97" s="28">
        <v>0</v>
      </c>
      <c r="EQ97" s="28">
        <v>0</v>
      </c>
      <c r="ER97" s="28">
        <v>0</v>
      </c>
      <c r="ES97" s="28">
        <v>0</v>
      </c>
      <c r="ET97" s="28">
        <v>0</v>
      </c>
      <c r="EU97" s="28">
        <v>0</v>
      </c>
      <c r="EV97" s="28">
        <v>0</v>
      </c>
      <c r="EW97" s="28">
        <v>0</v>
      </c>
      <c r="EX97" s="28">
        <v>0</v>
      </c>
      <c r="EY97" s="28">
        <v>0</v>
      </c>
      <c r="EZ97" s="28">
        <v>0</v>
      </c>
      <c r="FA97" s="28">
        <v>0</v>
      </c>
      <c r="FB97" s="28">
        <v>0</v>
      </c>
      <c r="FC97" s="28">
        <v>0</v>
      </c>
      <c r="FD97" s="28">
        <v>0</v>
      </c>
      <c r="FE97" s="28">
        <v>0</v>
      </c>
      <c r="FF97" s="28">
        <v>0</v>
      </c>
      <c r="FG97" s="28">
        <v>0</v>
      </c>
      <c r="FH97" s="28">
        <v>0</v>
      </c>
      <c r="FI97" s="28">
        <v>0</v>
      </c>
      <c r="FJ97" s="28">
        <v>0</v>
      </c>
      <c r="FK97" s="28">
        <v>0</v>
      </c>
      <c r="FL97" s="28">
        <v>0</v>
      </c>
      <c r="FM97" s="28">
        <v>0</v>
      </c>
      <c r="FN97" s="28">
        <v>0</v>
      </c>
      <c r="FO97" s="28">
        <v>0</v>
      </c>
      <c r="FP97" s="28">
        <v>0</v>
      </c>
      <c r="FQ97" s="28">
        <v>0</v>
      </c>
      <c r="FR97" s="28">
        <v>0</v>
      </c>
      <c r="FS97" s="28">
        <v>0.88984890852063003</v>
      </c>
      <c r="FT97" s="28">
        <v>70.719256220668299</v>
      </c>
      <c r="FU97" s="28">
        <v>0</v>
      </c>
      <c r="FV97" s="28">
        <v>0</v>
      </c>
      <c r="FW97" s="28">
        <v>0</v>
      </c>
      <c r="FX97" s="28">
        <v>0</v>
      </c>
      <c r="FY97" s="28">
        <v>0.24646569775695601</v>
      </c>
      <c r="FZ97" s="28">
        <v>0</v>
      </c>
      <c r="GA97" s="28">
        <v>0</v>
      </c>
      <c r="GB97" s="28">
        <v>0</v>
      </c>
      <c r="GC97" s="28">
        <v>0</v>
      </c>
      <c r="GD97" s="28">
        <v>0</v>
      </c>
      <c r="GE97" s="28">
        <v>0</v>
      </c>
      <c r="GF97" s="28">
        <v>0</v>
      </c>
      <c r="GG97" s="28">
        <v>24.546156999745602</v>
      </c>
      <c r="GH97" s="28">
        <v>0</v>
      </c>
      <c r="GI97" s="28">
        <v>7.5886152252456401E-2</v>
      </c>
      <c r="GJ97" s="28">
        <v>2.4414583637132701</v>
      </c>
      <c r="GK97" s="28">
        <v>0.82782232804813305</v>
      </c>
      <c r="GL97" s="28">
        <v>0</v>
      </c>
      <c r="GM97" s="28">
        <v>0</v>
      </c>
      <c r="GN97" s="28">
        <v>0</v>
      </c>
      <c r="GO97" s="28">
        <v>0</v>
      </c>
      <c r="GP97" s="28">
        <v>0</v>
      </c>
      <c r="GQ97" s="21">
        <v>804.51561679416272</v>
      </c>
      <c r="GR97" s="21">
        <v>1327.1213687397401</v>
      </c>
      <c r="GS97" s="20">
        <v>1317.3810086582589</v>
      </c>
      <c r="GT97" s="20">
        <v>0</v>
      </c>
      <c r="GU97" s="20">
        <v>9.7403600814811817</v>
      </c>
      <c r="GV97" s="20">
        <v>9.7403600814811817</v>
      </c>
      <c r="GW97" s="20">
        <v>0</v>
      </c>
      <c r="GX97" s="21">
        <v>378.08553127511522</v>
      </c>
      <c r="GY97" s="20">
        <v>0</v>
      </c>
      <c r="GZ97" s="20">
        <v>378.08553127511522</v>
      </c>
      <c r="HA97" s="20"/>
      <c r="HB97" s="21">
        <v>54.2405433188571</v>
      </c>
      <c r="HC97" s="21">
        <v>2563.9630601278745</v>
      </c>
    </row>
    <row r="98" spans="2:211" s="7" customFormat="1" ht="17.25" customHeight="1">
      <c r="B98" s="26" t="s">
        <v>81</v>
      </c>
      <c r="C98" s="9" t="s">
        <v>514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0.15212158429226599</v>
      </c>
      <c r="Q98" s="28">
        <v>0</v>
      </c>
      <c r="R98" s="28">
        <v>0</v>
      </c>
      <c r="S98" s="28">
        <v>1.3033956966906299E-4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1.79846222691288E-3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3.85924737966661</v>
      </c>
      <c r="CM98" s="28">
        <v>0</v>
      </c>
      <c r="CN98" s="28">
        <v>14.377248169797401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15.501145320263999</v>
      </c>
      <c r="DO98" s="28">
        <v>0</v>
      </c>
      <c r="DP98" s="28">
        <v>0</v>
      </c>
      <c r="DQ98" s="28">
        <v>0</v>
      </c>
      <c r="DR98" s="28">
        <v>1.3442212188091101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  <c r="EU98" s="28">
        <v>0</v>
      </c>
      <c r="EV98" s="28">
        <v>0</v>
      </c>
      <c r="EW98" s="28">
        <v>0</v>
      </c>
      <c r="EX98" s="28">
        <v>0</v>
      </c>
      <c r="EY98" s="28">
        <v>0</v>
      </c>
      <c r="EZ98" s="28">
        <v>0</v>
      </c>
      <c r="FA98" s="28">
        <v>0</v>
      </c>
      <c r="FB98" s="28">
        <v>0</v>
      </c>
      <c r="FC98" s="28">
        <v>0</v>
      </c>
      <c r="FD98" s="28">
        <v>0</v>
      </c>
      <c r="FE98" s="28">
        <v>0</v>
      </c>
      <c r="FF98" s="28">
        <v>0</v>
      </c>
      <c r="FG98" s="28">
        <v>0</v>
      </c>
      <c r="FH98" s="28">
        <v>0</v>
      </c>
      <c r="FI98" s="28">
        <v>0</v>
      </c>
      <c r="FJ98" s="28">
        <v>0</v>
      </c>
      <c r="FK98" s="28">
        <v>0</v>
      </c>
      <c r="FL98" s="28">
        <v>0</v>
      </c>
      <c r="FM98" s="28">
        <v>0</v>
      </c>
      <c r="FN98" s="28">
        <v>0</v>
      </c>
      <c r="FO98" s="28">
        <v>0</v>
      </c>
      <c r="FP98" s="28">
        <v>0</v>
      </c>
      <c r="FQ98" s="28">
        <v>0</v>
      </c>
      <c r="FR98" s="28">
        <v>0</v>
      </c>
      <c r="FS98" s="28">
        <v>8.47246374908249E-3</v>
      </c>
      <c r="FT98" s="28">
        <v>0.67333490995431999</v>
      </c>
      <c r="FU98" s="28">
        <v>0</v>
      </c>
      <c r="FV98" s="28">
        <v>0</v>
      </c>
      <c r="FW98" s="28">
        <v>0</v>
      </c>
      <c r="FX98" s="28">
        <v>0</v>
      </c>
      <c r="FY98" s="28">
        <v>0</v>
      </c>
      <c r="FZ98" s="28">
        <v>0</v>
      </c>
      <c r="GA98" s="28">
        <v>0</v>
      </c>
      <c r="GB98" s="28">
        <v>0</v>
      </c>
      <c r="GC98" s="28">
        <v>0</v>
      </c>
      <c r="GD98" s="28">
        <v>0</v>
      </c>
      <c r="GE98" s="28">
        <v>0</v>
      </c>
      <c r="GF98" s="28">
        <v>0</v>
      </c>
      <c r="GG98" s="28">
        <v>0</v>
      </c>
      <c r="GH98" s="28">
        <v>0</v>
      </c>
      <c r="GI98" s="28">
        <v>0</v>
      </c>
      <c r="GJ98" s="28">
        <v>0</v>
      </c>
      <c r="GK98" s="28">
        <v>0</v>
      </c>
      <c r="GL98" s="28">
        <v>0</v>
      </c>
      <c r="GM98" s="28">
        <v>0</v>
      </c>
      <c r="GN98" s="28">
        <v>0</v>
      </c>
      <c r="GO98" s="28">
        <v>0</v>
      </c>
      <c r="GP98" s="28">
        <v>0</v>
      </c>
      <c r="GQ98" s="21">
        <v>35.917719848329362</v>
      </c>
      <c r="GR98" s="21">
        <v>2.5602005330929498</v>
      </c>
      <c r="GS98" s="20">
        <v>2.5602005330929498</v>
      </c>
      <c r="GT98" s="20">
        <v>0</v>
      </c>
      <c r="GU98" s="20">
        <v>0</v>
      </c>
      <c r="GV98" s="20">
        <v>0</v>
      </c>
      <c r="GW98" s="20">
        <v>0</v>
      </c>
      <c r="GX98" s="21">
        <v>-0.32750679324195886</v>
      </c>
      <c r="GY98" s="20">
        <v>0</v>
      </c>
      <c r="GZ98" s="20">
        <v>-0.32750679324195886</v>
      </c>
      <c r="HA98" s="20"/>
      <c r="HB98" s="21">
        <v>6.8629922160000003</v>
      </c>
      <c r="HC98" s="21">
        <v>45.013405804180358</v>
      </c>
    </row>
    <row r="99" spans="2:211" s="7" customFormat="1" ht="17.25" customHeight="1">
      <c r="B99" s="26" t="s">
        <v>85</v>
      </c>
      <c r="C99" s="9" t="s">
        <v>515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0</v>
      </c>
      <c r="EK99" s="28">
        <v>0</v>
      </c>
      <c r="EL99" s="28">
        <v>0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  <c r="EU99" s="28">
        <v>0</v>
      </c>
      <c r="EV99" s="28">
        <v>0</v>
      </c>
      <c r="EW99" s="28">
        <v>0</v>
      </c>
      <c r="EX99" s="28">
        <v>0</v>
      </c>
      <c r="EY99" s="28">
        <v>0</v>
      </c>
      <c r="EZ99" s="28">
        <v>0</v>
      </c>
      <c r="FA99" s="28">
        <v>0</v>
      </c>
      <c r="FB99" s="28">
        <v>0</v>
      </c>
      <c r="FC99" s="28">
        <v>0</v>
      </c>
      <c r="FD99" s="28">
        <v>0</v>
      </c>
      <c r="FE99" s="28">
        <v>0</v>
      </c>
      <c r="FF99" s="28">
        <v>0</v>
      </c>
      <c r="FG99" s="28">
        <v>0</v>
      </c>
      <c r="FH99" s="28">
        <v>0</v>
      </c>
      <c r="FI99" s="28">
        <v>0</v>
      </c>
      <c r="FJ99" s="28">
        <v>0</v>
      </c>
      <c r="FK99" s="28">
        <v>0</v>
      </c>
      <c r="FL99" s="28">
        <v>0</v>
      </c>
      <c r="FM99" s="28">
        <v>0</v>
      </c>
      <c r="FN99" s="28">
        <v>0</v>
      </c>
      <c r="FO99" s="28">
        <v>0</v>
      </c>
      <c r="FP99" s="28">
        <v>0</v>
      </c>
      <c r="FQ99" s="28">
        <v>0</v>
      </c>
      <c r="FR99" s="28">
        <v>0</v>
      </c>
      <c r="FS99" s="28">
        <v>0</v>
      </c>
      <c r="FT99" s="28">
        <v>0</v>
      </c>
      <c r="FU99" s="28">
        <v>0</v>
      </c>
      <c r="FV99" s="28">
        <v>0</v>
      </c>
      <c r="FW99" s="28">
        <v>0</v>
      </c>
      <c r="FX99" s="28">
        <v>0</v>
      </c>
      <c r="FY99" s="28">
        <v>0</v>
      </c>
      <c r="FZ99" s="28">
        <v>0</v>
      </c>
      <c r="GA99" s="28">
        <v>0</v>
      </c>
      <c r="GB99" s="28">
        <v>0</v>
      </c>
      <c r="GC99" s="28">
        <v>0</v>
      </c>
      <c r="GD99" s="28">
        <v>0</v>
      </c>
      <c r="GE99" s="28">
        <v>0</v>
      </c>
      <c r="GF99" s="28">
        <v>0</v>
      </c>
      <c r="GG99" s="28">
        <v>0</v>
      </c>
      <c r="GH99" s="28">
        <v>0</v>
      </c>
      <c r="GI99" s="28">
        <v>0</v>
      </c>
      <c r="GJ99" s="28">
        <v>0</v>
      </c>
      <c r="GK99" s="28">
        <v>0</v>
      </c>
      <c r="GL99" s="28">
        <v>0</v>
      </c>
      <c r="GM99" s="28">
        <v>0</v>
      </c>
      <c r="GN99" s="28">
        <v>0</v>
      </c>
      <c r="GO99" s="28">
        <v>0</v>
      </c>
      <c r="GP99" s="28">
        <v>0</v>
      </c>
      <c r="GQ99" s="21">
        <v>0</v>
      </c>
      <c r="GR99" s="21">
        <v>0</v>
      </c>
      <c r="GS99" s="20">
        <v>0</v>
      </c>
      <c r="GT99" s="20">
        <v>0</v>
      </c>
      <c r="GU99" s="20">
        <v>0</v>
      </c>
      <c r="GV99" s="20">
        <v>0</v>
      </c>
      <c r="GW99" s="20">
        <v>0</v>
      </c>
      <c r="GX99" s="21">
        <v>41.684023912621441</v>
      </c>
      <c r="GY99" s="20">
        <v>0</v>
      </c>
      <c r="GZ99" s="20">
        <v>41.684023912621441</v>
      </c>
      <c r="HA99" s="20"/>
      <c r="HB99" s="21">
        <v>1491.5099574528001</v>
      </c>
      <c r="HC99" s="21">
        <v>1533.1939813654215</v>
      </c>
    </row>
    <row r="100" spans="2:211" s="7" customFormat="1" ht="17.25" customHeight="1">
      <c r="B100" s="26" t="s">
        <v>516</v>
      </c>
      <c r="C100" s="9" t="s">
        <v>517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0</v>
      </c>
      <c r="CR100" s="28">
        <v>0</v>
      </c>
      <c r="CS100" s="28">
        <v>0</v>
      </c>
      <c r="CT100" s="28">
        <v>0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0</v>
      </c>
      <c r="DJ100" s="28">
        <v>0</v>
      </c>
      <c r="DK100" s="28">
        <v>0</v>
      </c>
      <c r="DL100" s="28">
        <v>0</v>
      </c>
      <c r="DM100" s="28">
        <v>0</v>
      </c>
      <c r="DN100" s="28">
        <v>0</v>
      </c>
      <c r="DO100" s="28">
        <v>0</v>
      </c>
      <c r="DP100" s="28">
        <v>0</v>
      </c>
      <c r="DQ100" s="28">
        <v>0</v>
      </c>
      <c r="DR100" s="28">
        <v>0</v>
      </c>
      <c r="DS100" s="28">
        <v>0</v>
      </c>
      <c r="DT100" s="28">
        <v>0</v>
      </c>
      <c r="DU100" s="28">
        <v>0</v>
      </c>
      <c r="DV100" s="28">
        <v>0</v>
      </c>
      <c r="DW100" s="28">
        <v>0</v>
      </c>
      <c r="DX100" s="28">
        <v>0</v>
      </c>
      <c r="DY100" s="28">
        <v>0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0</v>
      </c>
      <c r="EF100" s="28">
        <v>0</v>
      </c>
      <c r="EG100" s="28">
        <v>0</v>
      </c>
      <c r="EH100" s="28">
        <v>0</v>
      </c>
      <c r="EI100" s="28">
        <v>0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28">
        <v>0</v>
      </c>
      <c r="ER100" s="28">
        <v>0</v>
      </c>
      <c r="ES100" s="28">
        <v>0</v>
      </c>
      <c r="ET100" s="28">
        <v>0</v>
      </c>
      <c r="EU100" s="28">
        <v>0</v>
      </c>
      <c r="EV100" s="28">
        <v>0</v>
      </c>
      <c r="EW100" s="28">
        <v>0</v>
      </c>
      <c r="EX100" s="28">
        <v>0</v>
      </c>
      <c r="EY100" s="28">
        <v>0</v>
      </c>
      <c r="EZ100" s="28">
        <v>0</v>
      </c>
      <c r="FA100" s="28">
        <v>0</v>
      </c>
      <c r="FB100" s="28">
        <v>0</v>
      </c>
      <c r="FC100" s="28">
        <v>0</v>
      </c>
      <c r="FD100" s="28">
        <v>0</v>
      </c>
      <c r="FE100" s="28">
        <v>0</v>
      </c>
      <c r="FF100" s="28">
        <v>0</v>
      </c>
      <c r="FG100" s="28">
        <v>0</v>
      </c>
      <c r="FH100" s="28">
        <v>0</v>
      </c>
      <c r="FI100" s="28">
        <v>0</v>
      </c>
      <c r="FJ100" s="28">
        <v>0</v>
      </c>
      <c r="FK100" s="28">
        <v>0</v>
      </c>
      <c r="FL100" s="28">
        <v>0</v>
      </c>
      <c r="FM100" s="28">
        <v>0</v>
      </c>
      <c r="FN100" s="28">
        <v>0</v>
      </c>
      <c r="FO100" s="28">
        <v>0</v>
      </c>
      <c r="FP100" s="28">
        <v>0</v>
      </c>
      <c r="FQ100" s="28">
        <v>0</v>
      </c>
      <c r="FR100" s="28">
        <v>0</v>
      </c>
      <c r="FS100" s="28">
        <v>0</v>
      </c>
      <c r="FT100" s="28">
        <v>0</v>
      </c>
      <c r="FU100" s="28">
        <v>0</v>
      </c>
      <c r="FV100" s="28">
        <v>0</v>
      </c>
      <c r="FW100" s="28">
        <v>0</v>
      </c>
      <c r="FX100" s="28">
        <v>0</v>
      </c>
      <c r="FY100" s="28">
        <v>0</v>
      </c>
      <c r="FZ100" s="28">
        <v>0</v>
      </c>
      <c r="GA100" s="28">
        <v>0</v>
      </c>
      <c r="GB100" s="28">
        <v>0</v>
      </c>
      <c r="GC100" s="28">
        <v>0</v>
      </c>
      <c r="GD100" s="28">
        <v>0</v>
      </c>
      <c r="GE100" s="28">
        <v>0</v>
      </c>
      <c r="GF100" s="28">
        <v>0</v>
      </c>
      <c r="GG100" s="28">
        <v>0</v>
      </c>
      <c r="GH100" s="28">
        <v>0</v>
      </c>
      <c r="GI100" s="28">
        <v>0</v>
      </c>
      <c r="GJ100" s="28">
        <v>0</v>
      </c>
      <c r="GK100" s="28">
        <v>0</v>
      </c>
      <c r="GL100" s="28">
        <v>0</v>
      </c>
      <c r="GM100" s="28">
        <v>0</v>
      </c>
      <c r="GN100" s="28">
        <v>0</v>
      </c>
      <c r="GO100" s="28">
        <v>0</v>
      </c>
      <c r="GP100" s="28">
        <v>0</v>
      </c>
      <c r="GQ100" s="21">
        <v>0</v>
      </c>
      <c r="GR100" s="21">
        <v>0</v>
      </c>
      <c r="GS100" s="20">
        <v>0</v>
      </c>
      <c r="GT100" s="20">
        <v>0</v>
      </c>
      <c r="GU100" s="20">
        <v>0</v>
      </c>
      <c r="GV100" s="20">
        <v>0</v>
      </c>
      <c r="GW100" s="20">
        <v>0</v>
      </c>
      <c r="GX100" s="21">
        <v>9.0631169375111703E-2</v>
      </c>
      <c r="GY100" s="20">
        <v>0</v>
      </c>
      <c r="GZ100" s="20">
        <v>9.0631169375111703E-2</v>
      </c>
      <c r="HA100" s="20"/>
      <c r="HB100" s="21">
        <v>165.36567288960001</v>
      </c>
      <c r="HC100" s="21">
        <v>165.45630405897512</v>
      </c>
    </row>
    <row r="101" spans="2:211" s="7" customFormat="1" ht="17.25" customHeight="1">
      <c r="B101" s="26" t="s">
        <v>518</v>
      </c>
      <c r="C101" s="9" t="s">
        <v>519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9.2761539021175299</v>
      </c>
      <c r="DR101" s="28">
        <v>0</v>
      </c>
      <c r="DS101" s="28">
        <v>2.6573000000000002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28">
        <v>0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  <c r="EU101" s="28">
        <v>0</v>
      </c>
      <c r="EV101" s="28">
        <v>0</v>
      </c>
      <c r="EW101" s="28">
        <v>0</v>
      </c>
      <c r="EX101" s="28">
        <v>0</v>
      </c>
      <c r="EY101" s="28">
        <v>0</v>
      </c>
      <c r="EZ101" s="28">
        <v>0</v>
      </c>
      <c r="FA101" s="28">
        <v>0</v>
      </c>
      <c r="FB101" s="28">
        <v>0</v>
      </c>
      <c r="FC101" s="28">
        <v>0</v>
      </c>
      <c r="FD101" s="28">
        <v>0</v>
      </c>
      <c r="FE101" s="28">
        <v>0</v>
      </c>
      <c r="FF101" s="28">
        <v>0</v>
      </c>
      <c r="FG101" s="28">
        <v>0</v>
      </c>
      <c r="FH101" s="28">
        <v>0</v>
      </c>
      <c r="FI101" s="28">
        <v>0</v>
      </c>
      <c r="FJ101" s="28">
        <v>0</v>
      </c>
      <c r="FK101" s="28">
        <v>0</v>
      </c>
      <c r="FL101" s="28">
        <v>0</v>
      </c>
      <c r="FM101" s="28">
        <v>0</v>
      </c>
      <c r="FN101" s="28">
        <v>0</v>
      </c>
      <c r="FO101" s="28">
        <v>0</v>
      </c>
      <c r="FP101" s="28">
        <v>0</v>
      </c>
      <c r="FQ101" s="28">
        <v>0</v>
      </c>
      <c r="FR101" s="28">
        <v>0</v>
      </c>
      <c r="FS101" s="28">
        <v>0</v>
      </c>
      <c r="FT101" s="28">
        <v>0</v>
      </c>
      <c r="FU101" s="28">
        <v>0</v>
      </c>
      <c r="FV101" s="28">
        <v>0</v>
      </c>
      <c r="FW101" s="28">
        <v>0</v>
      </c>
      <c r="FX101" s="28">
        <v>0</v>
      </c>
      <c r="FY101" s="28">
        <v>0</v>
      </c>
      <c r="FZ101" s="28">
        <v>0</v>
      </c>
      <c r="GA101" s="28">
        <v>0</v>
      </c>
      <c r="GB101" s="28">
        <v>0</v>
      </c>
      <c r="GC101" s="28">
        <v>0</v>
      </c>
      <c r="GD101" s="28">
        <v>0</v>
      </c>
      <c r="GE101" s="28">
        <v>0</v>
      </c>
      <c r="GF101" s="28">
        <v>0</v>
      </c>
      <c r="GG101" s="28">
        <v>0</v>
      </c>
      <c r="GH101" s="28">
        <v>0</v>
      </c>
      <c r="GI101" s="28">
        <v>0</v>
      </c>
      <c r="GJ101" s="28">
        <v>0</v>
      </c>
      <c r="GK101" s="28">
        <v>0</v>
      </c>
      <c r="GL101" s="28">
        <v>0</v>
      </c>
      <c r="GM101" s="28">
        <v>0</v>
      </c>
      <c r="GN101" s="28">
        <v>0</v>
      </c>
      <c r="GO101" s="28">
        <v>0</v>
      </c>
      <c r="GP101" s="28">
        <v>0</v>
      </c>
      <c r="GQ101" s="21">
        <v>11.933453902117501</v>
      </c>
      <c r="GR101" s="21">
        <v>0</v>
      </c>
      <c r="GS101" s="20">
        <v>0</v>
      </c>
      <c r="GT101" s="20">
        <v>0</v>
      </c>
      <c r="GU101" s="20">
        <v>0</v>
      </c>
      <c r="GV101" s="20">
        <v>0</v>
      </c>
      <c r="GW101" s="20">
        <v>0</v>
      </c>
      <c r="GX101" s="21">
        <v>5.026549942504893</v>
      </c>
      <c r="GY101" s="20">
        <v>0</v>
      </c>
      <c r="GZ101" s="20">
        <v>5.026549942504893</v>
      </c>
      <c r="HA101" s="20"/>
      <c r="HB101" s="21">
        <v>0.67612768325591999</v>
      </c>
      <c r="HC101" s="21">
        <v>17.636131527878312</v>
      </c>
    </row>
    <row r="102" spans="2:211" s="7" customFormat="1" ht="17.25" customHeight="1">
      <c r="B102" s="26" t="s">
        <v>86</v>
      </c>
      <c r="C102" s="9" t="s">
        <v>520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6.3266641850519501E-2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4.2337091469710599E-3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1.96300707285058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2.0279700756072998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5.1999999999999998E-2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0</v>
      </c>
      <c r="EU102" s="28">
        <v>0</v>
      </c>
      <c r="EV102" s="28">
        <v>0</v>
      </c>
      <c r="EW102" s="28">
        <v>0</v>
      </c>
      <c r="EX102" s="28">
        <v>0</v>
      </c>
      <c r="EY102" s="28">
        <v>0</v>
      </c>
      <c r="EZ102" s="28">
        <v>0</v>
      </c>
      <c r="FA102" s="28">
        <v>0</v>
      </c>
      <c r="FB102" s="28">
        <v>0</v>
      </c>
      <c r="FC102" s="28">
        <v>0</v>
      </c>
      <c r="FD102" s="28">
        <v>0</v>
      </c>
      <c r="FE102" s="28">
        <v>0</v>
      </c>
      <c r="FF102" s="28">
        <v>0</v>
      </c>
      <c r="FG102" s="28">
        <v>0</v>
      </c>
      <c r="FH102" s="28">
        <v>0</v>
      </c>
      <c r="FI102" s="28">
        <v>0</v>
      </c>
      <c r="FJ102" s="28">
        <v>0</v>
      </c>
      <c r="FK102" s="28">
        <v>0</v>
      </c>
      <c r="FL102" s="28">
        <v>0</v>
      </c>
      <c r="FM102" s="28">
        <v>0</v>
      </c>
      <c r="FN102" s="28">
        <v>0</v>
      </c>
      <c r="FO102" s="28">
        <v>0</v>
      </c>
      <c r="FP102" s="28">
        <v>0</v>
      </c>
      <c r="FQ102" s="28">
        <v>0</v>
      </c>
      <c r="FR102" s="28">
        <v>0</v>
      </c>
      <c r="FS102" s="28">
        <v>3.7290028896207601</v>
      </c>
      <c r="FT102" s="28">
        <v>296.35627832271399</v>
      </c>
      <c r="FU102" s="28">
        <v>0</v>
      </c>
      <c r="FV102" s="28">
        <v>0</v>
      </c>
      <c r="FW102" s="28">
        <v>0</v>
      </c>
      <c r="FX102" s="28">
        <v>0</v>
      </c>
      <c r="FY102" s="28">
        <v>0</v>
      </c>
      <c r="FZ102" s="28">
        <v>0</v>
      </c>
      <c r="GA102" s="28">
        <v>0</v>
      </c>
      <c r="GB102" s="28">
        <v>0</v>
      </c>
      <c r="GC102" s="28">
        <v>0</v>
      </c>
      <c r="GD102" s="28">
        <v>0</v>
      </c>
      <c r="GE102" s="28">
        <v>0</v>
      </c>
      <c r="GF102" s="28">
        <v>0</v>
      </c>
      <c r="GG102" s="28">
        <v>14.8220085997709</v>
      </c>
      <c r="GH102" s="28">
        <v>0</v>
      </c>
      <c r="GI102" s="28">
        <v>0</v>
      </c>
      <c r="GJ102" s="28">
        <v>0.224246936702028</v>
      </c>
      <c r="GK102" s="28">
        <v>0</v>
      </c>
      <c r="GL102" s="28">
        <v>0</v>
      </c>
      <c r="GM102" s="28">
        <v>0</v>
      </c>
      <c r="GN102" s="28">
        <v>0</v>
      </c>
      <c r="GO102" s="28">
        <v>0</v>
      </c>
      <c r="GP102" s="28">
        <v>0</v>
      </c>
      <c r="GQ102" s="21">
        <v>319.24201424826333</v>
      </c>
      <c r="GR102" s="21">
        <v>1324.5630865932701</v>
      </c>
      <c r="GS102" s="20">
        <v>1324.3623265250301</v>
      </c>
      <c r="GT102" s="20">
        <v>0</v>
      </c>
      <c r="GU102" s="20">
        <v>0.20076006824011092</v>
      </c>
      <c r="GV102" s="20">
        <v>0.20076006824011092</v>
      </c>
      <c r="GW102" s="20">
        <v>0</v>
      </c>
      <c r="GX102" s="21">
        <v>24.100155984632664</v>
      </c>
      <c r="GY102" s="20">
        <v>0</v>
      </c>
      <c r="GZ102" s="20">
        <v>24.100155984632664</v>
      </c>
      <c r="HA102" s="20"/>
      <c r="HB102" s="21">
        <v>300.368258557182</v>
      </c>
      <c r="HC102" s="21">
        <v>1968.2735153833482</v>
      </c>
    </row>
    <row r="103" spans="2:211" s="7" customFormat="1" ht="17.25" customHeight="1">
      <c r="B103" s="26" t="s">
        <v>521</v>
      </c>
      <c r="C103" s="9" t="s">
        <v>522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6.6976190561081599E-3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4.4857655797497396E-3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0</v>
      </c>
      <c r="CG103" s="28">
        <v>0</v>
      </c>
      <c r="CH103" s="28">
        <v>0</v>
      </c>
      <c r="CI103" s="28">
        <v>0</v>
      </c>
      <c r="CJ103" s="28">
        <v>0</v>
      </c>
      <c r="CK103" s="28">
        <v>0</v>
      </c>
      <c r="CL103" s="28">
        <v>12.750975510568001</v>
      </c>
      <c r="CM103" s="28">
        <v>0</v>
      </c>
      <c r="CN103" s="28">
        <v>0</v>
      </c>
      <c r="CO103" s="28">
        <v>0</v>
      </c>
      <c r="CP103" s="28">
        <v>0</v>
      </c>
      <c r="CQ103" s="28">
        <v>0</v>
      </c>
      <c r="CR103" s="28">
        <v>0</v>
      </c>
      <c r="CS103" s="28">
        <v>0</v>
      </c>
      <c r="CT103" s="28">
        <v>0</v>
      </c>
      <c r="CU103" s="28">
        <v>0</v>
      </c>
      <c r="CV103" s="28">
        <v>0</v>
      </c>
      <c r="CW103" s="28">
        <v>0</v>
      </c>
      <c r="CX103" s="28">
        <v>0</v>
      </c>
      <c r="CY103" s="28">
        <v>0</v>
      </c>
      <c r="CZ103" s="28">
        <v>0</v>
      </c>
      <c r="DA103" s="28">
        <v>0</v>
      </c>
      <c r="DB103" s="28">
        <v>0</v>
      </c>
      <c r="DC103" s="28">
        <v>0</v>
      </c>
      <c r="DD103" s="28">
        <v>0</v>
      </c>
      <c r="DE103" s="28">
        <v>0</v>
      </c>
      <c r="DF103" s="28">
        <v>0</v>
      </c>
      <c r="DG103" s="28">
        <v>0</v>
      </c>
      <c r="DH103" s="28">
        <v>0</v>
      </c>
      <c r="DI103" s="28">
        <v>0</v>
      </c>
      <c r="DJ103" s="28">
        <v>0</v>
      </c>
      <c r="DK103" s="28">
        <v>0</v>
      </c>
      <c r="DL103" s="28">
        <v>0</v>
      </c>
      <c r="DM103" s="28">
        <v>0</v>
      </c>
      <c r="DN103" s="28">
        <v>0</v>
      </c>
      <c r="DO103" s="28">
        <v>0</v>
      </c>
      <c r="DP103" s="28">
        <v>0</v>
      </c>
      <c r="DQ103" s="28">
        <v>0</v>
      </c>
      <c r="DR103" s="28">
        <v>0</v>
      </c>
      <c r="DS103" s="28">
        <v>0</v>
      </c>
      <c r="DT103" s="28">
        <v>0</v>
      </c>
      <c r="DU103" s="28">
        <v>0</v>
      </c>
      <c r="DV103" s="28">
        <v>0</v>
      </c>
      <c r="DW103" s="28">
        <v>0</v>
      </c>
      <c r="DX103" s="28">
        <v>0</v>
      </c>
      <c r="DY103" s="28">
        <v>0</v>
      </c>
      <c r="DZ103" s="28">
        <v>0</v>
      </c>
      <c r="EA103" s="28">
        <v>0</v>
      </c>
      <c r="EB103" s="28">
        <v>0</v>
      </c>
      <c r="EC103" s="28">
        <v>0</v>
      </c>
      <c r="ED103" s="28">
        <v>0</v>
      </c>
      <c r="EE103" s="28">
        <v>0</v>
      </c>
      <c r="EF103" s="28">
        <v>0</v>
      </c>
      <c r="EG103" s="28">
        <v>0</v>
      </c>
      <c r="EH103" s="28">
        <v>0</v>
      </c>
      <c r="EI103" s="28">
        <v>0</v>
      </c>
      <c r="EJ103" s="28">
        <v>0</v>
      </c>
      <c r="EK103" s="28">
        <v>0</v>
      </c>
      <c r="EL103" s="28">
        <v>0</v>
      </c>
      <c r="EM103" s="28">
        <v>0</v>
      </c>
      <c r="EN103" s="28">
        <v>0</v>
      </c>
      <c r="EO103" s="28">
        <v>0</v>
      </c>
      <c r="EP103" s="28">
        <v>0</v>
      </c>
      <c r="EQ103" s="28">
        <v>0</v>
      </c>
      <c r="ER103" s="28">
        <v>0</v>
      </c>
      <c r="ES103" s="28">
        <v>0</v>
      </c>
      <c r="ET103" s="28">
        <v>0</v>
      </c>
      <c r="EU103" s="28">
        <v>0</v>
      </c>
      <c r="EV103" s="28">
        <v>0</v>
      </c>
      <c r="EW103" s="28">
        <v>0</v>
      </c>
      <c r="EX103" s="28">
        <v>0</v>
      </c>
      <c r="EY103" s="28">
        <v>0</v>
      </c>
      <c r="EZ103" s="28">
        <v>0</v>
      </c>
      <c r="FA103" s="28">
        <v>0</v>
      </c>
      <c r="FB103" s="28">
        <v>0</v>
      </c>
      <c r="FC103" s="28">
        <v>0</v>
      </c>
      <c r="FD103" s="28">
        <v>0</v>
      </c>
      <c r="FE103" s="28">
        <v>0</v>
      </c>
      <c r="FF103" s="28">
        <v>0</v>
      </c>
      <c r="FG103" s="28">
        <v>0</v>
      </c>
      <c r="FH103" s="28">
        <v>0</v>
      </c>
      <c r="FI103" s="28">
        <v>0</v>
      </c>
      <c r="FJ103" s="28">
        <v>0</v>
      </c>
      <c r="FK103" s="28">
        <v>0</v>
      </c>
      <c r="FL103" s="28">
        <v>0</v>
      </c>
      <c r="FM103" s="28">
        <v>0</v>
      </c>
      <c r="FN103" s="28">
        <v>0</v>
      </c>
      <c r="FO103" s="28">
        <v>0</v>
      </c>
      <c r="FP103" s="28">
        <v>0</v>
      </c>
      <c r="FQ103" s="28">
        <v>0</v>
      </c>
      <c r="FR103" s="28">
        <v>0</v>
      </c>
      <c r="FS103" s="28">
        <v>2.9013362547457199E-2</v>
      </c>
      <c r="FT103" s="28">
        <v>2.3057885447405702</v>
      </c>
      <c r="FU103" s="28">
        <v>0</v>
      </c>
      <c r="FV103" s="28">
        <v>0</v>
      </c>
      <c r="FW103" s="28">
        <v>0</v>
      </c>
      <c r="FX103" s="28">
        <v>0</v>
      </c>
      <c r="FY103" s="28">
        <v>0</v>
      </c>
      <c r="FZ103" s="28">
        <v>0</v>
      </c>
      <c r="GA103" s="28">
        <v>0</v>
      </c>
      <c r="GB103" s="28">
        <v>0</v>
      </c>
      <c r="GC103" s="28">
        <v>0</v>
      </c>
      <c r="GD103" s="28">
        <v>0</v>
      </c>
      <c r="GE103" s="28">
        <v>0</v>
      </c>
      <c r="GF103" s="28">
        <v>0</v>
      </c>
      <c r="GG103" s="28">
        <v>0</v>
      </c>
      <c r="GH103" s="28">
        <v>0</v>
      </c>
      <c r="GI103" s="28">
        <v>0</v>
      </c>
      <c r="GJ103" s="28">
        <v>0</v>
      </c>
      <c r="GK103" s="28">
        <v>0</v>
      </c>
      <c r="GL103" s="28">
        <v>0</v>
      </c>
      <c r="GM103" s="28">
        <v>0</v>
      </c>
      <c r="GN103" s="28">
        <v>0</v>
      </c>
      <c r="GO103" s="28">
        <v>0</v>
      </c>
      <c r="GP103" s="28">
        <v>0</v>
      </c>
      <c r="GQ103" s="21">
        <v>15.096960802491878</v>
      </c>
      <c r="GR103" s="21">
        <v>191.38848509128499</v>
      </c>
      <c r="GS103" s="20">
        <v>181.94686529069045</v>
      </c>
      <c r="GT103" s="20">
        <v>0</v>
      </c>
      <c r="GU103" s="20">
        <v>9.4416198005945269</v>
      </c>
      <c r="GV103" s="20">
        <v>9.4416198005945269</v>
      </c>
      <c r="GW103" s="20">
        <v>0</v>
      </c>
      <c r="GX103" s="21">
        <v>5.7276411134891179</v>
      </c>
      <c r="GY103" s="20">
        <v>0</v>
      </c>
      <c r="GZ103" s="20">
        <v>5.7276411134891179</v>
      </c>
      <c r="HA103" s="20"/>
      <c r="HB103" s="21">
        <v>50.188205270949702</v>
      </c>
      <c r="HC103" s="21">
        <v>262.40129227821569</v>
      </c>
    </row>
    <row r="104" spans="2:211" s="7" customFormat="1" ht="17.25" customHeight="1">
      <c r="B104" s="26" t="s">
        <v>523</v>
      </c>
      <c r="C104" s="9" t="s">
        <v>524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1.7878278602316399E-2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1.20946255009339E-2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13.201908532513199</v>
      </c>
      <c r="BP104" s="28">
        <v>1.0687737725322699</v>
      </c>
      <c r="BQ104" s="28">
        <v>0</v>
      </c>
      <c r="BR104" s="28">
        <v>0</v>
      </c>
      <c r="BS104" s="28">
        <v>0</v>
      </c>
      <c r="BT104" s="28">
        <v>101.832512271826</v>
      </c>
      <c r="BU104" s="28">
        <v>0</v>
      </c>
      <c r="BV104" s="28">
        <v>82.796089584806296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0</v>
      </c>
      <c r="CG104" s="28">
        <v>0</v>
      </c>
      <c r="CH104" s="28">
        <v>0.18210997867612999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1.369</v>
      </c>
      <c r="CX104" s="28">
        <v>0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3.2587942400688998E-2</v>
      </c>
      <c r="DT104" s="28">
        <v>0</v>
      </c>
      <c r="DU104" s="28">
        <v>0</v>
      </c>
      <c r="DV104" s="28">
        <v>0</v>
      </c>
      <c r="DW104" s="28">
        <v>0</v>
      </c>
      <c r="DX104" s="28">
        <v>0</v>
      </c>
      <c r="DY104" s="28">
        <v>0</v>
      </c>
      <c r="DZ104" s="28">
        <v>0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  <c r="EU104" s="28">
        <v>0</v>
      </c>
      <c r="EV104" s="28">
        <v>0</v>
      </c>
      <c r="EW104" s="28">
        <v>0</v>
      </c>
      <c r="EX104" s="28">
        <v>0</v>
      </c>
      <c r="EY104" s="28">
        <v>0</v>
      </c>
      <c r="EZ104" s="28">
        <v>0</v>
      </c>
      <c r="FA104" s="28">
        <v>0</v>
      </c>
      <c r="FB104" s="28">
        <v>0</v>
      </c>
      <c r="FC104" s="28">
        <v>0</v>
      </c>
      <c r="FD104" s="28">
        <v>0</v>
      </c>
      <c r="FE104" s="28">
        <v>0</v>
      </c>
      <c r="FF104" s="28">
        <v>0</v>
      </c>
      <c r="FG104" s="28">
        <v>0</v>
      </c>
      <c r="FH104" s="28">
        <v>0</v>
      </c>
      <c r="FI104" s="28">
        <v>0</v>
      </c>
      <c r="FJ104" s="28">
        <v>0</v>
      </c>
      <c r="FK104" s="28">
        <v>0</v>
      </c>
      <c r="FL104" s="28">
        <v>0</v>
      </c>
      <c r="FM104" s="28">
        <v>0</v>
      </c>
      <c r="FN104" s="28">
        <v>0</v>
      </c>
      <c r="FO104" s="28">
        <v>0</v>
      </c>
      <c r="FP104" s="28">
        <v>0</v>
      </c>
      <c r="FQ104" s="28">
        <v>0</v>
      </c>
      <c r="FR104" s="28">
        <v>0</v>
      </c>
      <c r="FS104" s="28">
        <v>0.759350844480841</v>
      </c>
      <c r="FT104" s="28">
        <v>60.3481404742056</v>
      </c>
      <c r="FU104" s="28">
        <v>0</v>
      </c>
      <c r="FV104" s="28">
        <v>0</v>
      </c>
      <c r="FW104" s="28">
        <v>0</v>
      </c>
      <c r="FX104" s="28">
        <v>0</v>
      </c>
      <c r="FY104" s="28">
        <v>0</v>
      </c>
      <c r="FZ104" s="28">
        <v>0</v>
      </c>
      <c r="GA104" s="28">
        <v>0</v>
      </c>
      <c r="GB104" s="28">
        <v>0</v>
      </c>
      <c r="GC104" s="28">
        <v>0</v>
      </c>
      <c r="GD104" s="28">
        <v>0</v>
      </c>
      <c r="GE104" s="28">
        <v>0</v>
      </c>
      <c r="GF104" s="28">
        <v>0</v>
      </c>
      <c r="GG104" s="28">
        <v>0.83008758170771202</v>
      </c>
      <c r="GH104" s="28">
        <v>0</v>
      </c>
      <c r="GI104" s="28">
        <v>0</v>
      </c>
      <c r="GJ104" s="28">
        <v>0</v>
      </c>
      <c r="GK104" s="28">
        <v>0</v>
      </c>
      <c r="GL104" s="28">
        <v>0</v>
      </c>
      <c r="GM104" s="28">
        <v>0</v>
      </c>
      <c r="GN104" s="28">
        <v>0</v>
      </c>
      <c r="GO104" s="28">
        <v>0</v>
      </c>
      <c r="GP104" s="28">
        <v>0</v>
      </c>
      <c r="GQ104" s="21">
        <v>262.45053388725165</v>
      </c>
      <c r="GR104" s="21">
        <v>80.177265243009202</v>
      </c>
      <c r="GS104" s="20">
        <v>79.991617960465206</v>
      </c>
      <c r="GT104" s="20">
        <v>0</v>
      </c>
      <c r="GU104" s="20">
        <v>0.18564728254399282</v>
      </c>
      <c r="GV104" s="20">
        <v>0.18564728254399282</v>
      </c>
      <c r="GW104" s="20">
        <v>0</v>
      </c>
      <c r="GX104" s="21">
        <v>23.182508205447437</v>
      </c>
      <c r="GY104" s="20">
        <v>0</v>
      </c>
      <c r="GZ104" s="20">
        <v>23.182508205447437</v>
      </c>
      <c r="HA104" s="20"/>
      <c r="HB104" s="21">
        <v>0</v>
      </c>
      <c r="HC104" s="21">
        <v>365.81030733570833</v>
      </c>
    </row>
    <row r="105" spans="2:211" s="7" customFormat="1" ht="17.25" customHeight="1">
      <c r="B105" s="26" t="s">
        <v>525</v>
      </c>
      <c r="C105" s="9" t="s">
        <v>526</v>
      </c>
      <c r="D105" s="28">
        <v>0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4.6591523962641601E-2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2.5371944571316599E-2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2.0111309999999998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15.8292845889479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4.8838928341865496E-3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0</v>
      </c>
      <c r="DN105" s="28">
        <v>0</v>
      </c>
      <c r="DO105" s="28">
        <v>0</v>
      </c>
      <c r="DP105" s="28">
        <v>0</v>
      </c>
      <c r="DQ105" s="28">
        <v>0.16110810123012201</v>
      </c>
      <c r="DR105" s="28">
        <v>1.0819595842069101</v>
      </c>
      <c r="DS105" s="28">
        <v>0</v>
      </c>
      <c r="DT105" s="28">
        <v>0</v>
      </c>
      <c r="DU105" s="28">
        <v>0</v>
      </c>
      <c r="DV105" s="28">
        <v>0</v>
      </c>
      <c r="DW105" s="28">
        <v>0</v>
      </c>
      <c r="DX105" s="28">
        <v>0</v>
      </c>
      <c r="DY105" s="28">
        <v>0</v>
      </c>
      <c r="DZ105" s="28">
        <v>0</v>
      </c>
      <c r="EA105" s="28">
        <v>0</v>
      </c>
      <c r="EB105" s="28">
        <v>0</v>
      </c>
      <c r="EC105" s="28">
        <v>0</v>
      </c>
      <c r="ED105" s="28">
        <v>0</v>
      </c>
      <c r="EE105" s="28">
        <v>0</v>
      </c>
      <c r="EF105" s="28">
        <v>0</v>
      </c>
      <c r="EG105" s="28">
        <v>0</v>
      </c>
      <c r="EH105" s="28">
        <v>0</v>
      </c>
      <c r="EI105" s="28">
        <v>0</v>
      </c>
      <c r="EJ105" s="28">
        <v>0</v>
      </c>
      <c r="EK105" s="28">
        <v>0</v>
      </c>
      <c r="EL105" s="28">
        <v>0</v>
      </c>
      <c r="EM105" s="28">
        <v>0</v>
      </c>
      <c r="EN105" s="28">
        <v>0</v>
      </c>
      <c r="EO105" s="28">
        <v>0</v>
      </c>
      <c r="EP105" s="28">
        <v>0</v>
      </c>
      <c r="EQ105" s="28">
        <v>0</v>
      </c>
      <c r="ER105" s="28">
        <v>0</v>
      </c>
      <c r="ES105" s="28">
        <v>0</v>
      </c>
      <c r="ET105" s="28">
        <v>0</v>
      </c>
      <c r="EU105" s="28">
        <v>0</v>
      </c>
      <c r="EV105" s="28">
        <v>0</v>
      </c>
      <c r="EW105" s="28">
        <v>0</v>
      </c>
      <c r="EX105" s="28">
        <v>0</v>
      </c>
      <c r="EY105" s="28">
        <v>0</v>
      </c>
      <c r="EZ105" s="28">
        <v>0</v>
      </c>
      <c r="FA105" s="28">
        <v>0</v>
      </c>
      <c r="FB105" s="28">
        <v>0</v>
      </c>
      <c r="FC105" s="28">
        <v>0</v>
      </c>
      <c r="FD105" s="28">
        <v>0</v>
      </c>
      <c r="FE105" s="28">
        <v>0</v>
      </c>
      <c r="FF105" s="28">
        <v>0</v>
      </c>
      <c r="FG105" s="28">
        <v>0</v>
      </c>
      <c r="FH105" s="28">
        <v>0</v>
      </c>
      <c r="FI105" s="28">
        <v>0</v>
      </c>
      <c r="FJ105" s="28">
        <v>0</v>
      </c>
      <c r="FK105" s="28">
        <v>0</v>
      </c>
      <c r="FL105" s="28">
        <v>0</v>
      </c>
      <c r="FM105" s="28">
        <v>0</v>
      </c>
      <c r="FN105" s="28">
        <v>0</v>
      </c>
      <c r="FO105" s="28">
        <v>0</v>
      </c>
      <c r="FP105" s="28">
        <v>0</v>
      </c>
      <c r="FQ105" s="28">
        <v>0</v>
      </c>
      <c r="FR105" s="28">
        <v>0</v>
      </c>
      <c r="FS105" s="28">
        <v>0.66726232479765601</v>
      </c>
      <c r="FT105" s="28">
        <v>53.029559132925897</v>
      </c>
      <c r="FU105" s="28">
        <v>0</v>
      </c>
      <c r="FV105" s="28">
        <v>0</v>
      </c>
      <c r="FW105" s="28">
        <v>0</v>
      </c>
      <c r="FX105" s="28">
        <v>0</v>
      </c>
      <c r="FY105" s="28">
        <v>0</v>
      </c>
      <c r="FZ105" s="28">
        <v>0</v>
      </c>
      <c r="GA105" s="28">
        <v>0</v>
      </c>
      <c r="GB105" s="28">
        <v>0</v>
      </c>
      <c r="GC105" s="28">
        <v>0</v>
      </c>
      <c r="GD105" s="28">
        <v>0</v>
      </c>
      <c r="GE105" s="28">
        <v>0</v>
      </c>
      <c r="GF105" s="28">
        <v>0</v>
      </c>
      <c r="GG105" s="28">
        <v>0.57597506820204503</v>
      </c>
      <c r="GH105" s="28">
        <v>0</v>
      </c>
      <c r="GI105" s="28">
        <v>0</v>
      </c>
      <c r="GJ105" s="28">
        <v>0</v>
      </c>
      <c r="GK105" s="28">
        <v>0</v>
      </c>
      <c r="GL105" s="28">
        <v>0</v>
      </c>
      <c r="GM105" s="28">
        <v>0</v>
      </c>
      <c r="GN105" s="28">
        <v>0</v>
      </c>
      <c r="GO105" s="28">
        <v>0</v>
      </c>
      <c r="GP105" s="28">
        <v>0</v>
      </c>
      <c r="GQ105" s="21">
        <v>73.433127161678613</v>
      </c>
      <c r="GR105" s="21">
        <v>439.174686493438</v>
      </c>
      <c r="GS105" s="20">
        <v>439.174686493438</v>
      </c>
      <c r="GT105" s="20">
        <v>0</v>
      </c>
      <c r="GU105" s="20">
        <v>0</v>
      </c>
      <c r="GV105" s="20">
        <v>0</v>
      </c>
      <c r="GW105" s="20">
        <v>0</v>
      </c>
      <c r="GX105" s="21">
        <v>8.019562016648063</v>
      </c>
      <c r="GY105" s="20">
        <v>0</v>
      </c>
      <c r="GZ105" s="20">
        <v>8.019562016648063</v>
      </c>
      <c r="HA105" s="20"/>
      <c r="HB105" s="21">
        <v>32.751395757600001</v>
      </c>
      <c r="HC105" s="21">
        <v>553.37877142936463</v>
      </c>
    </row>
    <row r="106" spans="2:211" s="7" customFormat="1" ht="17.25" customHeight="1">
      <c r="B106" s="26" t="s">
        <v>87</v>
      </c>
      <c r="C106" s="9" t="s">
        <v>527</v>
      </c>
      <c r="D106" s="28">
        <v>2.0963723561414298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0.90474258849183498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0.31210182177151302</v>
      </c>
      <c r="AF106" s="28">
        <v>266.61257086343397</v>
      </c>
      <c r="AG106" s="28">
        <v>79.439389147280593</v>
      </c>
      <c r="AH106" s="28">
        <v>0</v>
      </c>
      <c r="AI106" s="28">
        <v>0</v>
      </c>
      <c r="AJ106" s="28">
        <v>0</v>
      </c>
      <c r="AK106" s="28">
        <v>0.20862535887553599</v>
      </c>
      <c r="AL106" s="28">
        <v>691.74007013565904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0.80829810000000002</v>
      </c>
      <c r="CC106" s="28">
        <v>0</v>
      </c>
      <c r="CD106" s="28">
        <v>0</v>
      </c>
      <c r="CE106" s="28">
        <v>0</v>
      </c>
      <c r="CF106" s="28">
        <v>0</v>
      </c>
      <c r="CG106" s="28">
        <v>82.736510716899403</v>
      </c>
      <c r="CH106" s="28">
        <v>0</v>
      </c>
      <c r="CI106" s="28">
        <v>0</v>
      </c>
      <c r="CJ106" s="28">
        <v>0</v>
      </c>
      <c r="CK106" s="28">
        <v>0</v>
      </c>
      <c r="CL106" s="28">
        <v>0</v>
      </c>
      <c r="CM106" s="28">
        <v>0</v>
      </c>
      <c r="CN106" s="28">
        <v>0</v>
      </c>
      <c r="CO106" s="28">
        <v>0</v>
      </c>
      <c r="CP106" s="28">
        <v>0</v>
      </c>
      <c r="CQ106" s="28">
        <v>0</v>
      </c>
      <c r="CR106" s="28">
        <v>0</v>
      </c>
      <c r="CS106" s="28">
        <v>0</v>
      </c>
      <c r="CT106" s="28">
        <v>0</v>
      </c>
      <c r="CU106" s="28">
        <v>0</v>
      </c>
      <c r="CV106" s="28">
        <v>0</v>
      </c>
      <c r="CW106" s="28">
        <v>0</v>
      </c>
      <c r="CX106" s="28">
        <v>0</v>
      </c>
      <c r="CY106" s="28">
        <v>0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0</v>
      </c>
      <c r="DK106" s="28">
        <v>0</v>
      </c>
      <c r="DL106" s="28">
        <v>0</v>
      </c>
      <c r="DM106" s="28">
        <v>0</v>
      </c>
      <c r="DN106" s="28">
        <v>0</v>
      </c>
      <c r="DO106" s="28">
        <v>0</v>
      </c>
      <c r="DP106" s="28">
        <v>0</v>
      </c>
      <c r="DQ106" s="28">
        <v>0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28">
        <v>0</v>
      </c>
      <c r="ED106" s="28">
        <v>0</v>
      </c>
      <c r="EE106" s="28">
        <v>0</v>
      </c>
      <c r="EF106" s="28">
        <v>0</v>
      </c>
      <c r="EG106" s="28">
        <v>0</v>
      </c>
      <c r="EH106" s="28">
        <v>0</v>
      </c>
      <c r="EI106" s="28">
        <v>0</v>
      </c>
      <c r="EJ106" s="28">
        <v>0</v>
      </c>
      <c r="EK106" s="28">
        <v>0</v>
      </c>
      <c r="EL106" s="28">
        <v>0</v>
      </c>
      <c r="EM106" s="28">
        <v>0</v>
      </c>
      <c r="EN106" s="28">
        <v>0</v>
      </c>
      <c r="EO106" s="28">
        <v>0</v>
      </c>
      <c r="EP106" s="28">
        <v>0</v>
      </c>
      <c r="EQ106" s="28">
        <v>0</v>
      </c>
      <c r="ER106" s="28">
        <v>0</v>
      </c>
      <c r="ES106" s="28">
        <v>0</v>
      </c>
      <c r="ET106" s="28">
        <v>0</v>
      </c>
      <c r="EU106" s="28">
        <v>0</v>
      </c>
      <c r="EV106" s="28">
        <v>0</v>
      </c>
      <c r="EW106" s="28">
        <v>0</v>
      </c>
      <c r="EX106" s="28">
        <v>0</v>
      </c>
      <c r="EY106" s="28">
        <v>0</v>
      </c>
      <c r="EZ106" s="28">
        <v>0</v>
      </c>
      <c r="FA106" s="28">
        <v>0</v>
      </c>
      <c r="FB106" s="28">
        <v>0</v>
      </c>
      <c r="FC106" s="28">
        <v>0</v>
      </c>
      <c r="FD106" s="28">
        <v>0</v>
      </c>
      <c r="FE106" s="28">
        <v>0</v>
      </c>
      <c r="FF106" s="28">
        <v>0</v>
      </c>
      <c r="FG106" s="28">
        <v>0</v>
      </c>
      <c r="FH106" s="28">
        <v>0</v>
      </c>
      <c r="FI106" s="28">
        <v>0</v>
      </c>
      <c r="FJ106" s="28">
        <v>0</v>
      </c>
      <c r="FK106" s="28">
        <v>0</v>
      </c>
      <c r="FL106" s="28">
        <v>0</v>
      </c>
      <c r="FM106" s="28">
        <v>0</v>
      </c>
      <c r="FN106" s="28">
        <v>0</v>
      </c>
      <c r="FO106" s="28">
        <v>0</v>
      </c>
      <c r="FP106" s="28">
        <v>0</v>
      </c>
      <c r="FQ106" s="28">
        <v>0</v>
      </c>
      <c r="FR106" s="28">
        <v>0</v>
      </c>
      <c r="FS106" s="28">
        <v>0.22638544331798599</v>
      </c>
      <c r="FT106" s="28">
        <v>17.991605111086201</v>
      </c>
      <c r="FU106" s="28">
        <v>0</v>
      </c>
      <c r="FV106" s="28">
        <v>0</v>
      </c>
      <c r="FW106" s="28">
        <v>0</v>
      </c>
      <c r="FX106" s="28">
        <v>0</v>
      </c>
      <c r="FY106" s="28">
        <v>0</v>
      </c>
      <c r="FZ106" s="28">
        <v>0</v>
      </c>
      <c r="GA106" s="28">
        <v>0</v>
      </c>
      <c r="GB106" s="28">
        <v>0</v>
      </c>
      <c r="GC106" s="28">
        <v>0</v>
      </c>
      <c r="GD106" s="28">
        <v>0</v>
      </c>
      <c r="GE106" s="28">
        <v>0</v>
      </c>
      <c r="GF106" s="28">
        <v>0</v>
      </c>
      <c r="GG106" s="28">
        <v>0</v>
      </c>
      <c r="GH106" s="28">
        <v>0</v>
      </c>
      <c r="GI106" s="28">
        <v>0</v>
      </c>
      <c r="GJ106" s="28">
        <v>0</v>
      </c>
      <c r="GK106" s="28">
        <v>0</v>
      </c>
      <c r="GL106" s="28">
        <v>0</v>
      </c>
      <c r="GM106" s="28">
        <v>0</v>
      </c>
      <c r="GN106" s="28">
        <v>0</v>
      </c>
      <c r="GO106" s="28">
        <v>0</v>
      </c>
      <c r="GP106" s="28">
        <v>0</v>
      </c>
      <c r="GQ106" s="21">
        <v>1143.0766716429584</v>
      </c>
      <c r="GR106" s="21">
        <v>0.62863583756566399</v>
      </c>
      <c r="GS106" s="20">
        <v>0.62863583756566399</v>
      </c>
      <c r="GT106" s="20">
        <v>0</v>
      </c>
      <c r="GU106" s="20">
        <v>0</v>
      </c>
      <c r="GV106" s="20">
        <v>0</v>
      </c>
      <c r="GW106" s="20">
        <v>0</v>
      </c>
      <c r="GX106" s="21">
        <v>14.254613183846171</v>
      </c>
      <c r="GY106" s="20">
        <v>0</v>
      </c>
      <c r="GZ106" s="20">
        <v>14.254613183846171</v>
      </c>
      <c r="HA106" s="20"/>
      <c r="HB106" s="21">
        <v>3046.19843819782</v>
      </c>
      <c r="HC106" s="21">
        <v>4204.1583588621907</v>
      </c>
    </row>
    <row r="107" spans="2:211" s="7" customFormat="1" ht="17.25" customHeight="1">
      <c r="B107" s="26" t="s">
        <v>528</v>
      </c>
      <c r="C107" s="9" t="s">
        <v>529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  <c r="EU107" s="28">
        <v>0</v>
      </c>
      <c r="EV107" s="28">
        <v>0</v>
      </c>
      <c r="EW107" s="28">
        <v>0</v>
      </c>
      <c r="EX107" s="28">
        <v>0</v>
      </c>
      <c r="EY107" s="28">
        <v>0</v>
      </c>
      <c r="EZ107" s="28">
        <v>0</v>
      </c>
      <c r="FA107" s="28">
        <v>0</v>
      </c>
      <c r="FB107" s="28">
        <v>0</v>
      </c>
      <c r="FC107" s="28">
        <v>0</v>
      </c>
      <c r="FD107" s="28">
        <v>0</v>
      </c>
      <c r="FE107" s="28">
        <v>0</v>
      </c>
      <c r="FF107" s="28">
        <v>0</v>
      </c>
      <c r="FG107" s="28">
        <v>0</v>
      </c>
      <c r="FH107" s="28">
        <v>0</v>
      </c>
      <c r="FI107" s="28">
        <v>0</v>
      </c>
      <c r="FJ107" s="28">
        <v>0</v>
      </c>
      <c r="FK107" s="28">
        <v>0</v>
      </c>
      <c r="FL107" s="28">
        <v>0</v>
      </c>
      <c r="FM107" s="28">
        <v>0</v>
      </c>
      <c r="FN107" s="28">
        <v>0</v>
      </c>
      <c r="FO107" s="28">
        <v>0</v>
      </c>
      <c r="FP107" s="28">
        <v>0</v>
      </c>
      <c r="FQ107" s="28">
        <v>0</v>
      </c>
      <c r="FR107" s="28">
        <v>0</v>
      </c>
      <c r="FS107" s="28">
        <v>0</v>
      </c>
      <c r="FT107" s="28">
        <v>0</v>
      </c>
      <c r="FU107" s="28">
        <v>0</v>
      </c>
      <c r="FV107" s="28">
        <v>0</v>
      </c>
      <c r="FW107" s="28">
        <v>0</v>
      </c>
      <c r="FX107" s="28">
        <v>0</v>
      </c>
      <c r="FY107" s="28">
        <v>0</v>
      </c>
      <c r="FZ107" s="28">
        <v>0</v>
      </c>
      <c r="GA107" s="28">
        <v>0</v>
      </c>
      <c r="GB107" s="28">
        <v>0</v>
      </c>
      <c r="GC107" s="28">
        <v>0</v>
      </c>
      <c r="GD107" s="28">
        <v>0</v>
      </c>
      <c r="GE107" s="28">
        <v>0</v>
      </c>
      <c r="GF107" s="28">
        <v>0</v>
      </c>
      <c r="GG107" s="28">
        <v>0</v>
      </c>
      <c r="GH107" s="28">
        <v>0.453231396975527</v>
      </c>
      <c r="GI107" s="28">
        <v>0</v>
      </c>
      <c r="GJ107" s="28">
        <v>0</v>
      </c>
      <c r="GK107" s="28">
        <v>0</v>
      </c>
      <c r="GL107" s="28">
        <v>0</v>
      </c>
      <c r="GM107" s="28">
        <v>0</v>
      </c>
      <c r="GN107" s="28">
        <v>0</v>
      </c>
      <c r="GO107" s="28">
        <v>0</v>
      </c>
      <c r="GP107" s="28">
        <v>0</v>
      </c>
      <c r="GQ107" s="21">
        <v>0.453231396975527</v>
      </c>
      <c r="GR107" s="21">
        <v>1.4579259280565301E-2</v>
      </c>
      <c r="GS107" s="20">
        <v>1.4579259280565301E-2</v>
      </c>
      <c r="GT107" s="20">
        <v>0</v>
      </c>
      <c r="GU107" s="20">
        <v>0</v>
      </c>
      <c r="GV107" s="20">
        <v>0</v>
      </c>
      <c r="GW107" s="20">
        <v>0</v>
      </c>
      <c r="GX107" s="21">
        <v>-3.3138771354945193</v>
      </c>
      <c r="GY107" s="20">
        <v>0</v>
      </c>
      <c r="GZ107" s="20">
        <v>-3.3138771354945193</v>
      </c>
      <c r="HA107" s="20"/>
      <c r="HB107" s="21">
        <v>89.352817843721596</v>
      </c>
      <c r="HC107" s="21">
        <v>86.506751364483165</v>
      </c>
    </row>
    <row r="108" spans="2:211" s="7" customFormat="1" ht="17.25" customHeight="1">
      <c r="B108" s="26" t="s">
        <v>88</v>
      </c>
      <c r="C108" s="9" t="s">
        <v>530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1.2388231240000601E-2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36.104833325932297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0.4561429583064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  <c r="EU108" s="28">
        <v>0</v>
      </c>
      <c r="EV108" s="28">
        <v>0</v>
      </c>
      <c r="EW108" s="28">
        <v>0</v>
      </c>
      <c r="EX108" s="28">
        <v>0</v>
      </c>
      <c r="EY108" s="28">
        <v>0</v>
      </c>
      <c r="EZ108" s="28">
        <v>0</v>
      </c>
      <c r="FA108" s="28">
        <v>0</v>
      </c>
      <c r="FB108" s="28">
        <v>0</v>
      </c>
      <c r="FC108" s="28">
        <v>0</v>
      </c>
      <c r="FD108" s="28">
        <v>0</v>
      </c>
      <c r="FE108" s="28">
        <v>0</v>
      </c>
      <c r="FF108" s="28">
        <v>0</v>
      </c>
      <c r="FG108" s="28">
        <v>0</v>
      </c>
      <c r="FH108" s="28">
        <v>0</v>
      </c>
      <c r="FI108" s="28">
        <v>0</v>
      </c>
      <c r="FJ108" s="28">
        <v>0</v>
      </c>
      <c r="FK108" s="28">
        <v>0</v>
      </c>
      <c r="FL108" s="28">
        <v>0</v>
      </c>
      <c r="FM108" s="28">
        <v>0</v>
      </c>
      <c r="FN108" s="28">
        <v>0</v>
      </c>
      <c r="FO108" s="28">
        <v>0</v>
      </c>
      <c r="FP108" s="28">
        <v>0</v>
      </c>
      <c r="FQ108" s="28">
        <v>0</v>
      </c>
      <c r="FR108" s="28">
        <v>0</v>
      </c>
      <c r="FS108" s="28">
        <v>0.13520294435869901</v>
      </c>
      <c r="FT108" s="28">
        <v>10.7450282540521</v>
      </c>
      <c r="FU108" s="28">
        <v>0</v>
      </c>
      <c r="FV108" s="28">
        <v>0</v>
      </c>
      <c r="FW108" s="28">
        <v>0</v>
      </c>
      <c r="FX108" s="28">
        <v>0</v>
      </c>
      <c r="FY108" s="28">
        <v>0</v>
      </c>
      <c r="FZ108" s="28">
        <v>0</v>
      </c>
      <c r="GA108" s="28">
        <v>0</v>
      </c>
      <c r="GB108" s="28">
        <v>0</v>
      </c>
      <c r="GC108" s="28">
        <v>0</v>
      </c>
      <c r="GD108" s="28">
        <v>0</v>
      </c>
      <c r="GE108" s="28">
        <v>0</v>
      </c>
      <c r="GF108" s="28">
        <v>0</v>
      </c>
      <c r="GG108" s="28">
        <v>0.191798493507256</v>
      </c>
      <c r="GH108" s="28">
        <v>0</v>
      </c>
      <c r="GI108" s="28">
        <v>0</v>
      </c>
      <c r="GJ108" s="28">
        <v>0</v>
      </c>
      <c r="GK108" s="28">
        <v>0</v>
      </c>
      <c r="GL108" s="28">
        <v>0</v>
      </c>
      <c r="GM108" s="28">
        <v>0</v>
      </c>
      <c r="GN108" s="28">
        <v>0</v>
      </c>
      <c r="GO108" s="28">
        <v>0</v>
      </c>
      <c r="GP108" s="28">
        <v>0</v>
      </c>
      <c r="GQ108" s="21">
        <v>47.645394207396755</v>
      </c>
      <c r="GR108" s="21">
        <v>0.33096207853439302</v>
      </c>
      <c r="GS108" s="20">
        <v>0.33096207853439302</v>
      </c>
      <c r="GT108" s="20">
        <v>0</v>
      </c>
      <c r="GU108" s="20">
        <v>0</v>
      </c>
      <c r="GV108" s="20">
        <v>0</v>
      </c>
      <c r="GW108" s="20">
        <v>0</v>
      </c>
      <c r="GX108" s="21">
        <v>-0.49015227749460877</v>
      </c>
      <c r="GY108" s="20">
        <v>0</v>
      </c>
      <c r="GZ108" s="20">
        <v>-0.49015227749460877</v>
      </c>
      <c r="HA108" s="20"/>
      <c r="HB108" s="21">
        <v>0.33379394400000001</v>
      </c>
      <c r="HC108" s="21">
        <v>47.819997952436538</v>
      </c>
    </row>
    <row r="109" spans="2:211" s="7" customFormat="1" ht="17.25" customHeight="1">
      <c r="B109" s="26" t="s">
        <v>91</v>
      </c>
      <c r="C109" s="9" t="s">
        <v>531</v>
      </c>
      <c r="D109" s="28">
        <v>3.5904887149094402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4.6798811032979497</v>
      </c>
      <c r="AF109" s="28">
        <v>340.48046489379601</v>
      </c>
      <c r="AG109" s="28">
        <v>166.85429561576399</v>
      </c>
      <c r="AH109" s="28">
        <v>65.282061981001803</v>
      </c>
      <c r="AI109" s="28">
        <v>82.724374646311901</v>
      </c>
      <c r="AJ109" s="28">
        <v>39.284469055250298</v>
      </c>
      <c r="AK109" s="28">
        <v>3.94289122617531</v>
      </c>
      <c r="AL109" s="28">
        <v>126.802017800298</v>
      </c>
      <c r="AM109" s="28">
        <v>0</v>
      </c>
      <c r="AN109" s="28">
        <v>0</v>
      </c>
      <c r="AO109" s="28">
        <v>0</v>
      </c>
      <c r="AP109" s="28">
        <v>0</v>
      </c>
      <c r="AQ109" s="28">
        <v>116.692869040849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0.56809819935357797</v>
      </c>
      <c r="CC109" s="28">
        <v>3.11405163257026E-2</v>
      </c>
      <c r="CD109" s="28">
        <v>0.40912821712388597</v>
      </c>
      <c r="CE109" s="28">
        <v>0.139113936410239</v>
      </c>
      <c r="CF109" s="28">
        <v>0</v>
      </c>
      <c r="CG109" s="28">
        <v>24.932479627374999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0</v>
      </c>
      <c r="CT109" s="28">
        <v>0</v>
      </c>
      <c r="CU109" s="28">
        <v>0</v>
      </c>
      <c r="CV109" s="28">
        <v>0</v>
      </c>
      <c r="CW109" s="28">
        <v>0</v>
      </c>
      <c r="CX109" s="28">
        <v>0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28">
        <v>0</v>
      </c>
      <c r="DE109" s="28">
        <v>0</v>
      </c>
      <c r="DF109" s="28">
        <v>0</v>
      </c>
      <c r="DG109" s="28">
        <v>0</v>
      </c>
      <c r="DH109" s="28">
        <v>0</v>
      </c>
      <c r="DI109" s="28">
        <v>0</v>
      </c>
      <c r="DJ109" s="28">
        <v>0</v>
      </c>
      <c r="DK109" s="28">
        <v>0</v>
      </c>
      <c r="DL109" s="28">
        <v>0</v>
      </c>
      <c r="DM109" s="28">
        <v>0</v>
      </c>
      <c r="DN109" s="28">
        <v>0</v>
      </c>
      <c r="DO109" s="28">
        <v>0</v>
      </c>
      <c r="DP109" s="28">
        <v>0</v>
      </c>
      <c r="DQ109" s="28">
        <v>0</v>
      </c>
      <c r="DR109" s="28">
        <v>0</v>
      </c>
      <c r="DS109" s="28">
        <v>0</v>
      </c>
      <c r="DT109" s="28">
        <v>0</v>
      </c>
      <c r="DU109" s="28">
        <v>0</v>
      </c>
      <c r="DV109" s="28">
        <v>0</v>
      </c>
      <c r="DW109" s="28">
        <v>0</v>
      </c>
      <c r="DX109" s="28">
        <v>0</v>
      </c>
      <c r="DY109" s="28">
        <v>0</v>
      </c>
      <c r="DZ109" s="28">
        <v>0</v>
      </c>
      <c r="EA109" s="28">
        <v>0</v>
      </c>
      <c r="EB109" s="28">
        <v>0</v>
      </c>
      <c r="EC109" s="28">
        <v>0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0</v>
      </c>
      <c r="EL109" s="28">
        <v>0</v>
      </c>
      <c r="EM109" s="28">
        <v>0</v>
      </c>
      <c r="EN109" s="28">
        <v>0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  <c r="EU109" s="28">
        <v>0</v>
      </c>
      <c r="EV109" s="28">
        <v>0</v>
      </c>
      <c r="EW109" s="28">
        <v>0</v>
      </c>
      <c r="EX109" s="28">
        <v>0</v>
      </c>
      <c r="EY109" s="28">
        <v>0</v>
      </c>
      <c r="EZ109" s="28">
        <v>0</v>
      </c>
      <c r="FA109" s="28">
        <v>3.3220956881855599E-3</v>
      </c>
      <c r="FB109" s="28">
        <v>5.6019634957181204E-4</v>
      </c>
      <c r="FC109" s="28">
        <v>0</v>
      </c>
      <c r="FD109" s="28">
        <v>0</v>
      </c>
      <c r="FE109" s="28">
        <v>0</v>
      </c>
      <c r="FF109" s="28">
        <v>0</v>
      </c>
      <c r="FG109" s="28">
        <v>0</v>
      </c>
      <c r="FH109" s="28">
        <v>0</v>
      </c>
      <c r="FI109" s="28">
        <v>0</v>
      </c>
      <c r="FJ109" s="28">
        <v>0</v>
      </c>
      <c r="FK109" s="28">
        <v>0</v>
      </c>
      <c r="FL109" s="28">
        <v>0</v>
      </c>
      <c r="FM109" s="28">
        <v>0</v>
      </c>
      <c r="FN109" s="28">
        <v>0</v>
      </c>
      <c r="FO109" s="28">
        <v>0</v>
      </c>
      <c r="FP109" s="28">
        <v>0</v>
      </c>
      <c r="FQ109" s="28">
        <v>2.8423390513459299E-2</v>
      </c>
      <c r="FR109" s="28">
        <v>0</v>
      </c>
      <c r="FS109" s="28">
        <v>0</v>
      </c>
      <c r="FT109" s="28">
        <v>0</v>
      </c>
      <c r="FU109" s="28">
        <v>0</v>
      </c>
      <c r="FV109" s="28">
        <v>0</v>
      </c>
      <c r="FW109" s="28">
        <v>0</v>
      </c>
      <c r="FX109" s="28">
        <v>0</v>
      </c>
      <c r="FY109" s="28">
        <v>0</v>
      </c>
      <c r="FZ109" s="28">
        <v>0</v>
      </c>
      <c r="GA109" s="28">
        <v>0</v>
      </c>
      <c r="GB109" s="28">
        <v>0</v>
      </c>
      <c r="GC109" s="28">
        <v>0</v>
      </c>
      <c r="GD109" s="28">
        <v>0</v>
      </c>
      <c r="GE109" s="28">
        <v>0</v>
      </c>
      <c r="GF109" s="28">
        <v>0</v>
      </c>
      <c r="GG109" s="28">
        <v>27.803941504198399</v>
      </c>
      <c r="GH109" s="28">
        <v>3.5603391743915398</v>
      </c>
      <c r="GI109" s="28">
        <v>5.1263399914274004</v>
      </c>
      <c r="GJ109" s="28">
        <v>0</v>
      </c>
      <c r="GK109" s="28">
        <v>0.65604500932407095</v>
      </c>
      <c r="GL109" s="28">
        <v>0</v>
      </c>
      <c r="GM109" s="28">
        <v>0</v>
      </c>
      <c r="GN109" s="28">
        <v>0</v>
      </c>
      <c r="GO109" s="28">
        <v>0</v>
      </c>
      <c r="GP109" s="28">
        <v>0</v>
      </c>
      <c r="GQ109" s="21">
        <v>1013.5927459361343</v>
      </c>
      <c r="GR109" s="21">
        <v>143.804090458481</v>
      </c>
      <c r="GS109" s="20">
        <v>143.804090458481</v>
      </c>
      <c r="GT109" s="20">
        <v>0</v>
      </c>
      <c r="GU109" s="20">
        <v>0</v>
      </c>
      <c r="GV109" s="20">
        <v>0</v>
      </c>
      <c r="GW109" s="20">
        <v>0</v>
      </c>
      <c r="GX109" s="21">
        <v>50.787157659438165</v>
      </c>
      <c r="GY109" s="20">
        <v>0</v>
      </c>
      <c r="GZ109" s="20">
        <v>50.787157659438165</v>
      </c>
      <c r="HA109" s="20"/>
      <c r="HB109" s="21">
        <v>3.3803976845881302E-2</v>
      </c>
      <c r="HC109" s="21">
        <v>1208.2177980308993</v>
      </c>
    </row>
    <row r="110" spans="2:211" s="7" customFormat="1" ht="17.25" customHeight="1">
      <c r="B110" s="26" t="s">
        <v>93</v>
      </c>
      <c r="C110" s="10" t="s">
        <v>532</v>
      </c>
      <c r="D110" s="28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5.5302867006719603E-3</v>
      </c>
      <c r="T110" s="28">
        <v>0</v>
      </c>
      <c r="U110" s="28">
        <v>0</v>
      </c>
      <c r="V110" s="28">
        <v>0</v>
      </c>
      <c r="W110" s="28">
        <v>0</v>
      </c>
      <c r="X110" s="28">
        <v>0.47674326457903199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9.5522644828035207E-3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18.0877550598947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10.082321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38.116829906978303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9.3438026899499593E-2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  <c r="EU110" s="28">
        <v>0</v>
      </c>
      <c r="EV110" s="28">
        <v>0</v>
      </c>
      <c r="EW110" s="28">
        <v>0</v>
      </c>
      <c r="EX110" s="28">
        <v>0</v>
      </c>
      <c r="EY110" s="28">
        <v>0</v>
      </c>
      <c r="EZ110" s="28">
        <v>0</v>
      </c>
      <c r="FA110" s="28">
        <v>0</v>
      </c>
      <c r="FB110" s="28">
        <v>0</v>
      </c>
      <c r="FC110" s="28">
        <v>0</v>
      </c>
      <c r="FD110" s="28">
        <v>0</v>
      </c>
      <c r="FE110" s="28">
        <v>0</v>
      </c>
      <c r="FF110" s="28">
        <v>0</v>
      </c>
      <c r="FG110" s="28">
        <v>0</v>
      </c>
      <c r="FH110" s="28">
        <v>0</v>
      </c>
      <c r="FI110" s="28">
        <v>0</v>
      </c>
      <c r="FJ110" s="28">
        <v>0</v>
      </c>
      <c r="FK110" s="28">
        <v>0</v>
      </c>
      <c r="FL110" s="28">
        <v>0</v>
      </c>
      <c r="FM110" s="28">
        <v>0</v>
      </c>
      <c r="FN110" s="28">
        <v>0</v>
      </c>
      <c r="FO110" s="28">
        <v>0</v>
      </c>
      <c r="FP110" s="28">
        <v>0</v>
      </c>
      <c r="FQ110" s="28">
        <v>0</v>
      </c>
      <c r="FR110" s="28">
        <v>0</v>
      </c>
      <c r="FS110" s="28">
        <v>0.38671834071586098</v>
      </c>
      <c r="FT110" s="28">
        <v>30.733794423351402</v>
      </c>
      <c r="FU110" s="28">
        <v>0</v>
      </c>
      <c r="FV110" s="28">
        <v>0</v>
      </c>
      <c r="FW110" s="28">
        <v>0</v>
      </c>
      <c r="FX110" s="28">
        <v>0</v>
      </c>
      <c r="FY110" s="28">
        <v>0</v>
      </c>
      <c r="FZ110" s="28">
        <v>0</v>
      </c>
      <c r="GA110" s="28">
        <v>0</v>
      </c>
      <c r="GB110" s="28">
        <v>0</v>
      </c>
      <c r="GC110" s="28">
        <v>0</v>
      </c>
      <c r="GD110" s="28">
        <v>0</v>
      </c>
      <c r="GE110" s="28">
        <v>0</v>
      </c>
      <c r="GF110" s="28">
        <v>0</v>
      </c>
      <c r="GG110" s="28">
        <v>3.6527047260134098</v>
      </c>
      <c r="GH110" s="28">
        <v>0</v>
      </c>
      <c r="GI110" s="28">
        <v>0</v>
      </c>
      <c r="GJ110" s="28">
        <v>0</v>
      </c>
      <c r="GK110" s="28">
        <v>0</v>
      </c>
      <c r="GL110" s="28">
        <v>0</v>
      </c>
      <c r="GM110" s="28">
        <v>0</v>
      </c>
      <c r="GN110" s="28">
        <v>0</v>
      </c>
      <c r="GO110" s="28">
        <v>0</v>
      </c>
      <c r="GP110" s="28">
        <v>0</v>
      </c>
      <c r="GQ110" s="21">
        <v>101.64538729961572</v>
      </c>
      <c r="GR110" s="21">
        <v>1305.6045611358199</v>
      </c>
      <c r="GS110" s="20">
        <v>1305.0257280530932</v>
      </c>
      <c r="GT110" s="20">
        <v>0</v>
      </c>
      <c r="GU110" s="20">
        <v>0.57883308272671152</v>
      </c>
      <c r="GV110" s="20">
        <v>0.57883308272671152</v>
      </c>
      <c r="GW110" s="20">
        <v>0</v>
      </c>
      <c r="GX110" s="21">
        <v>23.306656617152886</v>
      </c>
      <c r="GY110" s="20">
        <v>0</v>
      </c>
      <c r="GZ110" s="20">
        <v>23.306656617152886</v>
      </c>
      <c r="HA110" s="20"/>
      <c r="HB110" s="21">
        <v>14.4424577592</v>
      </c>
      <c r="HC110" s="21">
        <v>1444.9990628117885</v>
      </c>
    </row>
    <row r="111" spans="2:211" s="7" customFormat="1" ht="17.25" customHeight="1">
      <c r="B111" s="26" t="s">
        <v>94</v>
      </c>
      <c r="C111" s="9" t="s">
        <v>533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1.7634011824306101E-2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2.1954273475372699E-2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3.55859263027416</v>
      </c>
      <c r="CP111" s="28">
        <v>25.884177747381901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  <c r="EU111" s="28">
        <v>0</v>
      </c>
      <c r="EV111" s="28">
        <v>0</v>
      </c>
      <c r="EW111" s="28">
        <v>0</v>
      </c>
      <c r="EX111" s="28">
        <v>0</v>
      </c>
      <c r="EY111" s="28">
        <v>0</v>
      </c>
      <c r="EZ111" s="28">
        <v>0</v>
      </c>
      <c r="FA111" s="28">
        <v>0</v>
      </c>
      <c r="FB111" s="28">
        <v>0</v>
      </c>
      <c r="FC111" s="28">
        <v>0</v>
      </c>
      <c r="FD111" s="28">
        <v>0</v>
      </c>
      <c r="FE111" s="28">
        <v>0</v>
      </c>
      <c r="FF111" s="28">
        <v>0</v>
      </c>
      <c r="FG111" s="28">
        <v>0</v>
      </c>
      <c r="FH111" s="28">
        <v>0</v>
      </c>
      <c r="FI111" s="28">
        <v>0</v>
      </c>
      <c r="FJ111" s="28">
        <v>0</v>
      </c>
      <c r="FK111" s="28">
        <v>0</v>
      </c>
      <c r="FL111" s="28">
        <v>0</v>
      </c>
      <c r="FM111" s="28">
        <v>0</v>
      </c>
      <c r="FN111" s="28">
        <v>0</v>
      </c>
      <c r="FO111" s="28">
        <v>0</v>
      </c>
      <c r="FP111" s="28">
        <v>0</v>
      </c>
      <c r="FQ111" s="28">
        <v>0</v>
      </c>
      <c r="FR111" s="28">
        <v>0</v>
      </c>
      <c r="FS111" s="28">
        <v>1.2333631061775301</v>
      </c>
      <c r="FT111" s="28">
        <v>98.019473512526403</v>
      </c>
      <c r="FU111" s="28">
        <v>0</v>
      </c>
      <c r="FV111" s="28">
        <v>0</v>
      </c>
      <c r="FW111" s="28">
        <v>0</v>
      </c>
      <c r="FX111" s="28">
        <v>0</v>
      </c>
      <c r="FY111" s="28">
        <v>0</v>
      </c>
      <c r="FZ111" s="28">
        <v>0</v>
      </c>
      <c r="GA111" s="28">
        <v>0</v>
      </c>
      <c r="GB111" s="28">
        <v>0</v>
      </c>
      <c r="GC111" s="28">
        <v>0</v>
      </c>
      <c r="GD111" s="28">
        <v>0</v>
      </c>
      <c r="GE111" s="28">
        <v>0</v>
      </c>
      <c r="GF111" s="28">
        <v>0</v>
      </c>
      <c r="GG111" s="28">
        <v>0.45354613968945401</v>
      </c>
      <c r="GH111" s="28">
        <v>0</v>
      </c>
      <c r="GI111" s="28">
        <v>3.52207346849168E-3</v>
      </c>
      <c r="GJ111" s="28">
        <v>0</v>
      </c>
      <c r="GK111" s="28">
        <v>3.8421384820561497E-2</v>
      </c>
      <c r="GL111" s="28">
        <v>0</v>
      </c>
      <c r="GM111" s="28">
        <v>0</v>
      </c>
      <c r="GN111" s="28">
        <v>0</v>
      </c>
      <c r="GO111" s="28">
        <v>0</v>
      </c>
      <c r="GP111" s="28">
        <v>0</v>
      </c>
      <c r="GQ111" s="21">
        <v>129.23068487963829</v>
      </c>
      <c r="GR111" s="21">
        <v>1140.4547959347799</v>
      </c>
      <c r="GS111" s="20">
        <v>1132.3698101969196</v>
      </c>
      <c r="GT111" s="20">
        <v>0</v>
      </c>
      <c r="GU111" s="20">
        <v>8.0849857378602028</v>
      </c>
      <c r="GV111" s="20">
        <v>8.0849857378602028</v>
      </c>
      <c r="GW111" s="20">
        <v>0</v>
      </c>
      <c r="GX111" s="21">
        <v>16.819324597302973</v>
      </c>
      <c r="GY111" s="20">
        <v>0</v>
      </c>
      <c r="GZ111" s="20">
        <v>16.819324597302973</v>
      </c>
      <c r="HA111" s="20"/>
      <c r="HB111" s="21">
        <v>212.36846118240001</v>
      </c>
      <c r="HC111" s="21">
        <v>1498.8732665941213</v>
      </c>
    </row>
    <row r="112" spans="2:211" s="7" customFormat="1" ht="17.25" customHeight="1">
      <c r="B112" s="26" t="s">
        <v>95</v>
      </c>
      <c r="C112" s="9" t="s">
        <v>534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5.11838140664393E-2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3.9166952569664799E-2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  <c r="EU112" s="28">
        <v>0</v>
      </c>
      <c r="EV112" s="28">
        <v>0</v>
      </c>
      <c r="EW112" s="28">
        <v>0</v>
      </c>
      <c r="EX112" s="28">
        <v>0</v>
      </c>
      <c r="EY112" s="28">
        <v>0</v>
      </c>
      <c r="EZ112" s="28">
        <v>0</v>
      </c>
      <c r="FA112" s="28">
        <v>0</v>
      </c>
      <c r="FB112" s="28">
        <v>0</v>
      </c>
      <c r="FC112" s="28">
        <v>0</v>
      </c>
      <c r="FD112" s="28">
        <v>0</v>
      </c>
      <c r="FE112" s="28">
        <v>0</v>
      </c>
      <c r="FF112" s="28">
        <v>0</v>
      </c>
      <c r="FG112" s="28">
        <v>0</v>
      </c>
      <c r="FH112" s="28">
        <v>0</v>
      </c>
      <c r="FI112" s="28">
        <v>0</v>
      </c>
      <c r="FJ112" s="28">
        <v>0</v>
      </c>
      <c r="FK112" s="28">
        <v>0</v>
      </c>
      <c r="FL112" s="28">
        <v>0</v>
      </c>
      <c r="FM112" s="28">
        <v>0</v>
      </c>
      <c r="FN112" s="28">
        <v>0</v>
      </c>
      <c r="FO112" s="28">
        <v>0</v>
      </c>
      <c r="FP112" s="28">
        <v>0</v>
      </c>
      <c r="FQ112" s="28">
        <v>0</v>
      </c>
      <c r="FR112" s="28">
        <v>0</v>
      </c>
      <c r="FS112" s="28">
        <v>3.6532201573892502</v>
      </c>
      <c r="FT112" s="28">
        <v>282.41270534241499</v>
      </c>
      <c r="FU112" s="28">
        <v>0</v>
      </c>
      <c r="FV112" s="28">
        <v>0</v>
      </c>
      <c r="FW112" s="28">
        <v>0</v>
      </c>
      <c r="FX112" s="28">
        <v>0</v>
      </c>
      <c r="FY112" s="28">
        <v>0</v>
      </c>
      <c r="FZ112" s="28">
        <v>0</v>
      </c>
      <c r="GA112" s="28">
        <v>0</v>
      </c>
      <c r="GB112" s="28">
        <v>0</v>
      </c>
      <c r="GC112" s="28">
        <v>0</v>
      </c>
      <c r="GD112" s="28">
        <v>0</v>
      </c>
      <c r="GE112" s="28">
        <v>0</v>
      </c>
      <c r="GF112" s="28">
        <v>0</v>
      </c>
      <c r="GG112" s="28">
        <v>1.69294810342395</v>
      </c>
      <c r="GH112" s="28">
        <v>0</v>
      </c>
      <c r="GI112" s="28">
        <v>1.36480346904053E-2</v>
      </c>
      <c r="GJ112" s="28">
        <v>0.120360336297106</v>
      </c>
      <c r="GK112" s="28">
        <v>0.148882866179676</v>
      </c>
      <c r="GL112" s="28">
        <v>0</v>
      </c>
      <c r="GM112" s="28">
        <v>0</v>
      </c>
      <c r="GN112" s="28">
        <v>0</v>
      </c>
      <c r="GO112" s="28">
        <v>0</v>
      </c>
      <c r="GP112" s="28">
        <v>0</v>
      </c>
      <c r="GQ112" s="21">
        <v>288.13211560703121</v>
      </c>
      <c r="GR112" s="21">
        <v>886.29568788219296</v>
      </c>
      <c r="GS112" s="20">
        <v>872.80445445542591</v>
      </c>
      <c r="GT112" s="20">
        <v>0</v>
      </c>
      <c r="GU112" s="20">
        <v>13.491233426767005</v>
      </c>
      <c r="GV112" s="20">
        <v>13.491233426767005</v>
      </c>
      <c r="GW112" s="20">
        <v>0</v>
      </c>
      <c r="GX112" s="21">
        <v>21.555396720450354</v>
      </c>
      <c r="GY112" s="20">
        <v>0</v>
      </c>
      <c r="GZ112" s="20">
        <v>21.555396720450354</v>
      </c>
      <c r="HA112" s="20"/>
      <c r="HB112" s="21">
        <v>10.2540585006297</v>
      </c>
      <c r="HC112" s="21">
        <v>1206.2372587103041</v>
      </c>
    </row>
    <row r="113" spans="2:211" s="7" customFormat="1" ht="17.25" customHeight="1">
      <c r="B113" s="26" t="s">
        <v>535</v>
      </c>
      <c r="C113" s="9" t="s">
        <v>536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0.185696048591557</v>
      </c>
      <c r="Q113" s="28">
        <v>0</v>
      </c>
      <c r="R113" s="28">
        <v>0</v>
      </c>
      <c r="S113" s="28">
        <v>6.01262754974311E-3</v>
      </c>
      <c r="T113" s="28">
        <v>0</v>
      </c>
      <c r="U113" s="28">
        <v>0</v>
      </c>
      <c r="V113" s="28">
        <v>0</v>
      </c>
      <c r="W113" s="28">
        <v>0</v>
      </c>
      <c r="X113" s="28">
        <v>0.147152415215584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1.2876061347330501E-2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0.16607340717204599</v>
      </c>
      <c r="AR113" s="28">
        <v>0.205311449996914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87.140587213599503</v>
      </c>
      <c r="BK113" s="28">
        <v>0</v>
      </c>
      <c r="BL113" s="28">
        <v>0.37791212278333502</v>
      </c>
      <c r="BM113" s="28">
        <v>8.8744009792770093</v>
      </c>
      <c r="BN113" s="28">
        <v>0</v>
      </c>
      <c r="BO113" s="28">
        <v>0</v>
      </c>
      <c r="BP113" s="28">
        <v>9.0580327680279495</v>
      </c>
      <c r="BQ113" s="28">
        <v>0</v>
      </c>
      <c r="BR113" s="28">
        <v>0</v>
      </c>
      <c r="BS113" s="28">
        <v>0</v>
      </c>
      <c r="BT113" s="28">
        <v>10.0297663737504</v>
      </c>
      <c r="BU113" s="28">
        <v>0.87709292332156397</v>
      </c>
      <c r="BV113" s="28">
        <v>19.605421624708601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1.57234668041688</v>
      </c>
      <c r="CH113" s="28">
        <v>11.7652078129017</v>
      </c>
      <c r="CI113" s="28">
        <v>0.64269870519638095</v>
      </c>
      <c r="CJ113" s="28">
        <v>0</v>
      </c>
      <c r="CK113" s="28">
        <v>0</v>
      </c>
      <c r="CL113" s="28">
        <v>15.9438648834143</v>
      </c>
      <c r="CM113" s="28">
        <v>96.285977405237901</v>
      </c>
      <c r="CN113" s="28">
        <v>3.0660741329193102</v>
      </c>
      <c r="CO113" s="28">
        <v>5.6861097063397601</v>
      </c>
      <c r="CP113" s="28">
        <v>211.18359200947199</v>
      </c>
      <c r="CQ113" s="28">
        <v>15.8224089428304</v>
      </c>
      <c r="CR113" s="28">
        <v>0</v>
      </c>
      <c r="CS113" s="28">
        <v>0.11483682726462401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0.71495119824389097</v>
      </c>
      <c r="DG113" s="28">
        <v>1.1276952959877999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24.771258978296402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  <c r="EU113" s="28">
        <v>0</v>
      </c>
      <c r="EV113" s="28">
        <v>0</v>
      </c>
      <c r="EW113" s="28">
        <v>0</v>
      </c>
      <c r="EX113" s="28">
        <v>0.87628727296743403</v>
      </c>
      <c r="EY113" s="28">
        <v>0</v>
      </c>
      <c r="EZ113" s="28">
        <v>0</v>
      </c>
      <c r="FA113" s="28">
        <v>0</v>
      </c>
      <c r="FB113" s="28">
        <v>0</v>
      </c>
      <c r="FC113" s="28">
        <v>0</v>
      </c>
      <c r="FD113" s="28">
        <v>0</v>
      </c>
      <c r="FE113" s="28">
        <v>0</v>
      </c>
      <c r="FF113" s="28">
        <v>0</v>
      </c>
      <c r="FG113" s="28">
        <v>0</v>
      </c>
      <c r="FH113" s="28">
        <v>0</v>
      </c>
      <c r="FI113" s="28">
        <v>0</v>
      </c>
      <c r="FJ113" s="28">
        <v>0</v>
      </c>
      <c r="FK113" s="28">
        <v>0</v>
      </c>
      <c r="FL113" s="28">
        <v>0</v>
      </c>
      <c r="FM113" s="28">
        <v>0</v>
      </c>
      <c r="FN113" s="28">
        <v>0</v>
      </c>
      <c r="FO113" s="28">
        <v>0</v>
      </c>
      <c r="FP113" s="28">
        <v>0</v>
      </c>
      <c r="FQ113" s="28">
        <v>0</v>
      </c>
      <c r="FR113" s="28">
        <v>0</v>
      </c>
      <c r="FS113" s="28">
        <v>0.39083886099421999</v>
      </c>
      <c r="FT113" s="28">
        <v>31.061265892426</v>
      </c>
      <c r="FU113" s="28">
        <v>0</v>
      </c>
      <c r="FV113" s="28">
        <v>0</v>
      </c>
      <c r="FW113" s="28">
        <v>0</v>
      </c>
      <c r="FX113" s="28">
        <v>0</v>
      </c>
      <c r="FY113" s="28">
        <v>0</v>
      </c>
      <c r="FZ113" s="28">
        <v>0</v>
      </c>
      <c r="GA113" s="28">
        <v>0</v>
      </c>
      <c r="GB113" s="28">
        <v>0</v>
      </c>
      <c r="GC113" s="28">
        <v>0</v>
      </c>
      <c r="GD113" s="28">
        <v>0</v>
      </c>
      <c r="GE113" s="28">
        <v>0</v>
      </c>
      <c r="GF113" s="28">
        <v>0</v>
      </c>
      <c r="GG113" s="28">
        <v>6.3893335203018502</v>
      </c>
      <c r="GH113" s="28">
        <v>0</v>
      </c>
      <c r="GI113" s="28">
        <v>7.4844061205448197E-3</v>
      </c>
      <c r="GJ113" s="28">
        <v>1.7215697558127501</v>
      </c>
      <c r="GK113" s="28">
        <v>48.882507596103402</v>
      </c>
      <c r="GL113" s="28">
        <v>0</v>
      </c>
      <c r="GM113" s="28">
        <v>0</v>
      </c>
      <c r="GN113" s="28">
        <v>0</v>
      </c>
      <c r="GO113" s="28">
        <v>0</v>
      </c>
      <c r="GP113" s="28">
        <v>0</v>
      </c>
      <c r="GQ113" s="21">
        <v>614.71264589858993</v>
      </c>
      <c r="GR113" s="21">
        <v>1729.86734730434</v>
      </c>
      <c r="GS113" s="20">
        <v>1557.7044094992154</v>
      </c>
      <c r="GT113" s="20">
        <v>0</v>
      </c>
      <c r="GU113" s="20">
        <v>172.16293780512459</v>
      </c>
      <c r="GV113" s="20">
        <v>172.16293780512459</v>
      </c>
      <c r="GW113" s="20">
        <v>0</v>
      </c>
      <c r="GX113" s="21">
        <v>-19.510650025468003</v>
      </c>
      <c r="GY113" s="20">
        <v>0</v>
      </c>
      <c r="GZ113" s="20">
        <v>-19.510650025468003</v>
      </c>
      <c r="HA113" s="20"/>
      <c r="HB113" s="21">
        <v>12.594243926412201</v>
      </c>
      <c r="HC113" s="21">
        <v>2337.6635871038743</v>
      </c>
    </row>
    <row r="114" spans="2:211" s="7" customFormat="1" ht="17.25" customHeight="1">
      <c r="B114" s="26" t="s">
        <v>96</v>
      </c>
      <c r="C114" s="9" t="s">
        <v>537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0.562086219739239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  <c r="EU114" s="28">
        <v>0</v>
      </c>
      <c r="EV114" s="28">
        <v>0</v>
      </c>
      <c r="EW114" s="28">
        <v>0</v>
      </c>
      <c r="EX114" s="28">
        <v>0</v>
      </c>
      <c r="EY114" s="28">
        <v>0</v>
      </c>
      <c r="EZ114" s="28">
        <v>0</v>
      </c>
      <c r="FA114" s="28">
        <v>0</v>
      </c>
      <c r="FB114" s="28">
        <v>0</v>
      </c>
      <c r="FC114" s="28">
        <v>0</v>
      </c>
      <c r="FD114" s="28">
        <v>0</v>
      </c>
      <c r="FE114" s="28">
        <v>0</v>
      </c>
      <c r="FF114" s="28">
        <v>0</v>
      </c>
      <c r="FG114" s="28">
        <v>0</v>
      </c>
      <c r="FH114" s="28">
        <v>0</v>
      </c>
      <c r="FI114" s="28">
        <v>0</v>
      </c>
      <c r="FJ114" s="28">
        <v>0</v>
      </c>
      <c r="FK114" s="28">
        <v>0</v>
      </c>
      <c r="FL114" s="28">
        <v>0</v>
      </c>
      <c r="FM114" s="28">
        <v>0</v>
      </c>
      <c r="FN114" s="28">
        <v>0</v>
      </c>
      <c r="FO114" s="28">
        <v>0</v>
      </c>
      <c r="FP114" s="28">
        <v>0</v>
      </c>
      <c r="FQ114" s="28">
        <v>0</v>
      </c>
      <c r="FR114" s="28">
        <v>0</v>
      </c>
      <c r="FS114" s="28">
        <v>39.009874463447602</v>
      </c>
      <c r="FT114" s="28">
        <v>3068.1979504685</v>
      </c>
      <c r="FU114" s="28">
        <v>0</v>
      </c>
      <c r="FV114" s="28">
        <v>0</v>
      </c>
      <c r="FW114" s="28">
        <v>0</v>
      </c>
      <c r="FX114" s="28">
        <v>0</v>
      </c>
      <c r="FY114" s="28">
        <v>0</v>
      </c>
      <c r="FZ114" s="28">
        <v>0</v>
      </c>
      <c r="GA114" s="28">
        <v>0</v>
      </c>
      <c r="GB114" s="28">
        <v>0</v>
      </c>
      <c r="GC114" s="28">
        <v>0</v>
      </c>
      <c r="GD114" s="28">
        <v>0</v>
      </c>
      <c r="GE114" s="28">
        <v>0</v>
      </c>
      <c r="GF114" s="28">
        <v>0</v>
      </c>
      <c r="GG114" s="28">
        <v>0</v>
      </c>
      <c r="GH114" s="28">
        <v>0</v>
      </c>
      <c r="GI114" s="28">
        <v>0</v>
      </c>
      <c r="GJ114" s="28">
        <v>0</v>
      </c>
      <c r="GK114" s="28">
        <v>0</v>
      </c>
      <c r="GL114" s="28">
        <v>0</v>
      </c>
      <c r="GM114" s="28">
        <v>576.69357546274296</v>
      </c>
      <c r="GN114" s="28">
        <v>0</v>
      </c>
      <c r="GO114" s="28">
        <v>0</v>
      </c>
      <c r="GP114" s="28">
        <v>0</v>
      </c>
      <c r="GQ114" s="21">
        <v>3684.4634866144324</v>
      </c>
      <c r="GR114" s="21">
        <v>1661.4983032406601</v>
      </c>
      <c r="GS114" s="20">
        <v>1661.4983032406601</v>
      </c>
      <c r="GT114" s="20">
        <v>0</v>
      </c>
      <c r="GU114" s="20">
        <v>0</v>
      </c>
      <c r="GV114" s="20">
        <v>0</v>
      </c>
      <c r="GW114" s="20">
        <v>0</v>
      </c>
      <c r="GX114" s="21">
        <v>40.551898680416983</v>
      </c>
      <c r="GY114" s="20">
        <v>0</v>
      </c>
      <c r="GZ114" s="20">
        <v>40.551898680416983</v>
      </c>
      <c r="HA114" s="20"/>
      <c r="HB114" s="21">
        <v>2.3062412399999999</v>
      </c>
      <c r="HC114" s="21">
        <v>5388.81992977551</v>
      </c>
    </row>
    <row r="115" spans="2:211" s="7" customFormat="1" ht="17.25" customHeight="1">
      <c r="B115" s="26" t="s">
        <v>538</v>
      </c>
      <c r="C115" s="9" t="s">
        <v>539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185.611076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  <c r="EU115" s="28">
        <v>0</v>
      </c>
      <c r="EV115" s="28">
        <v>0</v>
      </c>
      <c r="EW115" s="28">
        <v>0</v>
      </c>
      <c r="EX115" s="28">
        <v>0</v>
      </c>
      <c r="EY115" s="28">
        <v>0</v>
      </c>
      <c r="EZ115" s="28">
        <v>0</v>
      </c>
      <c r="FA115" s="28">
        <v>0</v>
      </c>
      <c r="FB115" s="28">
        <v>0</v>
      </c>
      <c r="FC115" s="28">
        <v>0</v>
      </c>
      <c r="FD115" s="28">
        <v>0</v>
      </c>
      <c r="FE115" s="28">
        <v>0</v>
      </c>
      <c r="FF115" s="28">
        <v>0</v>
      </c>
      <c r="FG115" s="28">
        <v>0</v>
      </c>
      <c r="FH115" s="28">
        <v>0</v>
      </c>
      <c r="FI115" s="28">
        <v>0</v>
      </c>
      <c r="FJ115" s="28">
        <v>0</v>
      </c>
      <c r="FK115" s="28">
        <v>0</v>
      </c>
      <c r="FL115" s="28">
        <v>0</v>
      </c>
      <c r="FM115" s="28">
        <v>0</v>
      </c>
      <c r="FN115" s="28">
        <v>0</v>
      </c>
      <c r="FO115" s="28">
        <v>0</v>
      </c>
      <c r="FP115" s="28">
        <v>0</v>
      </c>
      <c r="FQ115" s="28">
        <v>0</v>
      </c>
      <c r="FR115" s="28">
        <v>0</v>
      </c>
      <c r="FS115" s="28">
        <v>0</v>
      </c>
      <c r="FT115" s="28">
        <v>0</v>
      </c>
      <c r="FU115" s="28">
        <v>0</v>
      </c>
      <c r="FV115" s="28">
        <v>0</v>
      </c>
      <c r="FW115" s="28">
        <v>0</v>
      </c>
      <c r="FX115" s="28">
        <v>0</v>
      </c>
      <c r="FY115" s="28">
        <v>0</v>
      </c>
      <c r="FZ115" s="28">
        <v>0</v>
      </c>
      <c r="GA115" s="28">
        <v>0</v>
      </c>
      <c r="GB115" s="28">
        <v>0</v>
      </c>
      <c r="GC115" s="28">
        <v>0</v>
      </c>
      <c r="GD115" s="28">
        <v>0</v>
      </c>
      <c r="GE115" s="28">
        <v>0</v>
      </c>
      <c r="GF115" s="28">
        <v>0</v>
      </c>
      <c r="GG115" s="28">
        <v>0</v>
      </c>
      <c r="GH115" s="28">
        <v>0</v>
      </c>
      <c r="GI115" s="28">
        <v>0</v>
      </c>
      <c r="GJ115" s="28">
        <v>0</v>
      </c>
      <c r="GK115" s="28">
        <v>0</v>
      </c>
      <c r="GL115" s="28">
        <v>0</v>
      </c>
      <c r="GM115" s="28">
        <v>0</v>
      </c>
      <c r="GN115" s="28">
        <v>0</v>
      </c>
      <c r="GO115" s="28">
        <v>0</v>
      </c>
      <c r="GP115" s="28">
        <v>0</v>
      </c>
      <c r="GQ115" s="21">
        <v>185.611076</v>
      </c>
      <c r="GR115" s="21">
        <v>0</v>
      </c>
      <c r="GS115" s="20">
        <v>0</v>
      </c>
      <c r="GT115" s="20">
        <v>0</v>
      </c>
      <c r="GU115" s="20">
        <v>0</v>
      </c>
      <c r="GV115" s="20">
        <v>0</v>
      </c>
      <c r="GW115" s="20">
        <v>0</v>
      </c>
      <c r="GX115" s="21">
        <v>0</v>
      </c>
      <c r="GY115" s="20">
        <v>0</v>
      </c>
      <c r="GZ115" s="20">
        <v>0</v>
      </c>
      <c r="HA115" s="20"/>
      <c r="HB115" s="21">
        <v>0</v>
      </c>
      <c r="HC115" s="21">
        <v>185.611076</v>
      </c>
    </row>
    <row r="116" spans="2:211" s="7" customFormat="1" ht="17.25" customHeight="1">
      <c r="B116" s="26" t="s">
        <v>540</v>
      </c>
      <c r="C116" s="9" t="s">
        <v>541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3.4666415139936103E-2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  <c r="EU116" s="28">
        <v>0</v>
      </c>
      <c r="EV116" s="28">
        <v>0</v>
      </c>
      <c r="EW116" s="28">
        <v>0</v>
      </c>
      <c r="EX116" s="28">
        <v>0</v>
      </c>
      <c r="EY116" s="28">
        <v>0</v>
      </c>
      <c r="EZ116" s="28">
        <v>0</v>
      </c>
      <c r="FA116" s="28">
        <v>0</v>
      </c>
      <c r="FB116" s="28">
        <v>0</v>
      </c>
      <c r="FC116" s="28">
        <v>0</v>
      </c>
      <c r="FD116" s="28">
        <v>0</v>
      </c>
      <c r="FE116" s="28">
        <v>0</v>
      </c>
      <c r="FF116" s="28">
        <v>0</v>
      </c>
      <c r="FG116" s="28">
        <v>0</v>
      </c>
      <c r="FH116" s="28">
        <v>0</v>
      </c>
      <c r="FI116" s="28">
        <v>0</v>
      </c>
      <c r="FJ116" s="28">
        <v>0</v>
      </c>
      <c r="FK116" s="28">
        <v>0</v>
      </c>
      <c r="FL116" s="28">
        <v>0</v>
      </c>
      <c r="FM116" s="28">
        <v>0</v>
      </c>
      <c r="FN116" s="28">
        <v>0</v>
      </c>
      <c r="FO116" s="28">
        <v>0</v>
      </c>
      <c r="FP116" s="28">
        <v>0</v>
      </c>
      <c r="FQ116" s="28">
        <v>0</v>
      </c>
      <c r="FR116" s="28">
        <v>0</v>
      </c>
      <c r="FS116" s="28">
        <v>2.3365813856273299</v>
      </c>
      <c r="FT116" s="28">
        <v>185.695904224163</v>
      </c>
      <c r="FU116" s="28">
        <v>0</v>
      </c>
      <c r="FV116" s="28">
        <v>0</v>
      </c>
      <c r="FW116" s="28">
        <v>0</v>
      </c>
      <c r="FX116" s="28">
        <v>0</v>
      </c>
      <c r="FY116" s="28">
        <v>0</v>
      </c>
      <c r="FZ116" s="28">
        <v>0</v>
      </c>
      <c r="GA116" s="28">
        <v>0</v>
      </c>
      <c r="GB116" s="28">
        <v>0</v>
      </c>
      <c r="GC116" s="28">
        <v>0</v>
      </c>
      <c r="GD116" s="28">
        <v>0</v>
      </c>
      <c r="GE116" s="28">
        <v>0</v>
      </c>
      <c r="GF116" s="28">
        <v>0</v>
      </c>
      <c r="GG116" s="28">
        <v>0</v>
      </c>
      <c r="GH116" s="28">
        <v>0</v>
      </c>
      <c r="GI116" s="28">
        <v>0</v>
      </c>
      <c r="GJ116" s="28">
        <v>0</v>
      </c>
      <c r="GK116" s="28">
        <v>0</v>
      </c>
      <c r="GL116" s="28">
        <v>0</v>
      </c>
      <c r="GM116" s="28">
        <v>26.444170594498399</v>
      </c>
      <c r="GN116" s="28">
        <v>0</v>
      </c>
      <c r="GO116" s="28">
        <v>0</v>
      </c>
      <c r="GP116" s="28">
        <v>0</v>
      </c>
      <c r="GQ116" s="21">
        <v>214.51132261942931</v>
      </c>
      <c r="GR116" s="21">
        <v>153.106984187112</v>
      </c>
      <c r="GS116" s="20">
        <v>153.106984187112</v>
      </c>
      <c r="GT116" s="20">
        <v>0</v>
      </c>
      <c r="GU116" s="20">
        <v>0</v>
      </c>
      <c r="GV116" s="20">
        <v>0</v>
      </c>
      <c r="GW116" s="20">
        <v>0</v>
      </c>
      <c r="GX116" s="21">
        <v>6.0893555306826963</v>
      </c>
      <c r="GY116" s="20">
        <v>0</v>
      </c>
      <c r="GZ116" s="20">
        <v>6.0893555306826963</v>
      </c>
      <c r="HA116" s="20"/>
      <c r="HB116" s="21">
        <v>0.76292207040000004</v>
      </c>
      <c r="HC116" s="21">
        <v>374.47058440762407</v>
      </c>
    </row>
    <row r="117" spans="2:211" s="7" customFormat="1" ht="17.25" customHeight="1">
      <c r="B117" s="26" t="s">
        <v>97</v>
      </c>
      <c r="C117" s="9" t="s">
        <v>542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0.106429473620934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  <c r="EU117" s="28">
        <v>0</v>
      </c>
      <c r="EV117" s="28">
        <v>0</v>
      </c>
      <c r="EW117" s="28">
        <v>0</v>
      </c>
      <c r="EX117" s="28">
        <v>0</v>
      </c>
      <c r="EY117" s="28">
        <v>0</v>
      </c>
      <c r="EZ117" s="28">
        <v>0</v>
      </c>
      <c r="FA117" s="28">
        <v>0</v>
      </c>
      <c r="FB117" s="28">
        <v>0</v>
      </c>
      <c r="FC117" s="28">
        <v>0</v>
      </c>
      <c r="FD117" s="28">
        <v>0</v>
      </c>
      <c r="FE117" s="28">
        <v>0</v>
      </c>
      <c r="FF117" s="28">
        <v>0</v>
      </c>
      <c r="FG117" s="28">
        <v>0</v>
      </c>
      <c r="FH117" s="28">
        <v>0</v>
      </c>
      <c r="FI117" s="28">
        <v>0</v>
      </c>
      <c r="FJ117" s="28">
        <v>0</v>
      </c>
      <c r="FK117" s="28">
        <v>0</v>
      </c>
      <c r="FL117" s="28">
        <v>0</v>
      </c>
      <c r="FM117" s="28">
        <v>0</v>
      </c>
      <c r="FN117" s="28">
        <v>0</v>
      </c>
      <c r="FO117" s="28">
        <v>0</v>
      </c>
      <c r="FP117" s="28">
        <v>0</v>
      </c>
      <c r="FQ117" s="28">
        <v>0</v>
      </c>
      <c r="FR117" s="28">
        <v>0</v>
      </c>
      <c r="FS117" s="28">
        <v>7.3701474821587398</v>
      </c>
      <c r="FT117" s="28">
        <v>589.06943527468104</v>
      </c>
      <c r="FU117" s="28">
        <v>0</v>
      </c>
      <c r="FV117" s="28">
        <v>0</v>
      </c>
      <c r="FW117" s="28">
        <v>0</v>
      </c>
      <c r="FX117" s="28">
        <v>0</v>
      </c>
      <c r="FY117" s="28">
        <v>0</v>
      </c>
      <c r="FZ117" s="28">
        <v>0</v>
      </c>
      <c r="GA117" s="28">
        <v>0</v>
      </c>
      <c r="GB117" s="28">
        <v>0</v>
      </c>
      <c r="GC117" s="28">
        <v>0</v>
      </c>
      <c r="GD117" s="28">
        <v>0</v>
      </c>
      <c r="GE117" s="28">
        <v>0</v>
      </c>
      <c r="GF117" s="28">
        <v>0</v>
      </c>
      <c r="GG117" s="28">
        <v>0</v>
      </c>
      <c r="GH117" s="28">
        <v>0</v>
      </c>
      <c r="GI117" s="28">
        <v>0</v>
      </c>
      <c r="GJ117" s="28">
        <v>0</v>
      </c>
      <c r="GK117" s="28">
        <v>0</v>
      </c>
      <c r="GL117" s="28">
        <v>0</v>
      </c>
      <c r="GM117" s="28">
        <v>104.90292314355899</v>
      </c>
      <c r="GN117" s="28">
        <v>0</v>
      </c>
      <c r="GO117" s="28">
        <v>0</v>
      </c>
      <c r="GP117" s="28">
        <v>0</v>
      </c>
      <c r="GQ117" s="21">
        <v>701.44893537401981</v>
      </c>
      <c r="GR117" s="21">
        <v>198.81853696037501</v>
      </c>
      <c r="GS117" s="20">
        <v>198.81853696037501</v>
      </c>
      <c r="GT117" s="20">
        <v>0</v>
      </c>
      <c r="GU117" s="20">
        <v>0</v>
      </c>
      <c r="GV117" s="20">
        <v>0</v>
      </c>
      <c r="GW117" s="20">
        <v>0</v>
      </c>
      <c r="GX117" s="21">
        <v>9.1169065531369533</v>
      </c>
      <c r="GY117" s="20">
        <v>0</v>
      </c>
      <c r="GZ117" s="20">
        <v>9.1169065531369533</v>
      </c>
      <c r="HA117" s="20"/>
      <c r="HB117" s="21">
        <v>1.09011174</v>
      </c>
      <c r="HC117" s="21">
        <v>910.47449062753174</v>
      </c>
    </row>
    <row r="118" spans="2:211" s="7" customFormat="1" ht="17.25" customHeight="1">
      <c r="B118" s="26" t="s">
        <v>543</v>
      </c>
      <c r="C118" s="9" t="s">
        <v>544</v>
      </c>
      <c r="D118" s="28">
        <v>0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26.3420616316129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1.51859365797458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  <c r="EU118" s="28">
        <v>0</v>
      </c>
      <c r="EV118" s="28">
        <v>0</v>
      </c>
      <c r="EW118" s="28">
        <v>0</v>
      </c>
      <c r="EX118" s="28">
        <v>0</v>
      </c>
      <c r="EY118" s="28">
        <v>0</v>
      </c>
      <c r="EZ118" s="28">
        <v>0</v>
      </c>
      <c r="FA118" s="28">
        <v>0</v>
      </c>
      <c r="FB118" s="28">
        <v>0</v>
      </c>
      <c r="FC118" s="28">
        <v>0</v>
      </c>
      <c r="FD118" s="28">
        <v>0</v>
      </c>
      <c r="FE118" s="28">
        <v>0</v>
      </c>
      <c r="FF118" s="28">
        <v>0</v>
      </c>
      <c r="FG118" s="28">
        <v>0</v>
      </c>
      <c r="FH118" s="28">
        <v>0</v>
      </c>
      <c r="FI118" s="28">
        <v>0</v>
      </c>
      <c r="FJ118" s="28">
        <v>0</v>
      </c>
      <c r="FK118" s="28">
        <v>0</v>
      </c>
      <c r="FL118" s="28">
        <v>0</v>
      </c>
      <c r="FM118" s="28">
        <v>0</v>
      </c>
      <c r="FN118" s="28">
        <v>0</v>
      </c>
      <c r="FO118" s="28">
        <v>0</v>
      </c>
      <c r="FP118" s="28">
        <v>0</v>
      </c>
      <c r="FQ118" s="28">
        <v>0</v>
      </c>
      <c r="FR118" s="28">
        <v>0</v>
      </c>
      <c r="FS118" s="28">
        <v>0</v>
      </c>
      <c r="FT118" s="28">
        <v>0</v>
      </c>
      <c r="FU118" s="28">
        <v>0</v>
      </c>
      <c r="FV118" s="28">
        <v>0</v>
      </c>
      <c r="FW118" s="28">
        <v>0</v>
      </c>
      <c r="FX118" s="28">
        <v>0</v>
      </c>
      <c r="FY118" s="28">
        <v>0</v>
      </c>
      <c r="FZ118" s="28">
        <v>0</v>
      </c>
      <c r="GA118" s="28">
        <v>0</v>
      </c>
      <c r="GB118" s="28">
        <v>0</v>
      </c>
      <c r="GC118" s="28">
        <v>0</v>
      </c>
      <c r="GD118" s="28">
        <v>0</v>
      </c>
      <c r="GE118" s="28">
        <v>0</v>
      </c>
      <c r="GF118" s="28">
        <v>0</v>
      </c>
      <c r="GG118" s="28">
        <v>0</v>
      </c>
      <c r="GH118" s="28">
        <v>0</v>
      </c>
      <c r="GI118" s="28">
        <v>0</v>
      </c>
      <c r="GJ118" s="28">
        <v>0</v>
      </c>
      <c r="GK118" s="28">
        <v>0</v>
      </c>
      <c r="GL118" s="28">
        <v>0</v>
      </c>
      <c r="GM118" s="28">
        <v>0</v>
      </c>
      <c r="GN118" s="28">
        <v>0</v>
      </c>
      <c r="GO118" s="28">
        <v>0</v>
      </c>
      <c r="GP118" s="28">
        <v>0</v>
      </c>
      <c r="GQ118" s="21">
        <v>27.860655289587481</v>
      </c>
      <c r="GR118" s="21">
        <v>8.7790253463180097</v>
      </c>
      <c r="GS118" s="20">
        <v>8.7790253463180097</v>
      </c>
      <c r="GT118" s="20">
        <v>0</v>
      </c>
      <c r="GU118" s="20">
        <v>0</v>
      </c>
      <c r="GV118" s="20">
        <v>0</v>
      </c>
      <c r="GW118" s="20">
        <v>0</v>
      </c>
      <c r="GX118" s="21">
        <v>91.532225275324208</v>
      </c>
      <c r="GY118" s="20">
        <v>0</v>
      </c>
      <c r="GZ118" s="20">
        <v>91.532225275324208</v>
      </c>
      <c r="HA118" s="20"/>
      <c r="HB118" s="21">
        <v>264.0143762088</v>
      </c>
      <c r="HC118" s="21">
        <v>392.18628212002972</v>
      </c>
    </row>
    <row r="119" spans="2:211" s="7" customFormat="1" ht="17.25" customHeight="1">
      <c r="B119" s="26" t="s">
        <v>98</v>
      </c>
      <c r="C119" s="10" t="s">
        <v>545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8.1431696445857099E-2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1.39078314446138E-2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0.16629734365468599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4.0261948251126903E-3</v>
      </c>
      <c r="DL119" s="28">
        <v>7.8772363485897695E-2</v>
      </c>
      <c r="DM119" s="28">
        <v>0</v>
      </c>
      <c r="DN119" s="28">
        <v>3.7280784064540702E-3</v>
      </c>
      <c r="DO119" s="28">
        <v>0</v>
      </c>
      <c r="DP119" s="28">
        <v>0</v>
      </c>
      <c r="DQ119" s="28">
        <v>0</v>
      </c>
      <c r="DR119" s="28">
        <v>0.51911721842335701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  <c r="EU119" s="28">
        <v>0</v>
      </c>
      <c r="EV119" s="28">
        <v>0</v>
      </c>
      <c r="EW119" s="28">
        <v>0</v>
      </c>
      <c r="EX119" s="28">
        <v>0</v>
      </c>
      <c r="EY119" s="28">
        <v>0</v>
      </c>
      <c r="EZ119" s="28">
        <v>0</v>
      </c>
      <c r="FA119" s="28">
        <v>0</v>
      </c>
      <c r="FB119" s="28">
        <v>0</v>
      </c>
      <c r="FC119" s="28">
        <v>0</v>
      </c>
      <c r="FD119" s="28">
        <v>0</v>
      </c>
      <c r="FE119" s="28">
        <v>0</v>
      </c>
      <c r="FF119" s="28">
        <v>0</v>
      </c>
      <c r="FG119" s="28">
        <v>0</v>
      </c>
      <c r="FH119" s="28">
        <v>0</v>
      </c>
      <c r="FI119" s="28">
        <v>0</v>
      </c>
      <c r="FJ119" s="28">
        <v>0</v>
      </c>
      <c r="FK119" s="28">
        <v>0</v>
      </c>
      <c r="FL119" s="28">
        <v>0</v>
      </c>
      <c r="FM119" s="28">
        <v>0</v>
      </c>
      <c r="FN119" s="28">
        <v>0</v>
      </c>
      <c r="FO119" s="28">
        <v>0</v>
      </c>
      <c r="FP119" s="28">
        <v>0</v>
      </c>
      <c r="FQ119" s="28">
        <v>0</v>
      </c>
      <c r="FR119" s="28">
        <v>0</v>
      </c>
      <c r="FS119" s="28">
        <v>5.5269044844295898</v>
      </c>
      <c r="FT119" s="28">
        <v>442.58093150180798</v>
      </c>
      <c r="FU119" s="28">
        <v>0</v>
      </c>
      <c r="FV119" s="28">
        <v>0</v>
      </c>
      <c r="FW119" s="28">
        <v>0</v>
      </c>
      <c r="FX119" s="28">
        <v>0</v>
      </c>
      <c r="FY119" s="28">
        <v>0</v>
      </c>
      <c r="FZ119" s="28">
        <v>0</v>
      </c>
      <c r="GA119" s="28">
        <v>0</v>
      </c>
      <c r="GB119" s="28">
        <v>0</v>
      </c>
      <c r="GC119" s="28">
        <v>0</v>
      </c>
      <c r="GD119" s="28">
        <v>0</v>
      </c>
      <c r="GE119" s="28">
        <v>0</v>
      </c>
      <c r="GF119" s="28">
        <v>0</v>
      </c>
      <c r="GG119" s="28">
        <v>0.44352370854413198</v>
      </c>
      <c r="GH119" s="28">
        <v>0</v>
      </c>
      <c r="GI119" s="28">
        <v>4.7547714443894997E-3</v>
      </c>
      <c r="GJ119" s="28">
        <v>0</v>
      </c>
      <c r="GK119" s="28">
        <v>5.2587638299638598E-2</v>
      </c>
      <c r="GL119" s="28">
        <v>0.126236784587101</v>
      </c>
      <c r="GM119" s="28">
        <v>354.64746581372401</v>
      </c>
      <c r="GN119" s="28">
        <v>0</v>
      </c>
      <c r="GO119" s="28">
        <v>0</v>
      </c>
      <c r="GP119" s="28">
        <v>0</v>
      </c>
      <c r="GQ119" s="21">
        <v>804.24968542952206</v>
      </c>
      <c r="GR119" s="21">
        <v>3699.0958697576798</v>
      </c>
      <c r="GS119" s="20">
        <v>3662.6216027234282</v>
      </c>
      <c r="GT119" s="20">
        <v>0</v>
      </c>
      <c r="GU119" s="20">
        <v>36.474267034251632</v>
      </c>
      <c r="GV119" s="20">
        <v>36.474267034251632</v>
      </c>
      <c r="GW119" s="20">
        <v>0</v>
      </c>
      <c r="GX119" s="21">
        <v>-10.999537680370301</v>
      </c>
      <c r="GY119" s="20">
        <v>0</v>
      </c>
      <c r="GZ119" s="20">
        <v>-10.999537680370301</v>
      </c>
      <c r="HA119" s="20"/>
      <c r="HB119" s="21">
        <v>4.9833600000000005E-4</v>
      </c>
      <c r="HC119" s="21">
        <v>4492.3465158428326</v>
      </c>
    </row>
    <row r="120" spans="2:211" s="7" customFormat="1" ht="17.25" customHeight="1">
      <c r="B120" s="26" t="s">
        <v>100</v>
      </c>
      <c r="C120" s="9" t="s">
        <v>546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2.5027340093366299E-2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  <c r="EU120" s="28">
        <v>0</v>
      </c>
      <c r="EV120" s="28">
        <v>0</v>
      </c>
      <c r="EW120" s="28">
        <v>0</v>
      </c>
      <c r="EX120" s="28">
        <v>0</v>
      </c>
      <c r="EY120" s="28">
        <v>0</v>
      </c>
      <c r="EZ120" s="28">
        <v>0</v>
      </c>
      <c r="FA120" s="28">
        <v>0</v>
      </c>
      <c r="FB120" s="28">
        <v>0</v>
      </c>
      <c r="FC120" s="28">
        <v>0</v>
      </c>
      <c r="FD120" s="28">
        <v>0</v>
      </c>
      <c r="FE120" s="28">
        <v>0</v>
      </c>
      <c r="FF120" s="28">
        <v>0</v>
      </c>
      <c r="FG120" s="28">
        <v>0</v>
      </c>
      <c r="FH120" s="28">
        <v>0</v>
      </c>
      <c r="FI120" s="28">
        <v>0</v>
      </c>
      <c r="FJ120" s="28">
        <v>0</v>
      </c>
      <c r="FK120" s="28">
        <v>0</v>
      </c>
      <c r="FL120" s="28">
        <v>0</v>
      </c>
      <c r="FM120" s="28">
        <v>0</v>
      </c>
      <c r="FN120" s="28">
        <v>0</v>
      </c>
      <c r="FO120" s="28">
        <v>0</v>
      </c>
      <c r="FP120" s="28">
        <v>0</v>
      </c>
      <c r="FQ120" s="28">
        <v>0</v>
      </c>
      <c r="FR120" s="28">
        <v>0</v>
      </c>
      <c r="FS120" s="28">
        <v>1.7041061130513</v>
      </c>
      <c r="FT120" s="28">
        <v>133.00628988330101</v>
      </c>
      <c r="FU120" s="28">
        <v>0</v>
      </c>
      <c r="FV120" s="28">
        <v>0</v>
      </c>
      <c r="FW120" s="28">
        <v>0</v>
      </c>
      <c r="FX120" s="28">
        <v>0</v>
      </c>
      <c r="FY120" s="28">
        <v>0</v>
      </c>
      <c r="FZ120" s="28">
        <v>0</v>
      </c>
      <c r="GA120" s="28">
        <v>0</v>
      </c>
      <c r="GB120" s="28">
        <v>0</v>
      </c>
      <c r="GC120" s="28">
        <v>0</v>
      </c>
      <c r="GD120" s="28">
        <v>0</v>
      </c>
      <c r="GE120" s="28">
        <v>0</v>
      </c>
      <c r="GF120" s="28">
        <v>0</v>
      </c>
      <c r="GG120" s="28">
        <v>0</v>
      </c>
      <c r="GH120" s="28">
        <v>0</v>
      </c>
      <c r="GI120" s="28">
        <v>0</v>
      </c>
      <c r="GJ120" s="28">
        <v>0</v>
      </c>
      <c r="GK120" s="28">
        <v>0</v>
      </c>
      <c r="GL120" s="28">
        <v>0</v>
      </c>
      <c r="GM120" s="28">
        <v>11.2514652281724</v>
      </c>
      <c r="GN120" s="28">
        <v>0</v>
      </c>
      <c r="GO120" s="28">
        <v>0</v>
      </c>
      <c r="GP120" s="28">
        <v>0</v>
      </c>
      <c r="GQ120" s="21">
        <v>145.98688856461777</v>
      </c>
      <c r="GR120" s="21">
        <v>795.53710348222501</v>
      </c>
      <c r="GS120" s="20">
        <v>795.53710348222501</v>
      </c>
      <c r="GT120" s="20">
        <v>0</v>
      </c>
      <c r="GU120" s="20">
        <v>0</v>
      </c>
      <c r="GV120" s="20">
        <v>0</v>
      </c>
      <c r="GW120" s="20">
        <v>0</v>
      </c>
      <c r="GX120" s="21">
        <v>33.176244012910338</v>
      </c>
      <c r="GY120" s="20">
        <v>0</v>
      </c>
      <c r="GZ120" s="20">
        <v>33.176244012910338</v>
      </c>
      <c r="HA120" s="20"/>
      <c r="HB120" s="21">
        <v>1.383822E-2</v>
      </c>
      <c r="HC120" s="21">
        <v>974.71407427975316</v>
      </c>
    </row>
    <row r="121" spans="2:211" s="7" customFormat="1" ht="17.25" customHeight="1">
      <c r="B121" s="26" t="s">
        <v>105</v>
      </c>
      <c r="C121" s="10" t="s">
        <v>547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5.9880671501159703</v>
      </c>
      <c r="CR121" s="28">
        <v>208.38031295766299</v>
      </c>
      <c r="CS121" s="28">
        <v>1.24896804410471</v>
      </c>
      <c r="CT121" s="28">
        <v>15.6519855240702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2.28735815650929E-2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  <c r="EU121" s="28">
        <v>0</v>
      </c>
      <c r="EV121" s="28">
        <v>0</v>
      </c>
      <c r="EW121" s="28">
        <v>0</v>
      </c>
      <c r="EX121" s="28">
        <v>0</v>
      </c>
      <c r="EY121" s="28">
        <v>0</v>
      </c>
      <c r="EZ121" s="28">
        <v>0</v>
      </c>
      <c r="FA121" s="28">
        <v>0</v>
      </c>
      <c r="FB121" s="28">
        <v>0</v>
      </c>
      <c r="FC121" s="28">
        <v>0</v>
      </c>
      <c r="FD121" s="28">
        <v>0</v>
      </c>
      <c r="FE121" s="28">
        <v>0</v>
      </c>
      <c r="FF121" s="28">
        <v>0</v>
      </c>
      <c r="FG121" s="28">
        <v>0</v>
      </c>
      <c r="FH121" s="28">
        <v>0</v>
      </c>
      <c r="FI121" s="28">
        <v>0</v>
      </c>
      <c r="FJ121" s="28">
        <v>0</v>
      </c>
      <c r="FK121" s="28">
        <v>0</v>
      </c>
      <c r="FL121" s="28">
        <v>0</v>
      </c>
      <c r="FM121" s="28">
        <v>0</v>
      </c>
      <c r="FN121" s="28">
        <v>0</v>
      </c>
      <c r="FO121" s="28">
        <v>0</v>
      </c>
      <c r="FP121" s="28">
        <v>0</v>
      </c>
      <c r="FQ121" s="28">
        <v>0</v>
      </c>
      <c r="FR121" s="28">
        <v>0</v>
      </c>
      <c r="FS121" s="28">
        <v>0</v>
      </c>
      <c r="FT121" s="28">
        <v>0</v>
      </c>
      <c r="FU121" s="28">
        <v>0</v>
      </c>
      <c r="FV121" s="28">
        <v>0</v>
      </c>
      <c r="FW121" s="28">
        <v>0</v>
      </c>
      <c r="FX121" s="28">
        <v>0</v>
      </c>
      <c r="FY121" s="28">
        <v>0</v>
      </c>
      <c r="FZ121" s="28">
        <v>0</v>
      </c>
      <c r="GA121" s="28">
        <v>0</v>
      </c>
      <c r="GB121" s="28">
        <v>0</v>
      </c>
      <c r="GC121" s="28">
        <v>0</v>
      </c>
      <c r="GD121" s="28">
        <v>0</v>
      </c>
      <c r="GE121" s="28">
        <v>0</v>
      </c>
      <c r="GF121" s="28">
        <v>0</v>
      </c>
      <c r="GG121" s="28">
        <v>0</v>
      </c>
      <c r="GH121" s="28">
        <v>0</v>
      </c>
      <c r="GI121" s="28">
        <v>0</v>
      </c>
      <c r="GJ121" s="28">
        <v>0</v>
      </c>
      <c r="GK121" s="28">
        <v>0</v>
      </c>
      <c r="GL121" s="28">
        <v>0</v>
      </c>
      <c r="GM121" s="28">
        <v>0</v>
      </c>
      <c r="GN121" s="28">
        <v>0</v>
      </c>
      <c r="GO121" s="28">
        <v>0</v>
      </c>
      <c r="GP121" s="28">
        <v>0</v>
      </c>
      <c r="GQ121" s="21">
        <v>231.29220725751904</v>
      </c>
      <c r="GR121" s="21">
        <v>3.8685622459356699</v>
      </c>
      <c r="GS121" s="20">
        <v>3.8685622459356699</v>
      </c>
      <c r="GT121" s="20">
        <v>0</v>
      </c>
      <c r="GU121" s="20">
        <v>0</v>
      </c>
      <c r="GV121" s="20">
        <v>0</v>
      </c>
      <c r="GW121" s="20">
        <v>0</v>
      </c>
      <c r="GX121" s="21">
        <v>0.38564478892459148</v>
      </c>
      <c r="GY121" s="20">
        <v>0</v>
      </c>
      <c r="GZ121" s="20">
        <v>0.38564478892459148</v>
      </c>
      <c r="HA121" s="20"/>
      <c r="HB121" s="21">
        <v>37.318917333599998</v>
      </c>
      <c r="HC121" s="21">
        <v>272.86533162597931</v>
      </c>
    </row>
    <row r="122" spans="2:211" s="7" customFormat="1" ht="17.25" customHeight="1">
      <c r="B122" s="26" t="s">
        <v>106</v>
      </c>
      <c r="C122" s="9" t="s">
        <v>548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2.4871326695603999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0.263477978077578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0.93973815477391398</v>
      </c>
      <c r="CB122" s="28">
        <v>6.3497949675588597E-2</v>
      </c>
      <c r="CC122" s="28">
        <v>3.4806639781138002E-3</v>
      </c>
      <c r="CD122" s="28">
        <v>4.5729423137331297E-2</v>
      </c>
      <c r="CE122" s="28">
        <v>1.55491598871493E-2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0.239087149500847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383.01285955104998</v>
      </c>
      <c r="CT122" s="28">
        <v>50</v>
      </c>
      <c r="CU122" s="28">
        <v>19.497234777271899</v>
      </c>
      <c r="CV122" s="28">
        <v>10.3775865093112</v>
      </c>
      <c r="CW122" s="28">
        <v>0</v>
      </c>
      <c r="CX122" s="28">
        <v>1.48432131237482</v>
      </c>
      <c r="CY122" s="28">
        <v>5.8962824524892996</v>
      </c>
      <c r="CZ122" s="28">
        <v>14.8575093529713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15.539362080057501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0.72597316927006095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3.2288614171845599E-3</v>
      </c>
      <c r="ES122" s="28">
        <v>3.36300269225281</v>
      </c>
      <c r="ET122" s="28">
        <v>5.6712263541143698E-2</v>
      </c>
      <c r="EU122" s="28">
        <v>7.9635071805656196E-3</v>
      </c>
      <c r="EV122" s="28">
        <v>0.45749197744634001</v>
      </c>
      <c r="EW122" s="28">
        <v>0</v>
      </c>
      <c r="EX122" s="28">
        <v>0</v>
      </c>
      <c r="EY122" s="28">
        <v>0</v>
      </c>
      <c r="EZ122" s="28">
        <v>0</v>
      </c>
      <c r="FA122" s="28">
        <v>5.85233637362548E-3</v>
      </c>
      <c r="FB122" s="28">
        <v>9.8686425096982397E-4</v>
      </c>
      <c r="FC122" s="28">
        <v>0.13358752175435901</v>
      </c>
      <c r="FD122" s="28">
        <v>0</v>
      </c>
      <c r="FE122" s="28">
        <v>0</v>
      </c>
      <c r="FF122" s="28">
        <v>0</v>
      </c>
      <c r="FG122" s="28">
        <v>0</v>
      </c>
      <c r="FH122" s="28">
        <v>0</v>
      </c>
      <c r="FI122" s="28">
        <v>0</v>
      </c>
      <c r="FJ122" s="28">
        <v>0</v>
      </c>
      <c r="FK122" s="28">
        <v>0</v>
      </c>
      <c r="FL122" s="28">
        <v>0</v>
      </c>
      <c r="FM122" s="28">
        <v>0</v>
      </c>
      <c r="FN122" s="28">
        <v>4.3208837777664703E-2</v>
      </c>
      <c r="FO122" s="28">
        <v>0</v>
      </c>
      <c r="FP122" s="28">
        <v>0</v>
      </c>
      <c r="FQ122" s="28">
        <v>6.3940740617714504E-3</v>
      </c>
      <c r="FR122" s="28">
        <v>0</v>
      </c>
      <c r="FS122" s="28">
        <v>0</v>
      </c>
      <c r="FT122" s="28">
        <v>0</v>
      </c>
      <c r="FU122" s="28">
        <v>0</v>
      </c>
      <c r="FV122" s="28">
        <v>0</v>
      </c>
      <c r="FW122" s="28">
        <v>6.9170000000000004E-3</v>
      </c>
      <c r="FX122" s="28">
        <v>0</v>
      </c>
      <c r="FY122" s="28">
        <v>1.2960000000000001E-4</v>
      </c>
      <c r="FZ122" s="28">
        <v>0</v>
      </c>
      <c r="GA122" s="28">
        <v>0</v>
      </c>
      <c r="GB122" s="28">
        <v>0</v>
      </c>
      <c r="GC122" s="28">
        <v>0</v>
      </c>
      <c r="GD122" s="28">
        <v>0</v>
      </c>
      <c r="GE122" s="28">
        <v>0</v>
      </c>
      <c r="GF122" s="28">
        <v>0</v>
      </c>
      <c r="GG122" s="28">
        <v>21.718107839999998</v>
      </c>
      <c r="GH122" s="28">
        <v>0</v>
      </c>
      <c r="GI122" s="28">
        <v>1.0267791799999999</v>
      </c>
      <c r="GJ122" s="28">
        <v>0</v>
      </c>
      <c r="GK122" s="28">
        <v>7.9059692178492398</v>
      </c>
      <c r="GL122" s="28">
        <v>0</v>
      </c>
      <c r="GM122" s="28">
        <v>0</v>
      </c>
      <c r="GN122" s="28">
        <v>0</v>
      </c>
      <c r="GO122" s="28">
        <v>0</v>
      </c>
      <c r="GP122" s="28">
        <v>0</v>
      </c>
      <c r="GQ122" s="21">
        <v>540.18515412729209</v>
      </c>
      <c r="GR122" s="21">
        <v>53.730218524883</v>
      </c>
      <c r="GS122" s="20">
        <v>53.730218524883</v>
      </c>
      <c r="GT122" s="20">
        <v>0</v>
      </c>
      <c r="GU122" s="20">
        <v>0</v>
      </c>
      <c r="GV122" s="20">
        <v>0</v>
      </c>
      <c r="GW122" s="20">
        <v>0</v>
      </c>
      <c r="GX122" s="21">
        <v>0.31744317862397475</v>
      </c>
      <c r="GY122" s="20">
        <v>0</v>
      </c>
      <c r="GZ122" s="20">
        <v>0.31744317862397475</v>
      </c>
      <c r="HA122" s="20"/>
      <c r="HB122" s="21">
        <v>17.715672888</v>
      </c>
      <c r="HC122" s="21">
        <v>611.94848871879901</v>
      </c>
    </row>
    <row r="123" spans="2:211" s="7" customFormat="1" ht="17.25" customHeight="1">
      <c r="B123" s="26" t="s">
        <v>549</v>
      </c>
      <c r="C123" s="9" t="s">
        <v>550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1061.5763137817</v>
      </c>
      <c r="CU123" s="28">
        <v>3.9357953057072001E-2</v>
      </c>
      <c r="CV123" s="28">
        <v>117.244937860723</v>
      </c>
      <c r="CW123" s="28">
        <v>0</v>
      </c>
      <c r="CX123" s="28">
        <v>0.33362003710459898</v>
      </c>
      <c r="CY123" s="28">
        <v>1.18205786666732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1.0850315934027699</v>
      </c>
      <c r="DH123" s="28">
        <v>0.66542222814920804</v>
      </c>
      <c r="DI123" s="28">
        <v>1.23293100976547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2.01645299052934E-2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5.2226362311137198</v>
      </c>
      <c r="ET123" s="28">
        <v>0.22811373539285701</v>
      </c>
      <c r="EU123" s="28">
        <v>8.0586514650351493E-3</v>
      </c>
      <c r="EV123" s="28">
        <v>0.46796690433413501</v>
      </c>
      <c r="EW123" s="28">
        <v>0</v>
      </c>
      <c r="EX123" s="28">
        <v>0</v>
      </c>
      <c r="EY123" s="28">
        <v>0</v>
      </c>
      <c r="EZ123" s="28">
        <v>0</v>
      </c>
      <c r="FA123" s="28">
        <v>0</v>
      </c>
      <c r="FB123" s="28">
        <v>0</v>
      </c>
      <c r="FC123" s="28">
        <v>0.24693972546457499</v>
      </c>
      <c r="FD123" s="28">
        <v>0</v>
      </c>
      <c r="FE123" s="28">
        <v>0</v>
      </c>
      <c r="FF123" s="28">
        <v>0.51857101275567996</v>
      </c>
      <c r="FG123" s="28">
        <v>0.17133821306116701</v>
      </c>
      <c r="FH123" s="28">
        <v>0</v>
      </c>
      <c r="FI123" s="28">
        <v>0</v>
      </c>
      <c r="FJ123" s="28">
        <v>0</v>
      </c>
      <c r="FK123" s="28">
        <v>0</v>
      </c>
      <c r="FL123" s="28">
        <v>0</v>
      </c>
      <c r="FM123" s="28">
        <v>0</v>
      </c>
      <c r="FN123" s="28">
        <v>0</v>
      </c>
      <c r="FO123" s="28">
        <v>0</v>
      </c>
      <c r="FP123" s="28">
        <v>0</v>
      </c>
      <c r="FQ123" s="28">
        <v>9.8064190804434903E-2</v>
      </c>
      <c r="FR123" s="28">
        <v>0</v>
      </c>
      <c r="FS123" s="28">
        <v>0</v>
      </c>
      <c r="FT123" s="28">
        <v>0</v>
      </c>
      <c r="FU123" s="28">
        <v>0</v>
      </c>
      <c r="FV123" s="28">
        <v>0</v>
      </c>
      <c r="FW123" s="28">
        <v>0</v>
      </c>
      <c r="FX123" s="28">
        <v>0</v>
      </c>
      <c r="FY123" s="28">
        <v>0</v>
      </c>
      <c r="FZ123" s="28">
        <v>0</v>
      </c>
      <c r="GA123" s="28">
        <v>2.8569124446261398E-3</v>
      </c>
      <c r="GB123" s="28">
        <v>0</v>
      </c>
      <c r="GC123" s="28">
        <v>0</v>
      </c>
      <c r="GD123" s="28">
        <v>0</v>
      </c>
      <c r="GE123" s="28">
        <v>14.8663453589035</v>
      </c>
      <c r="GF123" s="28">
        <v>2.3542246840146599</v>
      </c>
      <c r="GG123" s="28">
        <v>0</v>
      </c>
      <c r="GH123" s="28">
        <v>0</v>
      </c>
      <c r="GI123" s="28">
        <v>0</v>
      </c>
      <c r="GJ123" s="28">
        <v>0</v>
      </c>
      <c r="GK123" s="28">
        <v>0</v>
      </c>
      <c r="GL123" s="28">
        <v>0</v>
      </c>
      <c r="GM123" s="28">
        <v>0</v>
      </c>
      <c r="GN123" s="28">
        <v>0</v>
      </c>
      <c r="GO123" s="28">
        <v>0</v>
      </c>
      <c r="GP123" s="28">
        <v>0</v>
      </c>
      <c r="GQ123" s="21">
        <v>1207.564952480227</v>
      </c>
      <c r="GR123" s="21">
        <v>551.40886840092003</v>
      </c>
      <c r="GS123" s="20">
        <v>551.40886840092003</v>
      </c>
      <c r="GT123" s="20">
        <v>0</v>
      </c>
      <c r="GU123" s="20">
        <v>0</v>
      </c>
      <c r="GV123" s="20">
        <v>0</v>
      </c>
      <c r="GW123" s="20">
        <v>0</v>
      </c>
      <c r="GX123" s="21">
        <v>100.75397461116627</v>
      </c>
      <c r="GY123" s="20">
        <v>0</v>
      </c>
      <c r="GZ123" s="20">
        <v>100.75397461116627</v>
      </c>
      <c r="HA123" s="20"/>
      <c r="HB123" s="21">
        <v>2.7741617615999998</v>
      </c>
      <c r="HC123" s="21">
        <v>1862.5019572539134</v>
      </c>
    </row>
    <row r="124" spans="2:211" s="7" customFormat="1" ht="17.25" customHeight="1">
      <c r="B124" s="26" t="s">
        <v>551</v>
      </c>
      <c r="C124" s="9" t="s">
        <v>552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2.15423750536163E-3</v>
      </c>
      <c r="T124" s="28">
        <v>0</v>
      </c>
      <c r="U124" s="28">
        <v>0</v>
      </c>
      <c r="V124" s="28">
        <v>0</v>
      </c>
      <c r="W124" s="28">
        <v>1.2452248111697701E-3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1.0345307720369399E-2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0.45021528817942902</v>
      </c>
      <c r="AL124" s="28">
        <v>0</v>
      </c>
      <c r="AM124" s="28">
        <v>0</v>
      </c>
      <c r="AN124" s="28">
        <v>1.32070644079857</v>
      </c>
      <c r="AO124" s="28">
        <v>0.97882815518125299</v>
      </c>
      <c r="AP124" s="28">
        <v>0.28242400669750001</v>
      </c>
      <c r="AQ124" s="28">
        <v>0.327627464237562</v>
      </c>
      <c r="AR124" s="28">
        <v>1.3444817822192201</v>
      </c>
      <c r="AS124" s="28">
        <v>7.4197521711627697E-3</v>
      </c>
      <c r="AT124" s="28">
        <v>31.909328741507998</v>
      </c>
      <c r="AU124" s="28">
        <v>0.49860297716251101</v>
      </c>
      <c r="AV124" s="28">
        <v>26.631880782883702</v>
      </c>
      <c r="AW124" s="28">
        <v>11.9383224162713</v>
      </c>
      <c r="AX124" s="28">
        <v>51.775742877737699</v>
      </c>
      <c r="AY124" s="28">
        <v>4.3318243766889301E-2</v>
      </c>
      <c r="AZ124" s="28">
        <v>3.6379873718253402</v>
      </c>
      <c r="BA124" s="28">
        <v>1.3697728719733699</v>
      </c>
      <c r="BB124" s="28">
        <v>0.42612535352258302</v>
      </c>
      <c r="BC124" s="28">
        <v>13.1503534846482</v>
      </c>
      <c r="BD124" s="28">
        <v>0</v>
      </c>
      <c r="BE124" s="28">
        <v>0</v>
      </c>
      <c r="BF124" s="28">
        <v>0</v>
      </c>
      <c r="BG124" s="28">
        <v>0.23944722729110501</v>
      </c>
      <c r="BH124" s="28">
        <v>5.4587261560378701</v>
      </c>
      <c r="BI124" s="28">
        <v>1.7711991651146199</v>
      </c>
      <c r="BJ124" s="28">
        <v>1.50425845101315</v>
      </c>
      <c r="BK124" s="28">
        <v>0</v>
      </c>
      <c r="BL124" s="28">
        <v>0.603222681880765</v>
      </c>
      <c r="BM124" s="28">
        <v>0.28209266017029599</v>
      </c>
      <c r="BN124" s="28">
        <v>0.51047254175573398</v>
      </c>
      <c r="BO124" s="28">
        <v>0.85572080333777401</v>
      </c>
      <c r="BP124" s="28">
        <v>4.5449371204736898E-3</v>
      </c>
      <c r="BQ124" s="28">
        <v>0.17020268564885799</v>
      </c>
      <c r="BR124" s="28">
        <v>0.65729295905595098</v>
      </c>
      <c r="BS124" s="28">
        <v>0</v>
      </c>
      <c r="BT124" s="28">
        <v>0</v>
      </c>
      <c r="BU124" s="28">
        <v>0.24915609795590701</v>
      </c>
      <c r="BV124" s="28">
        <v>2.42744879251762</v>
      </c>
      <c r="BW124" s="28">
        <v>0</v>
      </c>
      <c r="BX124" s="28">
        <v>2.8681384652180699E-2</v>
      </c>
      <c r="BY124" s="28">
        <v>0.29092738602922003</v>
      </c>
      <c r="BZ124" s="28">
        <v>1.4775598606698099</v>
      </c>
      <c r="CA124" s="28">
        <v>0</v>
      </c>
      <c r="CB124" s="28">
        <v>2.2108551979889302</v>
      </c>
      <c r="CC124" s="28">
        <v>0.12118885866048799</v>
      </c>
      <c r="CD124" s="28">
        <v>1.59219523403087</v>
      </c>
      <c r="CE124" s="28">
        <v>0.54138662959192996</v>
      </c>
      <c r="CF124" s="28">
        <v>0</v>
      </c>
      <c r="CG124" s="28">
        <v>0.84574291258339696</v>
      </c>
      <c r="CH124" s="28">
        <v>0.114161170308375</v>
      </c>
      <c r="CI124" s="28">
        <v>0.25573289394378701</v>
      </c>
      <c r="CJ124" s="28">
        <v>0.58286252092017699</v>
      </c>
      <c r="CK124" s="28">
        <v>0</v>
      </c>
      <c r="CL124" s="28">
        <v>0.10243781535191</v>
      </c>
      <c r="CM124" s="28">
        <v>2.1067703024085298</v>
      </c>
      <c r="CN124" s="28">
        <v>0</v>
      </c>
      <c r="CO124" s="28">
        <v>0</v>
      </c>
      <c r="CP124" s="28">
        <v>0.98848357332088799</v>
      </c>
      <c r="CQ124" s="28">
        <v>0.41772565245628401</v>
      </c>
      <c r="CR124" s="28">
        <v>0.11375925667955</v>
      </c>
      <c r="CS124" s="28">
        <v>1.5542869081183901E-2</v>
      </c>
      <c r="CT124" s="28">
        <v>0.18875166395471099</v>
      </c>
      <c r="CU124" s="28">
        <v>0.22041177611981599</v>
      </c>
      <c r="CV124" s="28">
        <v>8.3945082188378508E-3</v>
      </c>
      <c r="CW124" s="28">
        <v>0.90089333119721104</v>
      </c>
      <c r="CX124" s="28">
        <v>8.0409995606985904E-2</v>
      </c>
      <c r="CY124" s="28">
        <v>1.08372524651087E-2</v>
      </c>
      <c r="CZ124" s="28">
        <v>0</v>
      </c>
      <c r="DA124" s="28">
        <v>0.29365946449736802</v>
      </c>
      <c r="DB124" s="28">
        <v>4.0584196220340099</v>
      </c>
      <c r="DC124" s="28">
        <v>0.25485118225919501</v>
      </c>
      <c r="DD124" s="28">
        <v>6.6461790530287404E-2</v>
      </c>
      <c r="DE124" s="28">
        <v>0</v>
      </c>
      <c r="DF124" s="28">
        <v>0.22202638794069099</v>
      </c>
      <c r="DG124" s="28">
        <v>2.42103068480787</v>
      </c>
      <c r="DH124" s="28">
        <v>1.78516062995169</v>
      </c>
      <c r="DI124" s="28">
        <v>5.1125106699698601E-2</v>
      </c>
      <c r="DJ124" s="28">
        <v>1.8466225119101201</v>
      </c>
      <c r="DK124" s="28">
        <v>0</v>
      </c>
      <c r="DL124" s="28">
        <v>0.245321598482654</v>
      </c>
      <c r="DM124" s="28">
        <v>2.4453143325420201E-2</v>
      </c>
      <c r="DN124" s="28">
        <v>1.26292652585111</v>
      </c>
      <c r="DO124" s="28">
        <v>2.1112332957735801E-2</v>
      </c>
      <c r="DP124" s="28">
        <v>0</v>
      </c>
      <c r="DQ124" s="28">
        <v>0.40763103903563302</v>
      </c>
      <c r="DR124" s="28">
        <v>3.44932665070698</v>
      </c>
      <c r="DS124" s="28">
        <v>0.553871918814688</v>
      </c>
      <c r="DT124" s="28">
        <v>0.19997432973361201</v>
      </c>
      <c r="DU124" s="28">
        <v>2.1527223908464501</v>
      </c>
      <c r="DV124" s="28">
        <v>0.16324925381522901</v>
      </c>
      <c r="DW124" s="28">
        <v>0</v>
      </c>
      <c r="DX124" s="28">
        <v>3.0142463100188999</v>
      </c>
      <c r="DY124" s="28">
        <v>3.23138063140855</v>
      </c>
      <c r="DZ124" s="28">
        <v>4.6159384250607802</v>
      </c>
      <c r="EA124" s="28">
        <v>0</v>
      </c>
      <c r="EB124" s="28">
        <v>0.82492298417502097</v>
      </c>
      <c r="EC124" s="28">
        <v>1.51442551431562</v>
      </c>
      <c r="ED124" s="28">
        <v>1.8780525758623401</v>
      </c>
      <c r="EE124" s="28">
        <v>0.43114384194066802</v>
      </c>
      <c r="EF124" s="28">
        <v>1.71458544674095</v>
      </c>
      <c r="EG124" s="28">
        <v>9.4474527928702506E-2</v>
      </c>
      <c r="EH124" s="28">
        <v>3.2621520120929601E-2</v>
      </c>
      <c r="EI124" s="28">
        <v>1.5366115109471E-2</v>
      </c>
      <c r="EJ124" s="28">
        <v>2.1642902469776999</v>
      </c>
      <c r="EK124" s="28">
        <v>0</v>
      </c>
      <c r="EL124" s="28">
        <v>1.50133210552661</v>
      </c>
      <c r="EM124" s="28">
        <v>1.1210665467794301E-3</v>
      </c>
      <c r="EN124" s="28">
        <v>0</v>
      </c>
      <c r="EO124" s="28">
        <v>0.29489138876934201</v>
      </c>
      <c r="EP124" s="28">
        <v>0</v>
      </c>
      <c r="EQ124" s="28">
        <v>0</v>
      </c>
      <c r="ER124" s="28">
        <v>3.35991352387758E-2</v>
      </c>
      <c r="ES124" s="28">
        <v>0</v>
      </c>
      <c r="ET124" s="28">
        <v>0</v>
      </c>
      <c r="EU124" s="28">
        <v>0</v>
      </c>
      <c r="EV124" s="28">
        <v>0</v>
      </c>
      <c r="EW124" s="28">
        <v>0</v>
      </c>
      <c r="EX124" s="28">
        <v>0.121407417660319</v>
      </c>
      <c r="EY124" s="28">
        <v>0.37768799308443202</v>
      </c>
      <c r="EZ124" s="28">
        <v>0.32910184292248801</v>
      </c>
      <c r="FA124" s="28">
        <v>3.5904500788888698</v>
      </c>
      <c r="FB124" s="28">
        <v>5.1887906307884197</v>
      </c>
      <c r="FC124" s="28">
        <v>1.1625139619668501</v>
      </c>
      <c r="FD124" s="28">
        <v>4.3218059277081403E-2</v>
      </c>
      <c r="FE124" s="28">
        <v>0</v>
      </c>
      <c r="FF124" s="28">
        <v>0.21638700891905399</v>
      </c>
      <c r="FG124" s="28">
        <v>4.5836833889962998</v>
      </c>
      <c r="FH124" s="28">
        <v>0.15173026589418201</v>
      </c>
      <c r="FI124" s="28">
        <v>10.9262053311786</v>
      </c>
      <c r="FJ124" s="28">
        <v>2.06949706086486</v>
      </c>
      <c r="FK124" s="28">
        <v>0</v>
      </c>
      <c r="FL124" s="28">
        <v>6.5599256129536103</v>
      </c>
      <c r="FM124" s="28">
        <v>0.18577885</v>
      </c>
      <c r="FN124" s="28">
        <v>4.4944603974525998</v>
      </c>
      <c r="FO124" s="28">
        <v>7.0572155366441097E-3</v>
      </c>
      <c r="FP124" s="28">
        <v>1.83677906619565</v>
      </c>
      <c r="FQ124" s="28">
        <v>6.8933951790399002</v>
      </c>
      <c r="FR124" s="28">
        <v>0.151145443193899</v>
      </c>
      <c r="FS124" s="28">
        <v>8.6132464086939606</v>
      </c>
      <c r="FT124" s="28">
        <v>2.9227132143496002</v>
      </c>
      <c r="FU124" s="28">
        <v>1.7123642692433001</v>
      </c>
      <c r="FV124" s="28">
        <v>0.494513129629991</v>
      </c>
      <c r="FW124" s="28">
        <v>4.8332479999999997E-2</v>
      </c>
      <c r="FX124" s="28">
        <v>8.5368612954264407</v>
      </c>
      <c r="FY124" s="28">
        <v>3.9886487900000001</v>
      </c>
      <c r="FZ124" s="28">
        <v>0</v>
      </c>
      <c r="GA124" s="28">
        <v>0.25157217742481203</v>
      </c>
      <c r="GB124" s="28">
        <v>5.8225385495732001</v>
      </c>
      <c r="GC124" s="28">
        <v>3.6779940989107298</v>
      </c>
      <c r="GD124" s="28">
        <v>15.9381812050232</v>
      </c>
      <c r="GE124" s="28">
        <v>4.7651245849506401</v>
      </c>
      <c r="GF124" s="28">
        <v>17.500442346651599</v>
      </c>
      <c r="GG124" s="28">
        <v>115.49373001287</v>
      </c>
      <c r="GH124" s="28">
        <v>21.8546254508834</v>
      </c>
      <c r="GI124" s="28">
        <v>5.3341730299999996</v>
      </c>
      <c r="GJ124" s="28">
        <v>6.9676536981221098</v>
      </c>
      <c r="GK124" s="28">
        <v>16.514590516123</v>
      </c>
      <c r="GL124" s="28">
        <v>8.0007938888246206E-3</v>
      </c>
      <c r="GM124" s="28">
        <v>76.766134597012098</v>
      </c>
      <c r="GN124" s="28">
        <v>0.975283054345774</v>
      </c>
      <c r="GO124" s="28">
        <v>0.18093875274878499</v>
      </c>
      <c r="GP124" s="28">
        <v>0</v>
      </c>
      <c r="GQ124" s="21">
        <v>582.15559564658827</v>
      </c>
      <c r="GR124" s="21">
        <v>5809.4302482844896</v>
      </c>
      <c r="GS124" s="20">
        <v>5726.030520704142</v>
      </c>
      <c r="GT124" s="20">
        <v>23.948437056417717</v>
      </c>
      <c r="GU124" s="20">
        <v>59.45129052392997</v>
      </c>
      <c r="GV124" s="20">
        <v>59.45129052392997</v>
      </c>
      <c r="GW124" s="20">
        <v>0</v>
      </c>
      <c r="GX124" s="21">
        <v>20.037085178584242</v>
      </c>
      <c r="GY124" s="20">
        <v>0</v>
      </c>
      <c r="GZ124" s="20">
        <v>20.037085178584242</v>
      </c>
      <c r="HA124" s="20"/>
      <c r="HB124" s="21">
        <v>137.78840647325501</v>
      </c>
      <c r="HC124" s="21">
        <v>6549.4113355829177</v>
      </c>
    </row>
    <row r="125" spans="2:211" s="7" customFormat="1" ht="17.25" customHeight="1">
      <c r="B125" s="26" t="s">
        <v>553</v>
      </c>
      <c r="C125" s="9" t="s">
        <v>554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8.9603126628724403E-4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0.94531799999999999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0</v>
      </c>
      <c r="CJ125" s="28">
        <v>0</v>
      </c>
      <c r="CK125" s="28">
        <v>0</v>
      </c>
      <c r="CL125" s="28">
        <v>0</v>
      </c>
      <c r="CM125" s="28">
        <v>0</v>
      </c>
      <c r="CN125" s="28">
        <v>0</v>
      </c>
      <c r="CO125" s="28">
        <v>0</v>
      </c>
      <c r="CP125" s="28">
        <v>0</v>
      </c>
      <c r="CQ125" s="28">
        <v>0</v>
      </c>
      <c r="CR125" s="28">
        <v>0</v>
      </c>
      <c r="CS125" s="28">
        <v>0</v>
      </c>
      <c r="CT125" s="28">
        <v>0.427639851582653</v>
      </c>
      <c r="CU125" s="28">
        <v>0</v>
      </c>
      <c r="CV125" s="28">
        <v>0</v>
      </c>
      <c r="CW125" s="28">
        <v>0</v>
      </c>
      <c r="CX125" s="28">
        <v>0</v>
      </c>
      <c r="CY125" s="28">
        <v>0</v>
      </c>
      <c r="CZ125" s="28">
        <v>0</v>
      </c>
      <c r="DA125" s="28">
        <v>0</v>
      </c>
      <c r="DB125" s="28">
        <v>0</v>
      </c>
      <c r="DC125" s="28">
        <v>0</v>
      </c>
      <c r="DD125" s="28">
        <v>0</v>
      </c>
      <c r="DE125" s="28">
        <v>0</v>
      </c>
      <c r="DF125" s="28">
        <v>0</v>
      </c>
      <c r="DG125" s="28">
        <v>0</v>
      </c>
      <c r="DH125" s="28">
        <v>0</v>
      </c>
      <c r="DI125" s="28">
        <v>0</v>
      </c>
      <c r="DJ125" s="28">
        <v>0</v>
      </c>
      <c r="DK125" s="28">
        <v>0</v>
      </c>
      <c r="DL125" s="28">
        <v>0</v>
      </c>
      <c r="DM125" s="28">
        <v>0</v>
      </c>
      <c r="DN125" s="28">
        <v>0</v>
      </c>
      <c r="DO125" s="28">
        <v>0</v>
      </c>
      <c r="DP125" s="28">
        <v>0</v>
      </c>
      <c r="DQ125" s="28">
        <v>0</v>
      </c>
      <c r="DR125" s="28">
        <v>0</v>
      </c>
      <c r="DS125" s="28">
        <v>0</v>
      </c>
      <c r="DT125" s="28">
        <v>0</v>
      </c>
      <c r="DU125" s="28">
        <v>0</v>
      </c>
      <c r="DV125" s="28">
        <v>0</v>
      </c>
      <c r="DW125" s="28">
        <v>0</v>
      </c>
      <c r="DX125" s="28">
        <v>0</v>
      </c>
      <c r="DY125" s="28">
        <v>0</v>
      </c>
      <c r="DZ125" s="28">
        <v>0</v>
      </c>
      <c r="EA125" s="28">
        <v>8.0166775587250903E-3</v>
      </c>
      <c r="EB125" s="28">
        <v>0</v>
      </c>
      <c r="EC125" s="28">
        <v>0</v>
      </c>
      <c r="ED125" s="28">
        <v>0</v>
      </c>
      <c r="EE125" s="28">
        <v>0</v>
      </c>
      <c r="EF125" s="28">
        <v>0</v>
      </c>
      <c r="EG125" s="28">
        <v>0</v>
      </c>
      <c r="EH125" s="28">
        <v>0</v>
      </c>
      <c r="EI125" s="28">
        <v>0</v>
      </c>
      <c r="EJ125" s="28">
        <v>0</v>
      </c>
      <c r="EK125" s="28">
        <v>0</v>
      </c>
      <c r="EL125" s="28">
        <v>0</v>
      </c>
      <c r="EM125" s="28">
        <v>0</v>
      </c>
      <c r="EN125" s="28">
        <v>0</v>
      </c>
      <c r="EO125" s="28">
        <v>0</v>
      </c>
      <c r="EP125" s="28">
        <v>0</v>
      </c>
      <c r="EQ125" s="28">
        <v>0</v>
      </c>
      <c r="ER125" s="28">
        <v>0</v>
      </c>
      <c r="ES125" s="28">
        <v>0</v>
      </c>
      <c r="ET125" s="28">
        <v>0</v>
      </c>
      <c r="EU125" s="28">
        <v>0</v>
      </c>
      <c r="EV125" s="28">
        <v>0</v>
      </c>
      <c r="EW125" s="28">
        <v>0</v>
      </c>
      <c r="EX125" s="28">
        <v>0</v>
      </c>
      <c r="EY125" s="28">
        <v>0</v>
      </c>
      <c r="EZ125" s="28">
        <v>0</v>
      </c>
      <c r="FA125" s="28">
        <v>0</v>
      </c>
      <c r="FB125" s="28">
        <v>0</v>
      </c>
      <c r="FC125" s="28">
        <v>0</v>
      </c>
      <c r="FD125" s="28">
        <v>0</v>
      </c>
      <c r="FE125" s="28">
        <v>0</v>
      </c>
      <c r="FF125" s="28">
        <v>0</v>
      </c>
      <c r="FG125" s="28">
        <v>0</v>
      </c>
      <c r="FH125" s="28">
        <v>0</v>
      </c>
      <c r="FI125" s="28">
        <v>0</v>
      </c>
      <c r="FJ125" s="28">
        <v>0</v>
      </c>
      <c r="FK125" s="28">
        <v>0</v>
      </c>
      <c r="FL125" s="28">
        <v>0</v>
      </c>
      <c r="FM125" s="28">
        <v>0</v>
      </c>
      <c r="FN125" s="28">
        <v>0</v>
      </c>
      <c r="FO125" s="28">
        <v>0</v>
      </c>
      <c r="FP125" s="28">
        <v>2.1270862833121398</v>
      </c>
      <c r="FQ125" s="28">
        <v>0</v>
      </c>
      <c r="FR125" s="28">
        <v>0</v>
      </c>
      <c r="FS125" s="28">
        <v>0</v>
      </c>
      <c r="FT125" s="28">
        <v>0</v>
      </c>
      <c r="FU125" s="28">
        <v>0</v>
      </c>
      <c r="FV125" s="28">
        <v>0</v>
      </c>
      <c r="FW125" s="28">
        <v>0</v>
      </c>
      <c r="FX125" s="28">
        <v>0</v>
      </c>
      <c r="FY125" s="28">
        <v>0</v>
      </c>
      <c r="FZ125" s="28">
        <v>0</v>
      </c>
      <c r="GA125" s="28">
        <v>0</v>
      </c>
      <c r="GB125" s="28">
        <v>0</v>
      </c>
      <c r="GC125" s="28">
        <v>0</v>
      </c>
      <c r="GD125" s="28">
        <v>0</v>
      </c>
      <c r="GE125" s="28">
        <v>0</v>
      </c>
      <c r="GF125" s="28">
        <v>0</v>
      </c>
      <c r="GG125" s="28">
        <v>0</v>
      </c>
      <c r="GH125" s="28">
        <v>0</v>
      </c>
      <c r="GI125" s="28">
        <v>0.35289822999999998</v>
      </c>
      <c r="GJ125" s="28">
        <v>0</v>
      </c>
      <c r="GK125" s="28">
        <v>0.47071926494820499</v>
      </c>
      <c r="GL125" s="28">
        <v>0</v>
      </c>
      <c r="GM125" s="28">
        <v>0</v>
      </c>
      <c r="GN125" s="28">
        <v>0</v>
      </c>
      <c r="GO125" s="28">
        <v>0</v>
      </c>
      <c r="GP125" s="28">
        <v>0</v>
      </c>
      <c r="GQ125" s="21">
        <v>4.3325743386680102</v>
      </c>
      <c r="GR125" s="21">
        <v>647.25622919013301</v>
      </c>
      <c r="GS125" s="20">
        <v>647.25622919013301</v>
      </c>
      <c r="GT125" s="20">
        <v>0</v>
      </c>
      <c r="GU125" s="20">
        <v>0</v>
      </c>
      <c r="GV125" s="20">
        <v>0</v>
      </c>
      <c r="GW125" s="20">
        <v>0</v>
      </c>
      <c r="GX125" s="21">
        <v>-97.230190724420581</v>
      </c>
      <c r="GY125" s="20">
        <v>0</v>
      </c>
      <c r="GZ125" s="20">
        <v>-97.230190724420581</v>
      </c>
      <c r="HA125" s="20"/>
      <c r="HB125" s="21">
        <v>76.524153762015402</v>
      </c>
      <c r="HC125" s="21">
        <v>630.88276656639584</v>
      </c>
    </row>
    <row r="126" spans="2:211" s="7" customFormat="1" ht="17.25" customHeight="1">
      <c r="B126" s="26" t="s">
        <v>555</v>
      </c>
      <c r="C126" s="9" t="s">
        <v>556</v>
      </c>
      <c r="D126" s="28">
        <v>8.8791017982523299E-2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14.1485890817239</v>
      </c>
      <c r="N126" s="28">
        <v>0</v>
      </c>
      <c r="O126" s="28">
        <v>4.3655034987411003</v>
      </c>
      <c r="P126" s="28">
        <v>0</v>
      </c>
      <c r="Q126" s="28">
        <v>0</v>
      </c>
      <c r="R126" s="28">
        <v>0</v>
      </c>
      <c r="S126" s="28">
        <v>8.7463117597966801E-3</v>
      </c>
      <c r="T126" s="28">
        <v>0</v>
      </c>
      <c r="U126" s="28">
        <v>0</v>
      </c>
      <c r="V126" s="28">
        <v>0</v>
      </c>
      <c r="W126" s="28">
        <v>2.7733362616087698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8.1917614482164405E-2</v>
      </c>
      <c r="AF126" s="28">
        <v>0</v>
      </c>
      <c r="AG126" s="28">
        <v>0</v>
      </c>
      <c r="AH126" s="28">
        <v>0.82721371198677696</v>
      </c>
      <c r="AI126" s="28">
        <v>3.1916963869455901</v>
      </c>
      <c r="AJ126" s="28">
        <v>6.7381133976969002E-2</v>
      </c>
      <c r="AK126" s="28">
        <v>0</v>
      </c>
      <c r="AL126" s="28">
        <v>0</v>
      </c>
      <c r="AM126" s="28">
        <v>0</v>
      </c>
      <c r="AN126" s="28">
        <v>0</v>
      </c>
      <c r="AO126" s="28">
        <v>0.13171461606146101</v>
      </c>
      <c r="AP126" s="28">
        <v>0</v>
      </c>
      <c r="AQ126" s="28">
        <v>0.212047775464868</v>
      </c>
      <c r="AR126" s="28">
        <v>0.14835661045177601</v>
      </c>
      <c r="AS126" s="28">
        <v>0</v>
      </c>
      <c r="AT126" s="28">
        <v>0</v>
      </c>
      <c r="AU126" s="28">
        <v>0</v>
      </c>
      <c r="AV126" s="28">
        <v>0</v>
      </c>
      <c r="AW126" s="28">
        <v>16.0137399113896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2.3617354664201898E-2</v>
      </c>
      <c r="BR126" s="28">
        <v>0</v>
      </c>
      <c r="BS126" s="28">
        <v>0</v>
      </c>
      <c r="BT126" s="28">
        <v>0</v>
      </c>
      <c r="BU126" s="28">
        <v>0</v>
      </c>
      <c r="BV126" s="28">
        <v>0.209841</v>
      </c>
      <c r="BW126" s="28">
        <v>0</v>
      </c>
      <c r="BX126" s="28">
        <v>0</v>
      </c>
      <c r="BY126" s="28">
        <v>0</v>
      </c>
      <c r="BZ126" s="28">
        <v>0</v>
      </c>
      <c r="CA126" s="28">
        <v>6.8825304443813398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4.1296057701110804</v>
      </c>
      <c r="CJ126" s="28">
        <v>8.2274097297531004E-2</v>
      </c>
      <c r="CK126" s="28">
        <v>2.0619895309209799E-2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104.918018805985</v>
      </c>
      <c r="CU126" s="28">
        <v>3.1551576588017798</v>
      </c>
      <c r="CV126" s="28">
        <v>10.8038487084466</v>
      </c>
      <c r="CW126" s="28">
        <v>0</v>
      </c>
      <c r="CX126" s="28">
        <v>4.2463935540726201</v>
      </c>
      <c r="CY126" s="28">
        <v>0.23395914100791701</v>
      </c>
      <c r="CZ126" s="28">
        <v>0.34209055560426699</v>
      </c>
      <c r="DA126" s="28">
        <v>0</v>
      </c>
      <c r="DB126" s="28">
        <v>0</v>
      </c>
      <c r="DC126" s="28">
        <v>0</v>
      </c>
      <c r="DD126" s="28">
        <v>0.19472599808493499</v>
      </c>
      <c r="DE126" s="28">
        <v>0</v>
      </c>
      <c r="DF126" s="28">
        <v>0</v>
      </c>
      <c r="DG126" s="28">
        <v>0</v>
      </c>
      <c r="DH126" s="28">
        <v>0</v>
      </c>
      <c r="DI126" s="28">
        <v>0</v>
      </c>
      <c r="DJ126" s="28">
        <v>0</v>
      </c>
      <c r="DK126" s="28">
        <v>0</v>
      </c>
      <c r="DL126" s="28">
        <v>0</v>
      </c>
      <c r="DM126" s="28">
        <v>0</v>
      </c>
      <c r="DN126" s="28">
        <v>0</v>
      </c>
      <c r="DO126" s="28">
        <v>0.23178316432069099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0</v>
      </c>
      <c r="EA126" s="28">
        <v>0</v>
      </c>
      <c r="EB126" s="28">
        <v>0</v>
      </c>
      <c r="EC126" s="28">
        <v>0</v>
      </c>
      <c r="ED126" s="28">
        <v>0</v>
      </c>
      <c r="EE126" s="28">
        <v>3.1047034903614899E-2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0.92516909871256103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0.21016583820366799</v>
      </c>
      <c r="ES126" s="28">
        <v>4.6407484109557098</v>
      </c>
      <c r="ET126" s="28">
        <v>9.9223788752595894</v>
      </c>
      <c r="EU126" s="28">
        <v>0</v>
      </c>
      <c r="EV126" s="28">
        <v>27.149006551404799</v>
      </c>
      <c r="EW126" s="28">
        <v>0</v>
      </c>
      <c r="EX126" s="28">
        <v>1.2530362656011399E-2</v>
      </c>
      <c r="EY126" s="28">
        <v>3.2614113350904701E-2</v>
      </c>
      <c r="EZ126" s="28">
        <v>1.09367685807052E-2</v>
      </c>
      <c r="FA126" s="28">
        <v>8.5935800221303496E-2</v>
      </c>
      <c r="FB126" s="28">
        <v>1.7029936298513699E-2</v>
      </c>
      <c r="FC126" s="28">
        <v>21.1845137500279</v>
      </c>
      <c r="FD126" s="28">
        <v>3.0288152369510701</v>
      </c>
      <c r="FE126" s="28">
        <v>13.0474488281391</v>
      </c>
      <c r="FF126" s="28">
        <v>0</v>
      </c>
      <c r="FG126" s="28">
        <v>2.9122548075862902</v>
      </c>
      <c r="FH126" s="28">
        <v>0</v>
      </c>
      <c r="FI126" s="28">
        <v>2.4055916419202501</v>
      </c>
      <c r="FJ126" s="28">
        <v>0</v>
      </c>
      <c r="FK126" s="28">
        <v>0</v>
      </c>
      <c r="FL126" s="28">
        <v>0</v>
      </c>
      <c r="FM126" s="28">
        <v>1.3999999999999999E-4</v>
      </c>
      <c r="FN126" s="28">
        <v>0.54425601960504499</v>
      </c>
      <c r="FO126" s="28">
        <v>0</v>
      </c>
      <c r="FP126" s="28">
        <v>1.5885282079840699</v>
      </c>
      <c r="FQ126" s="28">
        <v>0.96765884167273297</v>
      </c>
      <c r="FR126" s="28">
        <v>0</v>
      </c>
      <c r="FS126" s="28">
        <v>30.342385707411701</v>
      </c>
      <c r="FT126" s="28">
        <v>16.350661794054101</v>
      </c>
      <c r="FU126" s="28">
        <v>3.8608661886179898E-3</v>
      </c>
      <c r="FV126" s="28">
        <v>0</v>
      </c>
      <c r="FW126" s="28">
        <v>0</v>
      </c>
      <c r="FX126" s="28">
        <v>0</v>
      </c>
      <c r="FY126" s="28">
        <v>1.8750961604921099</v>
      </c>
      <c r="FZ126" s="28">
        <v>0</v>
      </c>
      <c r="GA126" s="28">
        <v>0</v>
      </c>
      <c r="GB126" s="28">
        <v>0</v>
      </c>
      <c r="GC126" s="28">
        <v>0</v>
      </c>
      <c r="GD126" s="28">
        <v>0</v>
      </c>
      <c r="GE126" s="28">
        <v>0</v>
      </c>
      <c r="GF126" s="28">
        <v>0</v>
      </c>
      <c r="GG126" s="28">
        <v>18.794393583000002</v>
      </c>
      <c r="GH126" s="28">
        <v>3.1266472353712597E-2</v>
      </c>
      <c r="GI126" s="28">
        <v>11.65434467</v>
      </c>
      <c r="GJ126" s="28">
        <v>18.574467950158802</v>
      </c>
      <c r="GK126" s="28">
        <v>9.4667089790970191</v>
      </c>
      <c r="GL126" s="28">
        <v>7.0301977426803997E-2</v>
      </c>
      <c r="GM126" s="28">
        <v>0</v>
      </c>
      <c r="GN126" s="28">
        <v>0</v>
      </c>
      <c r="GO126" s="28">
        <v>0</v>
      </c>
      <c r="GP126" s="28">
        <v>0</v>
      </c>
      <c r="GQ126" s="21">
        <v>373.41375836527902</v>
      </c>
      <c r="GR126" s="21">
        <v>340.938154996874</v>
      </c>
      <c r="GS126" s="20">
        <v>327.02334657837309</v>
      </c>
      <c r="GT126" s="20">
        <v>0.14718101094536601</v>
      </c>
      <c r="GU126" s="20">
        <v>13.767627407555565</v>
      </c>
      <c r="GV126" s="20">
        <v>13.767627407555565</v>
      </c>
      <c r="GW126" s="20">
        <v>0</v>
      </c>
      <c r="GX126" s="21">
        <v>-3.5752101774782998</v>
      </c>
      <c r="GY126" s="20">
        <v>0</v>
      </c>
      <c r="GZ126" s="20">
        <v>-3.5752101774782998</v>
      </c>
      <c r="HA126" s="20"/>
      <c r="HB126" s="21">
        <v>8.2595370960000007</v>
      </c>
      <c r="HC126" s="21">
        <v>719.03624028067475</v>
      </c>
    </row>
    <row r="127" spans="2:211" s="7" customFormat="1" ht="17.25" customHeight="1">
      <c r="B127" s="26" t="s">
        <v>557</v>
      </c>
      <c r="C127" s="9" t="s">
        <v>558</v>
      </c>
      <c r="D127" s="28">
        <v>0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0.28811624080787002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4.0060543198890004</v>
      </c>
      <c r="CU127" s="28">
        <v>99.043723169515005</v>
      </c>
      <c r="CV127" s="28">
        <v>0</v>
      </c>
      <c r="CW127" s="28">
        <v>0</v>
      </c>
      <c r="CX127" s="28">
        <v>56.332483909808602</v>
      </c>
      <c r="CY127" s="28">
        <v>220.54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1.0915655420139201</v>
      </c>
      <c r="ET127" s="28">
        <v>4.4268620479444E-2</v>
      </c>
      <c r="EU127" s="28">
        <v>0</v>
      </c>
      <c r="EV127" s="28">
        <v>0</v>
      </c>
      <c r="EW127" s="28">
        <v>0</v>
      </c>
      <c r="EX127" s="28">
        <v>0</v>
      </c>
      <c r="EY127" s="28">
        <v>0</v>
      </c>
      <c r="EZ127" s="28">
        <v>0</v>
      </c>
      <c r="FA127" s="28">
        <v>0</v>
      </c>
      <c r="FB127" s="28">
        <v>0</v>
      </c>
      <c r="FC127" s="28">
        <v>0</v>
      </c>
      <c r="FD127" s="28">
        <v>0</v>
      </c>
      <c r="FE127" s="28">
        <v>0</v>
      </c>
      <c r="FF127" s="28">
        <v>0</v>
      </c>
      <c r="FG127" s="28">
        <v>0</v>
      </c>
      <c r="FH127" s="28">
        <v>0</v>
      </c>
      <c r="FI127" s="28">
        <v>0</v>
      </c>
      <c r="FJ127" s="28">
        <v>0</v>
      </c>
      <c r="FK127" s="28">
        <v>0</v>
      </c>
      <c r="FL127" s="28">
        <v>0</v>
      </c>
      <c r="FM127" s="28">
        <v>0</v>
      </c>
      <c r="FN127" s="28">
        <v>0</v>
      </c>
      <c r="FO127" s="28">
        <v>0</v>
      </c>
      <c r="FP127" s="28">
        <v>0</v>
      </c>
      <c r="FQ127" s="28">
        <v>0</v>
      </c>
      <c r="FR127" s="28">
        <v>0</v>
      </c>
      <c r="FS127" s="28">
        <v>0</v>
      </c>
      <c r="FT127" s="28">
        <v>0</v>
      </c>
      <c r="FU127" s="28">
        <v>0</v>
      </c>
      <c r="FV127" s="28">
        <v>0</v>
      </c>
      <c r="FW127" s="28">
        <v>0</v>
      </c>
      <c r="FX127" s="28">
        <v>8.0000000000000002E-3</v>
      </c>
      <c r="FY127" s="28">
        <v>0</v>
      </c>
      <c r="FZ127" s="28">
        <v>0</v>
      </c>
      <c r="GA127" s="28">
        <v>0</v>
      </c>
      <c r="GB127" s="28">
        <v>0</v>
      </c>
      <c r="GC127" s="28">
        <v>0</v>
      </c>
      <c r="GD127" s="28">
        <v>0</v>
      </c>
      <c r="GE127" s="28">
        <v>0</v>
      </c>
      <c r="GF127" s="28">
        <v>0</v>
      </c>
      <c r="GG127" s="28">
        <v>0</v>
      </c>
      <c r="GH127" s="28">
        <v>0</v>
      </c>
      <c r="GI127" s="28">
        <v>0</v>
      </c>
      <c r="GJ127" s="28">
        <v>0</v>
      </c>
      <c r="GK127" s="28">
        <v>0</v>
      </c>
      <c r="GL127" s="28">
        <v>0</v>
      </c>
      <c r="GM127" s="28">
        <v>0</v>
      </c>
      <c r="GN127" s="28">
        <v>0</v>
      </c>
      <c r="GO127" s="28">
        <v>0</v>
      </c>
      <c r="GP127" s="28">
        <v>0</v>
      </c>
      <c r="GQ127" s="21">
        <v>381.35421180251427</v>
      </c>
      <c r="GR127" s="21">
        <v>6.6057155988913596</v>
      </c>
      <c r="GS127" s="20">
        <v>6.6057155988913596</v>
      </c>
      <c r="GT127" s="20">
        <v>0</v>
      </c>
      <c r="GU127" s="20">
        <v>0</v>
      </c>
      <c r="GV127" s="20">
        <v>0</v>
      </c>
      <c r="GW127" s="20">
        <v>0</v>
      </c>
      <c r="GX127" s="21">
        <v>37.916247919799098</v>
      </c>
      <c r="GY127" s="20">
        <v>0</v>
      </c>
      <c r="GZ127" s="20">
        <v>37.916247919799098</v>
      </c>
      <c r="HA127" s="20"/>
      <c r="HB127" s="21">
        <v>321.83700089689597</v>
      </c>
      <c r="HC127" s="21">
        <v>747.71317621810067</v>
      </c>
    </row>
    <row r="128" spans="2:211" s="7" customFormat="1" ht="17.25" customHeight="1">
      <c r="B128" s="26" t="s">
        <v>559</v>
      </c>
      <c r="C128" s="9" t="s">
        <v>560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0.666305483701221</v>
      </c>
      <c r="CZ128" s="28">
        <v>0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1.1013293935772901E-2</v>
      </c>
      <c r="DI128" s="28">
        <v>0.50385520286035301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0.29429031553777601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5.28319027463586E-2</v>
      </c>
      <c r="ES128" s="28">
        <v>0</v>
      </c>
      <c r="ET128" s="28">
        <v>0</v>
      </c>
      <c r="EU128" s="28">
        <v>0</v>
      </c>
      <c r="EV128" s="28">
        <v>0</v>
      </c>
      <c r="EW128" s="28">
        <v>0</v>
      </c>
      <c r="EX128" s="28">
        <v>0</v>
      </c>
      <c r="EY128" s="28">
        <v>0</v>
      </c>
      <c r="EZ128" s="28">
        <v>0</v>
      </c>
      <c r="FA128" s="28">
        <v>0</v>
      </c>
      <c r="FB128" s="28">
        <v>0</v>
      </c>
      <c r="FC128" s="28">
        <v>0</v>
      </c>
      <c r="FD128" s="28">
        <v>0</v>
      </c>
      <c r="FE128" s="28">
        <v>0</v>
      </c>
      <c r="FF128" s="28">
        <v>0</v>
      </c>
      <c r="FG128" s="28">
        <v>0</v>
      </c>
      <c r="FH128" s="28">
        <v>0</v>
      </c>
      <c r="FI128" s="28">
        <v>0</v>
      </c>
      <c r="FJ128" s="28">
        <v>0</v>
      </c>
      <c r="FK128" s="28">
        <v>0</v>
      </c>
      <c r="FL128" s="28">
        <v>0</v>
      </c>
      <c r="FM128" s="28">
        <v>0</v>
      </c>
      <c r="FN128" s="28">
        <v>0</v>
      </c>
      <c r="FO128" s="28">
        <v>0</v>
      </c>
      <c r="FP128" s="28">
        <v>0</v>
      </c>
      <c r="FQ128" s="28">
        <v>0</v>
      </c>
      <c r="FR128" s="28">
        <v>0</v>
      </c>
      <c r="FS128" s="28">
        <v>0</v>
      </c>
      <c r="FT128" s="28">
        <v>0</v>
      </c>
      <c r="FU128" s="28">
        <v>0</v>
      </c>
      <c r="FV128" s="28">
        <v>0</v>
      </c>
      <c r="FW128" s="28">
        <v>1.9987499999999998E-2</v>
      </c>
      <c r="FX128" s="28">
        <v>0</v>
      </c>
      <c r="FY128" s="28">
        <v>0</v>
      </c>
      <c r="FZ128" s="28">
        <v>0</v>
      </c>
      <c r="GA128" s="28">
        <v>0</v>
      </c>
      <c r="GB128" s="28">
        <v>0</v>
      </c>
      <c r="GC128" s="28">
        <v>0</v>
      </c>
      <c r="GD128" s="28">
        <v>0</v>
      </c>
      <c r="GE128" s="28">
        <v>0</v>
      </c>
      <c r="GF128" s="28">
        <v>0</v>
      </c>
      <c r="GG128" s="28">
        <v>3.5337495961999998</v>
      </c>
      <c r="GH128" s="28">
        <v>0</v>
      </c>
      <c r="GI128" s="28">
        <v>0</v>
      </c>
      <c r="GJ128" s="28">
        <v>0</v>
      </c>
      <c r="GK128" s="28">
        <v>0</v>
      </c>
      <c r="GL128" s="28">
        <v>0</v>
      </c>
      <c r="GM128" s="28">
        <v>0</v>
      </c>
      <c r="GN128" s="28">
        <v>0</v>
      </c>
      <c r="GO128" s="28">
        <v>0</v>
      </c>
      <c r="GP128" s="28">
        <v>0</v>
      </c>
      <c r="GQ128" s="21">
        <v>5.0820332949814819</v>
      </c>
      <c r="GR128" s="21">
        <v>542.14447265949298</v>
      </c>
      <c r="GS128" s="20">
        <v>542.14447265949298</v>
      </c>
      <c r="GT128" s="20">
        <v>0</v>
      </c>
      <c r="GU128" s="20">
        <v>0</v>
      </c>
      <c r="GV128" s="20">
        <v>0</v>
      </c>
      <c r="GW128" s="20">
        <v>0</v>
      </c>
      <c r="GX128" s="21">
        <v>7.0948522388249824</v>
      </c>
      <c r="GY128" s="20">
        <v>0</v>
      </c>
      <c r="GZ128" s="20">
        <v>7.0948522388249824</v>
      </c>
      <c r="HA128" s="20"/>
      <c r="HB128" s="21">
        <v>13.2466553013933</v>
      </c>
      <c r="HC128" s="21">
        <v>567.56801349469265</v>
      </c>
    </row>
    <row r="129" spans="2:211" s="7" customFormat="1" ht="17.25" customHeight="1">
      <c r="B129" s="26" t="s">
        <v>561</v>
      </c>
      <c r="C129" s="9" t="s">
        <v>562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6.7698736489320297E-3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0.46952910097577</v>
      </c>
      <c r="AL129" s="28">
        <v>0</v>
      </c>
      <c r="AM129" s="28">
        <v>0</v>
      </c>
      <c r="AN129" s="28">
        <v>1.33864332675827</v>
      </c>
      <c r="AO129" s="28">
        <v>0.38009469027958398</v>
      </c>
      <c r="AP129" s="28">
        <v>0</v>
      </c>
      <c r="AQ129" s="28">
        <v>0.21841830949171001</v>
      </c>
      <c r="AR129" s="28">
        <v>1.1126745783883201</v>
      </c>
      <c r="AS129" s="28">
        <v>2.5335044543848498E-3</v>
      </c>
      <c r="AT129" s="28">
        <v>1.8298588168046099</v>
      </c>
      <c r="AU129" s="28">
        <v>2.8504833737770598E-2</v>
      </c>
      <c r="AV129" s="28">
        <v>0.33659938963388503</v>
      </c>
      <c r="AW129" s="28">
        <v>0</v>
      </c>
      <c r="AX129" s="28">
        <v>0</v>
      </c>
      <c r="AY129" s="28">
        <v>0</v>
      </c>
      <c r="AZ129" s="28">
        <v>6.8581618018949506E-2</v>
      </c>
      <c r="BA129" s="28">
        <v>0.10320012696259501</v>
      </c>
      <c r="BB129" s="28">
        <v>1.6669829461081202E-2</v>
      </c>
      <c r="BC129" s="28">
        <v>0</v>
      </c>
      <c r="BD129" s="28">
        <v>2.7299648586690799E-3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28">
        <v>0</v>
      </c>
      <c r="CG129" s="28">
        <v>0</v>
      </c>
      <c r="CH129" s="28">
        <v>0</v>
      </c>
      <c r="CI129" s="28">
        <v>0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  <c r="CR129" s="28">
        <v>0</v>
      </c>
      <c r="CS129" s="28">
        <v>0</v>
      </c>
      <c r="CT129" s="28">
        <v>0</v>
      </c>
      <c r="CU129" s="28">
        <v>7.9822028966579098E-2</v>
      </c>
      <c r="CV129" s="28">
        <v>0</v>
      </c>
      <c r="CW129" s="28">
        <v>0</v>
      </c>
      <c r="CX129" s="28">
        <v>0</v>
      </c>
      <c r="CY129" s="28">
        <v>97.175241491517994</v>
      </c>
      <c r="CZ129" s="28">
        <v>0</v>
      </c>
      <c r="DA129" s="28">
        <v>0</v>
      </c>
      <c r="DB129" s="28">
        <v>0</v>
      </c>
      <c r="DC129" s="28">
        <v>0</v>
      </c>
      <c r="DD129" s="28">
        <v>0</v>
      </c>
      <c r="DE129" s="28">
        <v>0</v>
      </c>
      <c r="DF129" s="28">
        <v>0</v>
      </c>
      <c r="DG129" s="28">
        <v>0</v>
      </c>
      <c r="DH129" s="28">
        <v>0</v>
      </c>
      <c r="DI129" s="28">
        <v>0</v>
      </c>
      <c r="DJ129" s="28">
        <v>1.05848120195484</v>
      </c>
      <c r="DK129" s="28">
        <v>0</v>
      </c>
      <c r="DL129" s="28">
        <v>0</v>
      </c>
      <c r="DM129" s="28">
        <v>0</v>
      </c>
      <c r="DN129" s="28">
        <v>0</v>
      </c>
      <c r="DO129" s="28">
        <v>0</v>
      </c>
      <c r="DP129" s="28">
        <v>0</v>
      </c>
      <c r="DQ129" s="28">
        <v>0</v>
      </c>
      <c r="DR129" s="28">
        <v>0</v>
      </c>
      <c r="DS129" s="28">
        <v>0</v>
      </c>
      <c r="DT129" s="28">
        <v>0</v>
      </c>
      <c r="DU129" s="28">
        <v>0</v>
      </c>
      <c r="DV129" s="28">
        <v>0</v>
      </c>
      <c r="DW129" s="28">
        <v>0</v>
      </c>
      <c r="DX129" s="28">
        <v>0</v>
      </c>
      <c r="DY129" s="28">
        <v>0</v>
      </c>
      <c r="DZ129" s="28">
        <v>0</v>
      </c>
      <c r="EA129" s="28">
        <v>0</v>
      </c>
      <c r="EB129" s="28">
        <v>0</v>
      </c>
      <c r="EC129" s="28">
        <v>0</v>
      </c>
      <c r="ED129" s="28">
        <v>1.57208272501644</v>
      </c>
      <c r="EE129" s="28">
        <v>0.122279093379421</v>
      </c>
      <c r="EF129" s="28">
        <v>0.78291267101944995</v>
      </c>
      <c r="EG129" s="28">
        <v>1.27110369751292</v>
      </c>
      <c r="EH129" s="28">
        <v>0.43890491705339302</v>
      </c>
      <c r="EI129" s="28">
        <v>0.207218636539895</v>
      </c>
      <c r="EJ129" s="28">
        <v>3.1380485281952098E-3</v>
      </c>
      <c r="EK129" s="28">
        <v>0</v>
      </c>
      <c r="EL129" s="28">
        <v>0</v>
      </c>
      <c r="EM129" s="28">
        <v>0</v>
      </c>
      <c r="EN129" s="28">
        <v>0</v>
      </c>
      <c r="EO129" s="28">
        <v>0</v>
      </c>
      <c r="EP129" s="28">
        <v>0</v>
      </c>
      <c r="EQ129" s="28">
        <v>0</v>
      </c>
      <c r="ER129" s="28">
        <v>0</v>
      </c>
      <c r="ES129" s="28">
        <v>0</v>
      </c>
      <c r="ET129" s="28">
        <v>0</v>
      </c>
      <c r="EU129" s="28">
        <v>0</v>
      </c>
      <c r="EV129" s="28">
        <v>0</v>
      </c>
      <c r="EW129" s="28">
        <v>0</v>
      </c>
      <c r="EX129" s="28">
        <v>4.85002410478165E-2</v>
      </c>
      <c r="EY129" s="28">
        <v>0.12623675806548401</v>
      </c>
      <c r="EZ129" s="28">
        <v>0.43098480792312299</v>
      </c>
      <c r="FA129" s="28">
        <v>0.32229550195191398</v>
      </c>
      <c r="FB129" s="28">
        <v>0.42951990387165201</v>
      </c>
      <c r="FC129" s="28">
        <v>0.116106207864936</v>
      </c>
      <c r="FD129" s="28">
        <v>6.3575086422040501E-4</v>
      </c>
      <c r="FE129" s="28">
        <v>0</v>
      </c>
      <c r="FF129" s="28">
        <v>0</v>
      </c>
      <c r="FG129" s="28">
        <v>2.0108993984165702</v>
      </c>
      <c r="FH129" s="28">
        <v>0.105806472523001</v>
      </c>
      <c r="FI129" s="28">
        <v>9.9760448338812697</v>
      </c>
      <c r="FJ129" s="28">
        <v>0</v>
      </c>
      <c r="FK129" s="28">
        <v>0</v>
      </c>
      <c r="FL129" s="28">
        <v>0</v>
      </c>
      <c r="FM129" s="28">
        <v>5.6522000000000003E-2</v>
      </c>
      <c r="FN129" s="28">
        <v>0.57817886860792</v>
      </c>
      <c r="FO129" s="28">
        <v>0</v>
      </c>
      <c r="FP129" s="28">
        <v>0</v>
      </c>
      <c r="FQ129" s="28">
        <v>1.1484703472876401</v>
      </c>
      <c r="FR129" s="28">
        <v>0</v>
      </c>
      <c r="FS129" s="28">
        <v>0</v>
      </c>
      <c r="FT129" s="28">
        <v>0</v>
      </c>
      <c r="FU129" s="28">
        <v>0</v>
      </c>
      <c r="FV129" s="28">
        <v>0</v>
      </c>
      <c r="FW129" s="28">
        <v>0</v>
      </c>
      <c r="FX129" s="28">
        <v>8.5067472954264396</v>
      </c>
      <c r="FY129" s="28">
        <v>0</v>
      </c>
      <c r="FZ129" s="28">
        <v>0</v>
      </c>
      <c r="GA129" s="28">
        <v>1.19038018526089E-3</v>
      </c>
      <c r="GB129" s="28">
        <v>0</v>
      </c>
      <c r="GC129" s="28">
        <v>0</v>
      </c>
      <c r="GD129" s="28">
        <v>0</v>
      </c>
      <c r="GE129" s="28">
        <v>6.1943105662097704</v>
      </c>
      <c r="GF129" s="28">
        <v>5.8334807822172001</v>
      </c>
      <c r="GG129" s="28">
        <v>15.2554363582435</v>
      </c>
      <c r="GH129" s="28">
        <v>0</v>
      </c>
      <c r="GI129" s="28">
        <v>0.87502544999999998</v>
      </c>
      <c r="GJ129" s="28">
        <v>0</v>
      </c>
      <c r="GK129" s="28">
        <v>1.7123081683847201</v>
      </c>
      <c r="GL129" s="28">
        <v>8.1822146114321898E-3</v>
      </c>
      <c r="GM129" s="28">
        <v>0</v>
      </c>
      <c r="GN129" s="28">
        <v>0</v>
      </c>
      <c r="GO129" s="28">
        <v>0</v>
      </c>
      <c r="GP129" s="28">
        <v>0</v>
      </c>
      <c r="GQ129" s="21">
        <v>162.36287478254755</v>
      </c>
      <c r="GR129" s="21">
        <v>2608.9458762683698</v>
      </c>
      <c r="GS129" s="20">
        <v>2607.7970772267454</v>
      </c>
      <c r="GT129" s="20">
        <v>1.1487990416243561</v>
      </c>
      <c r="GU129" s="20">
        <v>0</v>
      </c>
      <c r="GV129" s="20">
        <v>0</v>
      </c>
      <c r="GW129" s="20">
        <v>0</v>
      </c>
      <c r="GX129" s="21">
        <v>58.363872713621554</v>
      </c>
      <c r="GY129" s="20">
        <v>0</v>
      </c>
      <c r="GZ129" s="20">
        <v>58.363872713621554</v>
      </c>
      <c r="HA129" s="20"/>
      <c r="HB129" s="21">
        <v>12.054527622903899</v>
      </c>
      <c r="HC129" s="21">
        <v>2841.727151387443</v>
      </c>
    </row>
    <row r="130" spans="2:211" s="7" customFormat="1" ht="17.25" customHeight="1">
      <c r="B130" s="26" t="s">
        <v>109</v>
      </c>
      <c r="C130" s="9" t="s">
        <v>563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0.35488189291150402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0.153380937019267</v>
      </c>
      <c r="AU130" s="28">
        <v>0</v>
      </c>
      <c r="AV130" s="28">
        <v>0.36049482734067301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0.20929962640149599</v>
      </c>
      <c r="CW130" s="28">
        <v>0</v>
      </c>
      <c r="CX130" s="28">
        <v>1.8504393668146299</v>
      </c>
      <c r="CY130" s="28">
        <v>0</v>
      </c>
      <c r="CZ130" s="28">
        <v>0</v>
      </c>
      <c r="DA130" s="28">
        <v>0</v>
      </c>
      <c r="DB130" s="28">
        <v>9.1855672909840802</v>
      </c>
      <c r="DC130" s="28">
        <v>227.31722302080399</v>
      </c>
      <c r="DD130" s="28">
        <v>0.369979396361376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9.5151795994668706E-2</v>
      </c>
      <c r="EA130" s="28">
        <v>0</v>
      </c>
      <c r="EB130" s="28">
        <v>0</v>
      </c>
      <c r="EC130" s="28">
        <v>0</v>
      </c>
      <c r="ED130" s="28">
        <v>0</v>
      </c>
      <c r="EE130" s="28">
        <v>3.7603932321955899E-2</v>
      </c>
      <c r="EF130" s="28">
        <v>0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5.0283972753652701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106.652102428804</v>
      </c>
      <c r="ET130" s="28">
        <v>0</v>
      </c>
      <c r="EU130" s="28">
        <v>2.0847274259975999</v>
      </c>
      <c r="EV130" s="28">
        <v>57.478458042568398</v>
      </c>
      <c r="EW130" s="28">
        <v>18.044698462666599</v>
      </c>
      <c r="EX130" s="28">
        <v>1.7814895818122602E-2</v>
      </c>
      <c r="EY130" s="28">
        <v>4.6066516911221003E-2</v>
      </c>
      <c r="EZ130" s="28">
        <v>1.54478777134437E-2</v>
      </c>
      <c r="FA130" s="28">
        <v>7.0222440708153006E-2</v>
      </c>
      <c r="FB130" s="28">
        <v>3.7443698863665997E-2</v>
      </c>
      <c r="FC130" s="28">
        <v>188.41569612109501</v>
      </c>
      <c r="FD130" s="28">
        <v>98.481597656994396</v>
      </c>
      <c r="FE130" s="28">
        <v>18.647083410607198</v>
      </c>
      <c r="FF130" s="28">
        <v>0</v>
      </c>
      <c r="FG130" s="28">
        <v>80.392492581312993</v>
      </c>
      <c r="FH130" s="28">
        <v>1.7808168762758001</v>
      </c>
      <c r="FI130" s="28">
        <v>0</v>
      </c>
      <c r="FJ130" s="28">
        <v>0</v>
      </c>
      <c r="FK130" s="28">
        <v>0</v>
      </c>
      <c r="FL130" s="28">
        <v>0</v>
      </c>
      <c r="FM130" s="28">
        <v>0</v>
      </c>
      <c r="FN130" s="28">
        <v>0</v>
      </c>
      <c r="FO130" s="28">
        <v>0</v>
      </c>
      <c r="FP130" s="28">
        <v>0</v>
      </c>
      <c r="FQ130" s="28">
        <v>0.58795494313417096</v>
      </c>
      <c r="FR130" s="28">
        <v>0</v>
      </c>
      <c r="FS130" s="28">
        <v>0</v>
      </c>
      <c r="FT130" s="28">
        <v>0</v>
      </c>
      <c r="FU130" s="28">
        <v>0</v>
      </c>
      <c r="FV130" s="28">
        <v>0</v>
      </c>
      <c r="FW130" s="28">
        <v>0</v>
      </c>
      <c r="FX130" s="28">
        <v>0</v>
      </c>
      <c r="FY130" s="28">
        <v>0</v>
      </c>
      <c r="FZ130" s="28">
        <v>0</v>
      </c>
      <c r="GA130" s="28">
        <v>0.27203586317209699</v>
      </c>
      <c r="GB130" s="28">
        <v>0</v>
      </c>
      <c r="GC130" s="28">
        <v>0</v>
      </c>
      <c r="GD130" s="28">
        <v>0</v>
      </c>
      <c r="GE130" s="28">
        <v>0</v>
      </c>
      <c r="GF130" s="28">
        <v>0</v>
      </c>
      <c r="GG130" s="28">
        <v>39.318902590795901</v>
      </c>
      <c r="GH130" s="28">
        <v>2.9019781400793102E-2</v>
      </c>
      <c r="GI130" s="28">
        <v>0</v>
      </c>
      <c r="GJ130" s="28">
        <v>0</v>
      </c>
      <c r="GK130" s="28">
        <v>0</v>
      </c>
      <c r="GL130" s="28">
        <v>0</v>
      </c>
      <c r="GM130" s="28">
        <v>0</v>
      </c>
      <c r="GN130" s="28">
        <v>0</v>
      </c>
      <c r="GO130" s="28">
        <v>10.3175372923638</v>
      </c>
      <c r="GP130" s="28">
        <v>0</v>
      </c>
      <c r="GQ130" s="21">
        <v>867.65253826952073</v>
      </c>
      <c r="GR130" s="21">
        <v>0</v>
      </c>
      <c r="GS130" s="20">
        <v>0</v>
      </c>
      <c r="GT130" s="20">
        <v>0</v>
      </c>
      <c r="GU130" s="20">
        <v>0</v>
      </c>
      <c r="GV130" s="20">
        <v>0</v>
      </c>
      <c r="GW130" s="20">
        <v>0</v>
      </c>
      <c r="GX130" s="21">
        <v>37.181667610603647</v>
      </c>
      <c r="GY130" s="20">
        <v>0</v>
      </c>
      <c r="GZ130" s="20">
        <v>37.181667610603647</v>
      </c>
      <c r="HA130" s="20"/>
      <c r="HB130" s="21">
        <v>127.150877868276</v>
      </c>
      <c r="HC130" s="21">
        <v>1031.9850837484005</v>
      </c>
    </row>
    <row r="131" spans="2:211" s="7" customFormat="1" ht="17.25" customHeight="1">
      <c r="B131" s="26" t="s">
        <v>110</v>
      </c>
      <c r="C131" s="10" t="s">
        <v>564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1.14188729673765E-2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5.4964877999237098E-2</v>
      </c>
      <c r="CC131" s="28">
        <v>3.0129204468930101E-3</v>
      </c>
      <c r="CD131" s="28">
        <v>3.9584146835613697E-2</v>
      </c>
      <c r="CE131" s="28">
        <v>1.3459610594582099E-2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  <c r="CR131" s="28">
        <v>0</v>
      </c>
      <c r="CS131" s="28">
        <v>0</v>
      </c>
      <c r="CT131" s="28">
        <v>0</v>
      </c>
      <c r="CU131" s="28">
        <v>0</v>
      </c>
      <c r="CV131" s="28">
        <v>0.25032874249440901</v>
      </c>
      <c r="CW131" s="28">
        <v>0</v>
      </c>
      <c r="CX131" s="28">
        <v>0</v>
      </c>
      <c r="CY131" s="28">
        <v>7.7960835666813805E-4</v>
      </c>
      <c r="CZ131" s="28">
        <v>0</v>
      </c>
      <c r="DA131" s="28">
        <v>0</v>
      </c>
      <c r="DB131" s="28">
        <v>52.9693456515351</v>
      </c>
      <c r="DC131" s="28">
        <v>441.771531677729</v>
      </c>
      <c r="DD131" s="28">
        <v>0</v>
      </c>
      <c r="DE131" s="28">
        <v>0</v>
      </c>
      <c r="DF131" s="28">
        <v>0</v>
      </c>
      <c r="DG131" s="28">
        <v>0</v>
      </c>
      <c r="DH131" s="28">
        <v>0.88372842747597702</v>
      </c>
      <c r="DI131" s="28">
        <v>0.80934908132385297</v>
      </c>
      <c r="DJ131" s="28">
        <v>0</v>
      </c>
      <c r="DK131" s="28">
        <v>0</v>
      </c>
      <c r="DL131" s="28">
        <v>0</v>
      </c>
      <c r="DM131" s="28">
        <v>0</v>
      </c>
      <c r="DN131" s="28">
        <v>4.9017000765174501</v>
      </c>
      <c r="DO131" s="28">
        <v>0</v>
      </c>
      <c r="DP131" s="28">
        <v>0</v>
      </c>
      <c r="DQ131" s="28">
        <v>0</v>
      </c>
      <c r="DR131" s="28">
        <v>0</v>
      </c>
      <c r="DS131" s="28">
        <v>0</v>
      </c>
      <c r="DT131" s="28">
        <v>0</v>
      </c>
      <c r="DU131" s="28">
        <v>0</v>
      </c>
      <c r="DV131" s="28">
        <v>0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0</v>
      </c>
      <c r="EI131" s="28">
        <v>0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0</v>
      </c>
      <c r="EP131" s="28">
        <v>0</v>
      </c>
      <c r="EQ131" s="28">
        <v>0</v>
      </c>
      <c r="ER131" s="28">
        <v>5.2814635515030801E-2</v>
      </c>
      <c r="ES131" s="28">
        <v>701.92936354145195</v>
      </c>
      <c r="ET131" s="28">
        <v>0</v>
      </c>
      <c r="EU131" s="28">
        <v>2.79563147317788E-2</v>
      </c>
      <c r="EV131" s="28">
        <v>17.810498533524299</v>
      </c>
      <c r="EW131" s="28">
        <v>0</v>
      </c>
      <c r="EX131" s="28">
        <v>0</v>
      </c>
      <c r="EY131" s="28">
        <v>0</v>
      </c>
      <c r="EZ131" s="28">
        <v>0</v>
      </c>
      <c r="FA131" s="28">
        <v>0</v>
      </c>
      <c r="FB131" s="28">
        <v>0</v>
      </c>
      <c r="FC131" s="28">
        <v>51.638831066877799</v>
      </c>
      <c r="FD131" s="28">
        <v>36.641175111305898</v>
      </c>
      <c r="FE131" s="28">
        <v>0</v>
      </c>
      <c r="FF131" s="28">
        <v>0</v>
      </c>
      <c r="FG131" s="28">
        <v>5.3472167361629998E-2</v>
      </c>
      <c r="FH131" s="28">
        <v>0</v>
      </c>
      <c r="FI131" s="28">
        <v>0</v>
      </c>
      <c r="FJ131" s="28">
        <v>0</v>
      </c>
      <c r="FK131" s="28">
        <v>0</v>
      </c>
      <c r="FL131" s="28">
        <v>0</v>
      </c>
      <c r="FM131" s="28">
        <v>0</v>
      </c>
      <c r="FN131" s="28">
        <v>0</v>
      </c>
      <c r="FO131" s="28">
        <v>0</v>
      </c>
      <c r="FP131" s="28">
        <v>0</v>
      </c>
      <c r="FQ131" s="28">
        <v>0</v>
      </c>
      <c r="FR131" s="28">
        <v>0</v>
      </c>
      <c r="FS131" s="28">
        <v>0</v>
      </c>
      <c r="FT131" s="28">
        <v>0</v>
      </c>
      <c r="FU131" s="28">
        <v>0</v>
      </c>
      <c r="FV131" s="28">
        <v>0</v>
      </c>
      <c r="FW131" s="28">
        <v>0</v>
      </c>
      <c r="FX131" s="28">
        <v>0</v>
      </c>
      <c r="FY131" s="28">
        <v>0</v>
      </c>
      <c r="FZ131" s="28">
        <v>0</v>
      </c>
      <c r="GA131" s="28">
        <v>0</v>
      </c>
      <c r="GB131" s="28">
        <v>0</v>
      </c>
      <c r="GC131" s="28">
        <v>0</v>
      </c>
      <c r="GD131" s="28">
        <v>0</v>
      </c>
      <c r="GE131" s="28">
        <v>0</v>
      </c>
      <c r="GF131" s="28">
        <v>0</v>
      </c>
      <c r="GG131" s="28">
        <v>0</v>
      </c>
      <c r="GH131" s="28">
        <v>3.9912644895730397E-2</v>
      </c>
      <c r="GI131" s="28">
        <v>0</v>
      </c>
      <c r="GJ131" s="28">
        <v>0</v>
      </c>
      <c r="GK131" s="28">
        <v>0.66196934127987395</v>
      </c>
      <c r="GL131" s="28">
        <v>0</v>
      </c>
      <c r="GM131" s="28">
        <v>0</v>
      </c>
      <c r="GN131" s="28">
        <v>0</v>
      </c>
      <c r="GO131" s="28">
        <v>0</v>
      </c>
      <c r="GP131" s="28">
        <v>0</v>
      </c>
      <c r="GQ131" s="21">
        <v>1310.5651970512204</v>
      </c>
      <c r="GR131" s="21">
        <v>70.876062492140605</v>
      </c>
      <c r="GS131" s="20">
        <v>70.876062492140605</v>
      </c>
      <c r="GT131" s="20">
        <v>0</v>
      </c>
      <c r="GU131" s="20">
        <v>0</v>
      </c>
      <c r="GV131" s="20">
        <v>0</v>
      </c>
      <c r="GW131" s="20">
        <v>0</v>
      </c>
      <c r="GX131" s="21">
        <v>-38.718111974463611</v>
      </c>
      <c r="GY131" s="20">
        <v>0</v>
      </c>
      <c r="GZ131" s="20">
        <v>-38.718111974463611</v>
      </c>
      <c r="HA131" s="20"/>
      <c r="HB131" s="21">
        <v>65.101560599999999</v>
      </c>
      <c r="HC131" s="21">
        <v>1407.8247081688974</v>
      </c>
    </row>
    <row r="132" spans="2:211" s="7" customFormat="1" ht="17.25" customHeight="1">
      <c r="B132" s="26" t="s">
        <v>111</v>
      </c>
      <c r="C132" s="10" t="s">
        <v>565</v>
      </c>
      <c r="D132" s="28">
        <v>0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0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0</v>
      </c>
      <c r="CU132" s="28">
        <v>0</v>
      </c>
      <c r="CV132" s="28">
        <v>0</v>
      </c>
      <c r="CW132" s="28">
        <v>0</v>
      </c>
      <c r="CX132" s="28">
        <v>0</v>
      </c>
      <c r="CY132" s="28">
        <v>0</v>
      </c>
      <c r="CZ132" s="28">
        <v>0</v>
      </c>
      <c r="DA132" s="28">
        <v>0</v>
      </c>
      <c r="DB132" s="28">
        <v>0</v>
      </c>
      <c r="DC132" s="28">
        <v>0</v>
      </c>
      <c r="DD132" s="28">
        <v>0</v>
      </c>
      <c r="DE132" s="28">
        <v>0</v>
      </c>
      <c r="DF132" s="28">
        <v>0</v>
      </c>
      <c r="DG132" s="28">
        <v>0</v>
      </c>
      <c r="DH132" s="28">
        <v>0</v>
      </c>
      <c r="DI132" s="28">
        <v>0</v>
      </c>
      <c r="DJ132" s="28">
        <v>0</v>
      </c>
      <c r="DK132" s="28">
        <v>0</v>
      </c>
      <c r="DL132" s="28">
        <v>0</v>
      </c>
      <c r="DM132" s="28">
        <v>0</v>
      </c>
      <c r="DN132" s="28">
        <v>0</v>
      </c>
      <c r="DO132" s="28">
        <v>0</v>
      </c>
      <c r="DP132" s="28">
        <v>0</v>
      </c>
      <c r="DQ132" s="28">
        <v>0</v>
      </c>
      <c r="DR132" s="28">
        <v>0</v>
      </c>
      <c r="DS132" s="28">
        <v>0</v>
      </c>
      <c r="DT132" s="28">
        <v>0</v>
      </c>
      <c r="DU132" s="28">
        <v>0</v>
      </c>
      <c r="DV132" s="28">
        <v>0</v>
      </c>
      <c r="DW132" s="28">
        <v>0</v>
      </c>
      <c r="DX132" s="28">
        <v>0</v>
      </c>
      <c r="DY132" s="28">
        <v>0</v>
      </c>
      <c r="DZ132" s="28">
        <v>0</v>
      </c>
      <c r="EA132" s="28">
        <v>0</v>
      </c>
      <c r="EB132" s="28">
        <v>0</v>
      </c>
      <c r="EC132" s="28">
        <v>0</v>
      </c>
      <c r="ED132" s="28">
        <v>0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0</v>
      </c>
      <c r="EK132" s="28">
        <v>0</v>
      </c>
      <c r="EL132" s="28">
        <v>0</v>
      </c>
      <c r="EM132" s="28">
        <v>0</v>
      </c>
      <c r="EN132" s="28">
        <v>0</v>
      </c>
      <c r="EO132" s="28">
        <v>0</v>
      </c>
      <c r="EP132" s="28">
        <v>0</v>
      </c>
      <c r="EQ132" s="28">
        <v>0</v>
      </c>
      <c r="ER132" s="28">
        <v>0</v>
      </c>
      <c r="ES132" s="28">
        <v>0</v>
      </c>
      <c r="ET132" s="28">
        <v>0</v>
      </c>
      <c r="EU132" s="28">
        <v>0</v>
      </c>
      <c r="EV132" s="28">
        <v>0</v>
      </c>
      <c r="EW132" s="28">
        <v>0</v>
      </c>
      <c r="EX132" s="28">
        <v>9.0974808432341698E-3</v>
      </c>
      <c r="EY132" s="28">
        <v>0</v>
      </c>
      <c r="EZ132" s="28">
        <v>0</v>
      </c>
      <c r="FA132" s="28">
        <v>0</v>
      </c>
      <c r="FB132" s="28">
        <v>0</v>
      </c>
      <c r="FC132" s="28">
        <v>738.532705883311</v>
      </c>
      <c r="FD132" s="28">
        <v>246.05690558728401</v>
      </c>
      <c r="FE132" s="28">
        <v>47.889209408492299</v>
      </c>
      <c r="FF132" s="28">
        <v>0</v>
      </c>
      <c r="FG132" s="28">
        <v>76.137380745293896</v>
      </c>
      <c r="FH132" s="28">
        <v>0</v>
      </c>
      <c r="FI132" s="28">
        <v>0</v>
      </c>
      <c r="FJ132" s="28">
        <v>0</v>
      </c>
      <c r="FK132" s="28">
        <v>0</v>
      </c>
      <c r="FL132" s="28">
        <v>0</v>
      </c>
      <c r="FM132" s="28">
        <v>0</v>
      </c>
      <c r="FN132" s="28">
        <v>0</v>
      </c>
      <c r="FO132" s="28">
        <v>0</v>
      </c>
      <c r="FP132" s="28">
        <v>0</v>
      </c>
      <c r="FQ132" s="28">
        <v>0</v>
      </c>
      <c r="FR132" s="28">
        <v>0</v>
      </c>
      <c r="FS132" s="28">
        <v>0</v>
      </c>
      <c r="FT132" s="28">
        <v>0</v>
      </c>
      <c r="FU132" s="28">
        <v>0</v>
      </c>
      <c r="FV132" s="28">
        <v>0</v>
      </c>
      <c r="FW132" s="28">
        <v>0</v>
      </c>
      <c r="FX132" s="28">
        <v>0</v>
      </c>
      <c r="FY132" s="28">
        <v>0</v>
      </c>
      <c r="FZ132" s="28">
        <v>0</v>
      </c>
      <c r="GA132" s="28">
        <v>0.76113688731277995</v>
      </c>
      <c r="GB132" s="28">
        <v>0</v>
      </c>
      <c r="GC132" s="28">
        <v>0</v>
      </c>
      <c r="GD132" s="28">
        <v>0</v>
      </c>
      <c r="GE132" s="28">
        <v>0</v>
      </c>
      <c r="GF132" s="28">
        <v>0</v>
      </c>
      <c r="GG132" s="28">
        <v>20.177168105997701</v>
      </c>
      <c r="GH132" s="28">
        <v>1.12003225483178E-2</v>
      </c>
      <c r="GI132" s="28">
        <v>2.2529599940000001E-3</v>
      </c>
      <c r="GJ132" s="28">
        <v>0</v>
      </c>
      <c r="GK132" s="28">
        <v>1.23954133818109</v>
      </c>
      <c r="GL132" s="28">
        <v>0</v>
      </c>
      <c r="GM132" s="28">
        <v>0</v>
      </c>
      <c r="GN132" s="28">
        <v>0</v>
      </c>
      <c r="GO132" s="28">
        <v>0</v>
      </c>
      <c r="GP132" s="28">
        <v>0</v>
      </c>
      <c r="GQ132" s="21">
        <v>1130.8165987192613</v>
      </c>
      <c r="GR132" s="21">
        <v>0</v>
      </c>
      <c r="GS132" s="20">
        <v>0</v>
      </c>
      <c r="GT132" s="20">
        <v>0</v>
      </c>
      <c r="GU132" s="20">
        <v>0</v>
      </c>
      <c r="GV132" s="20">
        <v>0</v>
      </c>
      <c r="GW132" s="20">
        <v>0</v>
      </c>
      <c r="GX132" s="21">
        <v>1.2316325126623322</v>
      </c>
      <c r="GY132" s="20">
        <v>0</v>
      </c>
      <c r="GZ132" s="20">
        <v>1.2316325126623322</v>
      </c>
      <c r="HA132" s="20"/>
      <c r="HB132" s="21">
        <v>131.212224200252</v>
      </c>
      <c r="HC132" s="21">
        <v>1263.2604554321756</v>
      </c>
    </row>
    <row r="133" spans="2:211" s="7" customFormat="1" ht="17.25" customHeight="1">
      <c r="B133" s="26" t="s">
        <v>566</v>
      </c>
      <c r="C133" s="10" t="s">
        <v>567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2.38709722617566E-2</v>
      </c>
      <c r="Q133" s="28">
        <v>0</v>
      </c>
      <c r="R133" s="28">
        <v>0</v>
      </c>
      <c r="S133" s="28">
        <v>2.62367428531903E-4</v>
      </c>
      <c r="T133" s="28">
        <v>0</v>
      </c>
      <c r="U133" s="28">
        <v>0</v>
      </c>
      <c r="V133" s="28">
        <v>0</v>
      </c>
      <c r="W133" s="28">
        <v>7.8241399233914199</v>
      </c>
      <c r="X133" s="28">
        <v>5.6840664031547101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6.6850401482410103E-3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3.2810949291047699E-2</v>
      </c>
      <c r="AL133" s="28">
        <v>0</v>
      </c>
      <c r="AM133" s="28">
        <v>0</v>
      </c>
      <c r="AN133" s="28">
        <v>0</v>
      </c>
      <c r="AO133" s="28">
        <v>8.6555319126102995E-2</v>
      </c>
      <c r="AP133" s="28">
        <v>0</v>
      </c>
      <c r="AQ133" s="28">
        <v>0.163813732118782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5.5141493679344604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1.9605472087860101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0</v>
      </c>
      <c r="DK133" s="28">
        <v>0</v>
      </c>
      <c r="DL133" s="28">
        <v>0</v>
      </c>
      <c r="DM133" s="28">
        <v>0</v>
      </c>
      <c r="DN133" s="28">
        <v>0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4.68784040499916E-2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  <c r="EU133" s="28">
        <v>0</v>
      </c>
      <c r="EV133" s="28">
        <v>0</v>
      </c>
      <c r="EW133" s="28">
        <v>0</v>
      </c>
      <c r="EX133" s="28">
        <v>0</v>
      </c>
      <c r="EY133" s="28">
        <v>0</v>
      </c>
      <c r="EZ133" s="28">
        <v>0</v>
      </c>
      <c r="FA133" s="28">
        <v>0</v>
      </c>
      <c r="FB133" s="28">
        <v>0</v>
      </c>
      <c r="FC133" s="28">
        <v>0</v>
      </c>
      <c r="FD133" s="28">
        <v>0</v>
      </c>
      <c r="FE133" s="28">
        <v>0</v>
      </c>
      <c r="FF133" s="28">
        <v>0</v>
      </c>
      <c r="FG133" s="28">
        <v>0</v>
      </c>
      <c r="FH133" s="28">
        <v>0</v>
      </c>
      <c r="FI133" s="28">
        <v>0</v>
      </c>
      <c r="FJ133" s="28">
        <v>0</v>
      </c>
      <c r="FK133" s="28">
        <v>0</v>
      </c>
      <c r="FL133" s="28">
        <v>0</v>
      </c>
      <c r="FM133" s="28">
        <v>0</v>
      </c>
      <c r="FN133" s="28">
        <v>0</v>
      </c>
      <c r="FO133" s="28">
        <v>0</v>
      </c>
      <c r="FP133" s="28">
        <v>0</v>
      </c>
      <c r="FQ133" s="28">
        <v>0</v>
      </c>
      <c r="FR133" s="28">
        <v>0</v>
      </c>
      <c r="FS133" s="28">
        <v>0</v>
      </c>
      <c r="FT133" s="28">
        <v>1.37244620223042</v>
      </c>
      <c r="FU133" s="28">
        <v>0</v>
      </c>
      <c r="FV133" s="28">
        <v>0</v>
      </c>
      <c r="FW133" s="28">
        <v>0</v>
      </c>
      <c r="FX133" s="28">
        <v>0</v>
      </c>
      <c r="FY133" s="28">
        <v>0</v>
      </c>
      <c r="FZ133" s="28">
        <v>0</v>
      </c>
      <c r="GA133" s="28">
        <v>0</v>
      </c>
      <c r="GB133" s="28">
        <v>0</v>
      </c>
      <c r="GC133" s="28">
        <v>0</v>
      </c>
      <c r="GD133" s="28">
        <v>0</v>
      </c>
      <c r="GE133" s="28">
        <v>0</v>
      </c>
      <c r="GF133" s="28">
        <v>0</v>
      </c>
      <c r="GG133" s="28">
        <v>0</v>
      </c>
      <c r="GH133" s="28">
        <v>0</v>
      </c>
      <c r="GI133" s="28">
        <v>0</v>
      </c>
      <c r="GJ133" s="28">
        <v>0</v>
      </c>
      <c r="GK133" s="28">
        <v>0</v>
      </c>
      <c r="GL133" s="28">
        <v>0</v>
      </c>
      <c r="GM133" s="28">
        <v>0</v>
      </c>
      <c r="GN133" s="28">
        <v>0</v>
      </c>
      <c r="GO133" s="28">
        <v>0</v>
      </c>
      <c r="GP133" s="28">
        <v>0</v>
      </c>
      <c r="GQ133" s="21">
        <v>22.716225889921457</v>
      </c>
      <c r="GR133" s="21">
        <v>80.765310874309506</v>
      </c>
      <c r="GS133" s="20">
        <v>80.765310874309506</v>
      </c>
      <c r="GT133" s="20">
        <v>0</v>
      </c>
      <c r="GU133" s="20">
        <v>0</v>
      </c>
      <c r="GV133" s="20">
        <v>0</v>
      </c>
      <c r="GW133" s="20">
        <v>0</v>
      </c>
      <c r="GX133" s="21">
        <v>-3.1314172178862072</v>
      </c>
      <c r="GY133" s="20">
        <v>0</v>
      </c>
      <c r="GZ133" s="20">
        <v>-3.1314172178862072</v>
      </c>
      <c r="HA133" s="20"/>
      <c r="HB133" s="21">
        <v>1.7489100325785101</v>
      </c>
      <c r="HC133" s="21">
        <v>102.09902957892326</v>
      </c>
    </row>
    <row r="134" spans="2:211" s="7" customFormat="1" ht="17.25" customHeight="1">
      <c r="B134" s="26" t="s">
        <v>114</v>
      </c>
      <c r="C134" s="9" t="s">
        <v>568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0</v>
      </c>
      <c r="CQ134" s="28">
        <v>0</v>
      </c>
      <c r="CR134" s="28">
        <v>0</v>
      </c>
      <c r="CS134" s="28">
        <v>0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0</v>
      </c>
      <c r="DA134" s="28">
        <v>0</v>
      </c>
      <c r="DB134" s="28">
        <v>0</v>
      </c>
      <c r="DC134" s="28">
        <v>0</v>
      </c>
      <c r="DD134" s="28">
        <v>0</v>
      </c>
      <c r="DE134" s="28">
        <v>0</v>
      </c>
      <c r="DF134" s="28">
        <v>5.9761374354300099</v>
      </c>
      <c r="DG134" s="28">
        <v>68.064109564570003</v>
      </c>
      <c r="DH134" s="28">
        <v>0</v>
      </c>
      <c r="DI134" s="28">
        <v>0</v>
      </c>
      <c r="DJ134" s="28">
        <v>0</v>
      </c>
      <c r="DK134" s="28">
        <v>0</v>
      </c>
      <c r="DL134" s="28">
        <v>0</v>
      </c>
      <c r="DM134" s="28">
        <v>0</v>
      </c>
      <c r="DN134" s="28">
        <v>0</v>
      </c>
      <c r="DO134" s="28">
        <v>0</v>
      </c>
      <c r="DP134" s="28">
        <v>0</v>
      </c>
      <c r="DQ134" s="28">
        <v>0</v>
      </c>
      <c r="DR134" s="28">
        <v>0</v>
      </c>
      <c r="DS134" s="28">
        <v>0</v>
      </c>
      <c r="DT134" s="28">
        <v>0</v>
      </c>
      <c r="DU134" s="28">
        <v>0</v>
      </c>
      <c r="DV134" s="28">
        <v>0</v>
      </c>
      <c r="DW134" s="28">
        <v>0</v>
      </c>
      <c r="DX134" s="28">
        <v>0</v>
      </c>
      <c r="DY134" s="28">
        <v>0</v>
      </c>
      <c r="DZ134" s="28">
        <v>0</v>
      </c>
      <c r="EA134" s="28">
        <v>0</v>
      </c>
      <c r="EB134" s="28">
        <v>0</v>
      </c>
      <c r="EC134" s="28">
        <v>0</v>
      </c>
      <c r="ED134" s="28">
        <v>0</v>
      </c>
      <c r="EE134" s="28">
        <v>0</v>
      </c>
      <c r="EF134" s="28">
        <v>0</v>
      </c>
      <c r="EG134" s="28">
        <v>0</v>
      </c>
      <c r="EH134" s="28">
        <v>0</v>
      </c>
      <c r="EI134" s="28">
        <v>0</v>
      </c>
      <c r="EJ134" s="28">
        <v>0</v>
      </c>
      <c r="EK134" s="28">
        <v>0</v>
      </c>
      <c r="EL134" s="28">
        <v>0</v>
      </c>
      <c r="EM134" s="28">
        <v>0</v>
      </c>
      <c r="EN134" s="28">
        <v>0</v>
      </c>
      <c r="EO134" s="28">
        <v>0</v>
      </c>
      <c r="EP134" s="28">
        <v>0</v>
      </c>
      <c r="EQ134" s="28">
        <v>0</v>
      </c>
      <c r="ER134" s="28">
        <v>0</v>
      </c>
      <c r="ES134" s="28">
        <v>0</v>
      </c>
      <c r="ET134" s="28">
        <v>0</v>
      </c>
      <c r="EU134" s="28">
        <v>0</v>
      </c>
      <c r="EV134" s="28">
        <v>0</v>
      </c>
      <c r="EW134" s="28">
        <v>0</v>
      </c>
      <c r="EX134" s="28">
        <v>0</v>
      </c>
      <c r="EY134" s="28">
        <v>0</v>
      </c>
      <c r="EZ134" s="28">
        <v>0</v>
      </c>
      <c r="FA134" s="28">
        <v>0</v>
      </c>
      <c r="FB134" s="28">
        <v>0</v>
      </c>
      <c r="FC134" s="28">
        <v>0</v>
      </c>
      <c r="FD134" s="28">
        <v>0</v>
      </c>
      <c r="FE134" s="28">
        <v>0</v>
      </c>
      <c r="FF134" s="28">
        <v>0</v>
      </c>
      <c r="FG134" s="28">
        <v>0</v>
      </c>
      <c r="FH134" s="28">
        <v>0</v>
      </c>
      <c r="FI134" s="28">
        <v>0</v>
      </c>
      <c r="FJ134" s="28">
        <v>0</v>
      </c>
      <c r="FK134" s="28">
        <v>0</v>
      </c>
      <c r="FL134" s="28">
        <v>0</v>
      </c>
      <c r="FM134" s="28">
        <v>0</v>
      </c>
      <c r="FN134" s="28">
        <v>0</v>
      </c>
      <c r="FO134" s="28">
        <v>0</v>
      </c>
      <c r="FP134" s="28">
        <v>0</v>
      </c>
      <c r="FQ134" s="28">
        <v>0</v>
      </c>
      <c r="FR134" s="28">
        <v>0</v>
      </c>
      <c r="FS134" s="28">
        <v>0</v>
      </c>
      <c r="FT134" s="28">
        <v>0</v>
      </c>
      <c r="FU134" s="28">
        <v>0</v>
      </c>
      <c r="FV134" s="28">
        <v>0</v>
      </c>
      <c r="FW134" s="28">
        <v>0</v>
      </c>
      <c r="FX134" s="28">
        <v>0</v>
      </c>
      <c r="FY134" s="28">
        <v>0</v>
      </c>
      <c r="FZ134" s="28">
        <v>0</v>
      </c>
      <c r="GA134" s="28">
        <v>0</v>
      </c>
      <c r="GB134" s="28">
        <v>0</v>
      </c>
      <c r="GC134" s="28">
        <v>0</v>
      </c>
      <c r="GD134" s="28">
        <v>0</v>
      </c>
      <c r="GE134" s="28">
        <v>0</v>
      </c>
      <c r="GF134" s="28">
        <v>0</v>
      </c>
      <c r="GG134" s="28">
        <v>0</v>
      </c>
      <c r="GH134" s="28">
        <v>0</v>
      </c>
      <c r="GI134" s="28">
        <v>0</v>
      </c>
      <c r="GJ134" s="28">
        <v>0</v>
      </c>
      <c r="GK134" s="28">
        <v>0</v>
      </c>
      <c r="GL134" s="28">
        <v>0</v>
      </c>
      <c r="GM134" s="28">
        <v>0</v>
      </c>
      <c r="GN134" s="28">
        <v>0</v>
      </c>
      <c r="GO134" s="28">
        <v>0</v>
      </c>
      <c r="GP134" s="28">
        <v>0</v>
      </c>
      <c r="GQ134" s="21">
        <v>74.040246999999994</v>
      </c>
      <c r="GR134" s="21">
        <v>0</v>
      </c>
      <c r="GS134" s="20">
        <v>0</v>
      </c>
      <c r="GT134" s="20">
        <v>0</v>
      </c>
      <c r="GU134" s="20">
        <v>0</v>
      </c>
      <c r="GV134" s="20">
        <v>0</v>
      </c>
      <c r="GW134" s="20">
        <v>0</v>
      </c>
      <c r="GX134" s="21">
        <v>2.366496352702395</v>
      </c>
      <c r="GY134" s="20">
        <v>0</v>
      </c>
      <c r="GZ134" s="20">
        <v>2.366496352702395</v>
      </c>
      <c r="HA134" s="20"/>
      <c r="HB134" s="21">
        <v>0</v>
      </c>
      <c r="HC134" s="21">
        <v>76.406743352702392</v>
      </c>
    </row>
    <row r="135" spans="2:211" s="7" customFormat="1" ht="17.25" customHeight="1">
      <c r="B135" s="26" t="s">
        <v>569</v>
      </c>
      <c r="C135" s="9" t="s">
        <v>570</v>
      </c>
      <c r="D135" s="28">
        <v>0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1.2637659289118501E-2</v>
      </c>
      <c r="T135" s="28">
        <v>0</v>
      </c>
      <c r="U135" s="28">
        <v>0</v>
      </c>
      <c r="V135" s="28">
        <v>0</v>
      </c>
      <c r="W135" s="28">
        <v>0</v>
      </c>
      <c r="X135" s="28">
        <v>4.6641733702381699E-2</v>
      </c>
      <c r="Y135" s="28">
        <v>0</v>
      </c>
      <c r="Z135" s="28">
        <v>0</v>
      </c>
      <c r="AA135" s="28">
        <v>0</v>
      </c>
      <c r="AB135" s="28">
        <v>0.254227165578787</v>
      </c>
      <c r="AC135" s="28">
        <v>0</v>
      </c>
      <c r="AD135" s="28">
        <v>0</v>
      </c>
      <c r="AE135" s="28">
        <v>3.13194516950827E-3</v>
      </c>
      <c r="AF135" s="28">
        <v>3.3055313304288299E-2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3.7563397861230499</v>
      </c>
      <c r="AM135" s="28">
        <v>0</v>
      </c>
      <c r="AN135" s="28">
        <v>0.32350547063324803</v>
      </c>
      <c r="AO135" s="28">
        <v>0.16512137500394</v>
      </c>
      <c r="AP135" s="28">
        <v>1.3665939939445999</v>
      </c>
      <c r="AQ135" s="28">
        <v>5.4604577371940098E-2</v>
      </c>
      <c r="AR135" s="28">
        <v>6.9542161149269893E-2</v>
      </c>
      <c r="AS135" s="28">
        <v>1.79649233082475E-3</v>
      </c>
      <c r="AT135" s="28">
        <v>1.39968336463608</v>
      </c>
      <c r="AU135" s="28">
        <v>0</v>
      </c>
      <c r="AV135" s="28">
        <v>2.5032137397465299</v>
      </c>
      <c r="AW135" s="28">
        <v>1.4235579263146101</v>
      </c>
      <c r="AX135" s="28">
        <v>0.73105575071722695</v>
      </c>
      <c r="AY135" s="28">
        <v>4.59676165948192E-3</v>
      </c>
      <c r="AZ135" s="28">
        <v>0.43300780237624398</v>
      </c>
      <c r="BA135" s="28">
        <v>0.91832626393499395</v>
      </c>
      <c r="BB135" s="28">
        <v>0.148336466824082</v>
      </c>
      <c r="BC135" s="28">
        <v>11.075449106139301</v>
      </c>
      <c r="BD135" s="28">
        <v>4.1297812967794598E-2</v>
      </c>
      <c r="BE135" s="28">
        <v>0</v>
      </c>
      <c r="BF135" s="28">
        <v>0</v>
      </c>
      <c r="BG135" s="28">
        <v>0</v>
      </c>
      <c r="BH135" s="28">
        <v>0.96492745818041303</v>
      </c>
      <c r="BI135" s="28">
        <v>1.0645798841426199</v>
      </c>
      <c r="BJ135" s="28">
        <v>0.78754414371484205</v>
      </c>
      <c r="BK135" s="28">
        <v>0</v>
      </c>
      <c r="BL135" s="28">
        <v>9.9697887480638308</v>
      </c>
      <c r="BM135" s="28">
        <v>1.0986136558238701E-2</v>
      </c>
      <c r="BN135" s="28">
        <v>3.7044941472791498E-2</v>
      </c>
      <c r="BO135" s="28">
        <v>0.38563376688416201</v>
      </c>
      <c r="BP135" s="28">
        <v>1.29999216574555E-4</v>
      </c>
      <c r="BQ135" s="28">
        <v>0.24021240351477899</v>
      </c>
      <c r="BR135" s="28">
        <v>3.76936866084914E-2</v>
      </c>
      <c r="BS135" s="28">
        <v>0</v>
      </c>
      <c r="BT135" s="28">
        <v>0</v>
      </c>
      <c r="BU135" s="28">
        <v>2.9117092405200499E-2</v>
      </c>
      <c r="BV135" s="28">
        <v>43.124566802034202</v>
      </c>
      <c r="BW135" s="28">
        <v>0</v>
      </c>
      <c r="BX135" s="28">
        <v>18.280705161282</v>
      </c>
      <c r="BY135" s="28">
        <v>2.45117176035969E-2</v>
      </c>
      <c r="BZ135" s="28">
        <v>0</v>
      </c>
      <c r="CA135" s="28">
        <v>1.75911244092486</v>
      </c>
      <c r="CB135" s="28">
        <v>25.398430511725799</v>
      </c>
      <c r="CC135" s="28">
        <v>0.82326187029723097</v>
      </c>
      <c r="CD135" s="28">
        <v>18.291229588178801</v>
      </c>
      <c r="CE135" s="28">
        <v>6.2194804545208999</v>
      </c>
      <c r="CF135" s="28">
        <v>0</v>
      </c>
      <c r="CG135" s="28">
        <v>0</v>
      </c>
      <c r="CH135" s="28">
        <v>3.72912458798994</v>
      </c>
      <c r="CI135" s="28">
        <v>1.6252260208129901</v>
      </c>
      <c r="CJ135" s="28">
        <v>0</v>
      </c>
      <c r="CK135" s="28">
        <v>32.475764409423803</v>
      </c>
      <c r="CL135" s="28">
        <v>12.148047495559601</v>
      </c>
      <c r="CM135" s="28">
        <v>0.93253348454642304</v>
      </c>
      <c r="CN135" s="28">
        <v>0.98632848262786899</v>
      </c>
      <c r="CO135" s="28">
        <v>8.7644309997558594</v>
      </c>
      <c r="CP135" s="28">
        <v>7.1218580698460598E-2</v>
      </c>
      <c r="CQ135" s="28">
        <v>48.813831329345703</v>
      </c>
      <c r="CR135" s="28">
        <v>4.1503012417354199</v>
      </c>
      <c r="CS135" s="28">
        <v>0</v>
      </c>
      <c r="CT135" s="28">
        <v>3.9059695271066301</v>
      </c>
      <c r="CU135" s="28">
        <v>9.5785531357704096E-2</v>
      </c>
      <c r="CV135" s="28">
        <v>6.2463856820597803E-2</v>
      </c>
      <c r="CW135" s="28">
        <v>0</v>
      </c>
      <c r="CX135" s="28">
        <v>0</v>
      </c>
      <c r="CY135" s="28">
        <v>0.65355250464397796</v>
      </c>
      <c r="CZ135" s="28">
        <v>0.38161834121747301</v>
      </c>
      <c r="DA135" s="28">
        <v>0</v>
      </c>
      <c r="DB135" s="28">
        <v>0</v>
      </c>
      <c r="DC135" s="28">
        <v>0</v>
      </c>
      <c r="DD135" s="28">
        <v>0.45565883551874797</v>
      </c>
      <c r="DE135" s="28">
        <v>0</v>
      </c>
      <c r="DF135" s="28">
        <v>164.575387592027</v>
      </c>
      <c r="DG135" s="28">
        <v>409.20150879904901</v>
      </c>
      <c r="DH135" s="28">
        <v>758.36683607948498</v>
      </c>
      <c r="DI135" s="28">
        <v>0</v>
      </c>
      <c r="DJ135" s="28">
        <v>1.0870735987378599</v>
      </c>
      <c r="DK135" s="28">
        <v>0</v>
      </c>
      <c r="DL135" s="28">
        <v>0</v>
      </c>
      <c r="DM135" s="28">
        <v>0</v>
      </c>
      <c r="DN135" s="28">
        <v>0</v>
      </c>
      <c r="DO135" s="28">
        <v>0</v>
      </c>
      <c r="DP135" s="28">
        <v>0</v>
      </c>
      <c r="DQ135" s="28">
        <v>0</v>
      </c>
      <c r="DR135" s="28">
        <v>1.97478084844582</v>
      </c>
      <c r="DS135" s="28">
        <v>0.62626001539352805</v>
      </c>
      <c r="DT135" s="28">
        <v>0</v>
      </c>
      <c r="DU135" s="28">
        <v>2.69460588045043</v>
      </c>
      <c r="DV135" s="28">
        <v>7.71596649910395</v>
      </c>
      <c r="DW135" s="28">
        <v>0</v>
      </c>
      <c r="DX135" s="28">
        <v>5.2843606757585997</v>
      </c>
      <c r="DY135" s="28">
        <v>8.0198544213234708</v>
      </c>
      <c r="DZ135" s="28">
        <v>63.815014399072702</v>
      </c>
      <c r="EA135" s="28">
        <v>0</v>
      </c>
      <c r="EB135" s="28">
        <v>14.309510618562999</v>
      </c>
      <c r="EC135" s="28">
        <v>0</v>
      </c>
      <c r="ED135" s="28">
        <v>0.54464698598157801</v>
      </c>
      <c r="EE135" s="28">
        <v>5.9207557048783603E-2</v>
      </c>
      <c r="EF135" s="28">
        <v>0</v>
      </c>
      <c r="EG135" s="28">
        <v>0</v>
      </c>
      <c r="EH135" s="28">
        <v>0</v>
      </c>
      <c r="EI135" s="28">
        <v>0</v>
      </c>
      <c r="EJ135" s="28">
        <v>0.30020281139258997</v>
      </c>
      <c r="EK135" s="28">
        <v>0</v>
      </c>
      <c r="EL135" s="28">
        <v>0</v>
      </c>
      <c r="EM135" s="28">
        <v>0</v>
      </c>
      <c r="EN135" s="28">
        <v>2.24861998074193</v>
      </c>
      <c r="EO135" s="28">
        <v>0</v>
      </c>
      <c r="EP135" s="28">
        <v>0</v>
      </c>
      <c r="EQ135" s="28">
        <v>0</v>
      </c>
      <c r="ER135" s="28">
        <v>2.0484874678923899</v>
      </c>
      <c r="ES135" s="28">
        <v>5.2887665143078501E-2</v>
      </c>
      <c r="ET135" s="28">
        <v>0.40039112195040399</v>
      </c>
      <c r="EU135" s="28">
        <v>9.5495733533842997E-2</v>
      </c>
      <c r="EV135" s="28">
        <v>3.9762258133647599</v>
      </c>
      <c r="EW135" s="28">
        <v>0</v>
      </c>
      <c r="EX135" s="28">
        <v>2.5372822547078702E-2</v>
      </c>
      <c r="EY135" s="28">
        <v>6.6040555513037405E-2</v>
      </c>
      <c r="EZ135" s="28">
        <v>0.18590010230467599</v>
      </c>
      <c r="FA135" s="28">
        <v>0.21831090842076201</v>
      </c>
      <c r="FB135" s="28">
        <v>6.7732683501550706E-2</v>
      </c>
      <c r="FC135" s="28">
        <v>80.673918960505802</v>
      </c>
      <c r="FD135" s="28">
        <v>0.62398192163004595</v>
      </c>
      <c r="FE135" s="28">
        <v>0</v>
      </c>
      <c r="FF135" s="28">
        <v>3.49378658650302</v>
      </c>
      <c r="FG135" s="28">
        <v>6.5567196803769798</v>
      </c>
      <c r="FH135" s="28">
        <v>1.05001525541535E-2</v>
      </c>
      <c r="FI135" s="28">
        <v>89.261785217174406</v>
      </c>
      <c r="FJ135" s="28">
        <v>0</v>
      </c>
      <c r="FK135" s="28">
        <v>0</v>
      </c>
      <c r="FL135" s="28">
        <v>0</v>
      </c>
      <c r="FM135" s="28">
        <v>1.8059499999999999E-2</v>
      </c>
      <c r="FN135" s="28">
        <v>0.49627229907933101</v>
      </c>
      <c r="FO135" s="28">
        <v>0</v>
      </c>
      <c r="FP135" s="28">
        <v>0</v>
      </c>
      <c r="FQ135" s="28">
        <v>12.3926548512756</v>
      </c>
      <c r="FR135" s="28">
        <v>0.20525719223853101</v>
      </c>
      <c r="FS135" s="28">
        <v>27.176150549422101</v>
      </c>
      <c r="FT135" s="28">
        <v>39.774372823253003</v>
      </c>
      <c r="FU135" s="28">
        <v>8.2881393422307003E-3</v>
      </c>
      <c r="FV135" s="28">
        <v>12.763773677767</v>
      </c>
      <c r="FW135" s="28">
        <v>0.23113075999999999</v>
      </c>
      <c r="FX135" s="28">
        <v>145.127762348147</v>
      </c>
      <c r="FY135" s="28">
        <v>17.320925110000001</v>
      </c>
      <c r="FZ135" s="28">
        <v>7.7159551825610597</v>
      </c>
      <c r="GA135" s="28">
        <v>0.24463884110138501</v>
      </c>
      <c r="GB135" s="28">
        <v>0</v>
      </c>
      <c r="GC135" s="28">
        <v>0</v>
      </c>
      <c r="GD135" s="28">
        <v>0</v>
      </c>
      <c r="GE135" s="28">
        <v>115.91056309535</v>
      </c>
      <c r="GF135" s="28">
        <v>11.8162181753003</v>
      </c>
      <c r="GG135" s="28">
        <v>75.0711488481857</v>
      </c>
      <c r="GH135" s="28">
        <v>84.907956285924001</v>
      </c>
      <c r="GI135" s="28">
        <v>13.3001602829672</v>
      </c>
      <c r="GJ135" s="28">
        <v>3.9169591011974401</v>
      </c>
      <c r="GK135" s="28">
        <v>7.37891911968046</v>
      </c>
      <c r="GL135" s="28">
        <v>0.40634477403268099</v>
      </c>
      <c r="GM135" s="28">
        <v>0</v>
      </c>
      <c r="GN135" s="28">
        <v>0</v>
      </c>
      <c r="GO135" s="28">
        <v>0</v>
      </c>
      <c r="GP135" s="28">
        <v>0</v>
      </c>
      <c r="GQ135" s="21">
        <v>2476.2314198177237</v>
      </c>
      <c r="GR135" s="21">
        <v>2265.3095042350701</v>
      </c>
      <c r="GS135" s="20">
        <v>2259.8064046930713</v>
      </c>
      <c r="GT135" s="20">
        <v>5.5030995419989592</v>
      </c>
      <c r="GU135" s="20">
        <v>0</v>
      </c>
      <c r="GV135" s="20">
        <v>0</v>
      </c>
      <c r="GW135" s="20">
        <v>0</v>
      </c>
      <c r="GX135" s="21">
        <v>-6.0614393682200731</v>
      </c>
      <c r="GY135" s="20">
        <v>0</v>
      </c>
      <c r="GZ135" s="20">
        <v>-6.0614393682200731</v>
      </c>
      <c r="HA135" s="20"/>
      <c r="HB135" s="21">
        <v>7.6545931751999996</v>
      </c>
      <c r="HC135" s="21">
        <v>4743.1340778597732</v>
      </c>
    </row>
    <row r="136" spans="2:211" s="7" customFormat="1" ht="17.25" customHeight="1">
      <c r="B136" s="26" t="s">
        <v>571</v>
      </c>
      <c r="C136" s="9" t="s">
        <v>572</v>
      </c>
      <c r="D136" s="28">
        <v>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1.5461868973523E-2</v>
      </c>
      <c r="Q136" s="28">
        <v>0</v>
      </c>
      <c r="R136" s="28">
        <v>0</v>
      </c>
      <c r="S136" s="28">
        <v>5.6807652594719604E-3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5.6774072795426997E-2</v>
      </c>
      <c r="AG136" s="28">
        <v>0</v>
      </c>
      <c r="AH136" s="28">
        <v>0</v>
      </c>
      <c r="AI136" s="28">
        <v>0</v>
      </c>
      <c r="AJ136" s="28">
        <v>0</v>
      </c>
      <c r="AK136" s="28">
        <v>0.16887599520036001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0.73917476036401997</v>
      </c>
      <c r="AR136" s="28">
        <v>0</v>
      </c>
      <c r="AS136" s="28">
        <v>0</v>
      </c>
      <c r="AT136" s="28">
        <v>2.1966841525885799</v>
      </c>
      <c r="AU136" s="28">
        <v>0.385877236386023</v>
      </c>
      <c r="AV136" s="28">
        <v>4.2281770243946699</v>
      </c>
      <c r="AW136" s="28">
        <v>2.4586703374730501</v>
      </c>
      <c r="AX136" s="28">
        <v>1.06719769162018</v>
      </c>
      <c r="AY136" s="28">
        <v>0</v>
      </c>
      <c r="AZ136" s="28">
        <v>0.37763229692981098</v>
      </c>
      <c r="BA136" s="28">
        <v>0.46393047400644999</v>
      </c>
      <c r="BB136" s="28">
        <v>0.151609709448325</v>
      </c>
      <c r="BC136" s="28">
        <v>2.0545078595964301</v>
      </c>
      <c r="BD136" s="28">
        <v>0.12545704253090001</v>
      </c>
      <c r="BE136" s="28">
        <v>0</v>
      </c>
      <c r="BF136" s="28">
        <v>0</v>
      </c>
      <c r="BG136" s="28">
        <v>0</v>
      </c>
      <c r="BH136" s="28">
        <v>12.651186974399</v>
      </c>
      <c r="BI136" s="28">
        <v>0</v>
      </c>
      <c r="BJ136" s="28">
        <v>0.16473016156845199</v>
      </c>
      <c r="BK136" s="28">
        <v>0</v>
      </c>
      <c r="BL136" s="28">
        <v>2.53945104207428E-2</v>
      </c>
      <c r="BM136" s="28">
        <v>1.5558308096446901E-2</v>
      </c>
      <c r="BN136" s="28">
        <v>3.8956938452032401E-2</v>
      </c>
      <c r="BO136" s="28">
        <v>0.28931656450366799</v>
      </c>
      <c r="BP136" s="28">
        <v>7.7883824707326702E-4</v>
      </c>
      <c r="BQ136" s="28">
        <v>5.6174892367740703E-2</v>
      </c>
      <c r="BR136" s="28">
        <v>8.1769811350685895E-2</v>
      </c>
      <c r="BS136" s="28">
        <v>0</v>
      </c>
      <c r="BT136" s="28">
        <v>0</v>
      </c>
      <c r="BU136" s="28">
        <v>2.69891552665412E-2</v>
      </c>
      <c r="BV136" s="28">
        <v>1.01774832408483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8.6903817041576694</v>
      </c>
      <c r="CN136" s="28">
        <v>1.2698990106582599</v>
      </c>
      <c r="CO136" s="28">
        <v>5.3161673545837402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0</v>
      </c>
      <c r="CV136" s="28">
        <v>0</v>
      </c>
      <c r="CW136" s="28">
        <v>0</v>
      </c>
      <c r="CX136" s="28">
        <v>0</v>
      </c>
      <c r="CY136" s="28">
        <v>1.8190303125551099</v>
      </c>
      <c r="CZ136" s="28">
        <v>0</v>
      </c>
      <c r="DA136" s="28">
        <v>0.94417210426267095</v>
      </c>
      <c r="DB136" s="28">
        <v>0.64062768082613397</v>
      </c>
      <c r="DC136" s="28">
        <v>0.77830615173124695</v>
      </c>
      <c r="DD136" s="28">
        <v>0.89773913727921495</v>
      </c>
      <c r="DE136" s="28">
        <v>0</v>
      </c>
      <c r="DF136" s="28">
        <v>0</v>
      </c>
      <c r="DG136" s="28">
        <v>0</v>
      </c>
      <c r="DH136" s="28">
        <v>0</v>
      </c>
      <c r="DI136" s="28">
        <v>0</v>
      </c>
      <c r="DJ136" s="28">
        <v>0.133192209422581</v>
      </c>
      <c r="DK136" s="28">
        <v>0</v>
      </c>
      <c r="DL136" s="28">
        <v>0</v>
      </c>
      <c r="DM136" s="28">
        <v>0</v>
      </c>
      <c r="DN136" s="28">
        <v>0.14621621954311401</v>
      </c>
      <c r="DO136" s="28">
        <v>0</v>
      </c>
      <c r="DP136" s="28">
        <v>0</v>
      </c>
      <c r="DQ136" s="28">
        <v>8.0259159721076898</v>
      </c>
      <c r="DR136" s="28">
        <v>20.2329572753371</v>
      </c>
      <c r="DS136" s="28">
        <v>0.80993328005175702</v>
      </c>
      <c r="DT136" s="28">
        <v>0</v>
      </c>
      <c r="DU136" s="28">
        <v>0</v>
      </c>
      <c r="DV136" s="28">
        <v>0</v>
      </c>
      <c r="DW136" s="28">
        <v>0</v>
      </c>
      <c r="DX136" s="28">
        <v>0</v>
      </c>
      <c r="DY136" s="28">
        <v>0</v>
      </c>
      <c r="DZ136" s="28">
        <v>0</v>
      </c>
      <c r="EA136" s="28">
        <v>0</v>
      </c>
      <c r="EB136" s="28">
        <v>0</v>
      </c>
      <c r="EC136" s="28">
        <v>0</v>
      </c>
      <c r="ED136" s="28">
        <v>3.6665012085608799</v>
      </c>
      <c r="EE136" s="28">
        <v>0.192465124363323</v>
      </c>
      <c r="EF136" s="28">
        <v>1.6769145270127099</v>
      </c>
      <c r="EG136" s="28">
        <v>1.20963066169793</v>
      </c>
      <c r="EH136" s="28">
        <v>0.417678625494184</v>
      </c>
      <c r="EI136" s="28">
        <v>0.19592830861152499</v>
      </c>
      <c r="EJ136" s="28">
        <v>3.4495764582530599</v>
      </c>
      <c r="EK136" s="28">
        <v>0</v>
      </c>
      <c r="EL136" s="28">
        <v>0.87096801994847795</v>
      </c>
      <c r="EM136" s="28">
        <v>9.0458042044116104E-4</v>
      </c>
      <c r="EN136" s="28">
        <v>0.16340888844468199</v>
      </c>
      <c r="EO136" s="28">
        <v>0.35172464144097398</v>
      </c>
      <c r="EP136" s="28">
        <v>0</v>
      </c>
      <c r="EQ136" s="28">
        <v>1.9724413166054799</v>
      </c>
      <c r="ER136" s="28">
        <v>0.78253279325591796</v>
      </c>
      <c r="ES136" s="28">
        <v>0</v>
      </c>
      <c r="ET136" s="28">
        <v>0.10582726779224901</v>
      </c>
      <c r="EU136" s="28">
        <v>0</v>
      </c>
      <c r="EV136" s="28">
        <v>0</v>
      </c>
      <c r="EW136" s="28">
        <v>0</v>
      </c>
      <c r="EX136" s="28">
        <v>0.197274197828818</v>
      </c>
      <c r="EY136" s="28">
        <v>0.60390081455185896</v>
      </c>
      <c r="EZ136" s="28">
        <v>7.1447020348597601</v>
      </c>
      <c r="FA136" s="28">
        <v>2.3360247750035001</v>
      </c>
      <c r="FB136" s="28">
        <v>0.53784490118945805</v>
      </c>
      <c r="FC136" s="28">
        <v>4.2411068883953202</v>
      </c>
      <c r="FD136" s="28">
        <v>1.6530990220592599E-3</v>
      </c>
      <c r="FE136" s="28">
        <v>0</v>
      </c>
      <c r="FF136" s="28">
        <v>0</v>
      </c>
      <c r="FG136" s="28">
        <v>0.355036796694223</v>
      </c>
      <c r="FH136" s="28">
        <v>0</v>
      </c>
      <c r="FI136" s="28">
        <v>12.629019654468699</v>
      </c>
      <c r="FJ136" s="28">
        <v>0.46903491575974199</v>
      </c>
      <c r="FK136" s="28">
        <v>0</v>
      </c>
      <c r="FL136" s="28">
        <v>6.9005911154148603</v>
      </c>
      <c r="FM136" s="28">
        <v>2.5047850600000001</v>
      </c>
      <c r="FN136" s="28">
        <v>0.48740551367429302</v>
      </c>
      <c r="FO136" s="28">
        <v>5.2819942442304396E-3</v>
      </c>
      <c r="FP136" s="28">
        <v>0.135451867556662</v>
      </c>
      <c r="FQ136" s="28">
        <v>11.9500551673573</v>
      </c>
      <c r="FR136" s="28">
        <v>3.09011522591687</v>
      </c>
      <c r="FS136" s="28">
        <v>4.7529851234271803</v>
      </c>
      <c r="FT136" s="28">
        <v>25.145294433612399</v>
      </c>
      <c r="FU136" s="28">
        <v>1.02154849052507</v>
      </c>
      <c r="FV136" s="28">
        <v>10.3029731994166</v>
      </c>
      <c r="FW136" s="28">
        <v>27.979279590000001</v>
      </c>
      <c r="FX136" s="28">
        <v>10.9260272263913</v>
      </c>
      <c r="FY136" s="28">
        <v>3.9096724599999999</v>
      </c>
      <c r="FZ136" s="28">
        <v>1.07823092035469</v>
      </c>
      <c r="GA136" s="28">
        <v>0.50659727558064804</v>
      </c>
      <c r="GB136" s="28">
        <v>2.0151968023412801</v>
      </c>
      <c r="GC136" s="28">
        <v>1.4470173597412599</v>
      </c>
      <c r="GD136" s="28">
        <v>6.7976923789028501</v>
      </c>
      <c r="GE136" s="28">
        <v>46.0697552084035</v>
      </c>
      <c r="GF136" s="28">
        <v>38.503160977064901</v>
      </c>
      <c r="GG136" s="28">
        <v>220.61821443454099</v>
      </c>
      <c r="GH136" s="28">
        <v>36.4960101792933</v>
      </c>
      <c r="GI136" s="28">
        <v>54.080416817526803</v>
      </c>
      <c r="GJ136" s="28">
        <v>4.7447946532899001</v>
      </c>
      <c r="GK136" s="28">
        <v>41.276916649898403</v>
      </c>
      <c r="GL136" s="28">
        <v>54.9005150751671</v>
      </c>
      <c r="GM136" s="28">
        <v>4.2879463674380904</v>
      </c>
      <c r="GN136" s="28">
        <v>0.145078954899164</v>
      </c>
      <c r="GO136" s="28">
        <v>6.7700164350582703</v>
      </c>
      <c r="GP136" s="28">
        <v>0</v>
      </c>
      <c r="GQ136" s="21">
        <v>750.98998163555393</v>
      </c>
      <c r="GR136" s="21">
        <v>1874.4873858979699</v>
      </c>
      <c r="GS136" s="20">
        <v>1858.535513306666</v>
      </c>
      <c r="GT136" s="20">
        <v>9.9371047508957595</v>
      </c>
      <c r="GU136" s="20">
        <v>6.0147678404082026</v>
      </c>
      <c r="GV136" s="20">
        <v>6.0147678404082026</v>
      </c>
      <c r="GW136" s="20">
        <v>0</v>
      </c>
      <c r="GX136" s="21">
        <v>-17.511536539504242</v>
      </c>
      <c r="GY136" s="20">
        <v>0</v>
      </c>
      <c r="GZ136" s="20">
        <v>-17.511536539504242</v>
      </c>
      <c r="HA136" s="20"/>
      <c r="HB136" s="21">
        <v>9.1281235200000008</v>
      </c>
      <c r="HC136" s="21">
        <v>2617.0939545140195</v>
      </c>
    </row>
    <row r="137" spans="2:211" s="7" customFormat="1" ht="17.25" customHeight="1">
      <c r="B137" s="26" t="s">
        <v>115</v>
      </c>
      <c r="C137" s="9" t="s">
        <v>573</v>
      </c>
      <c r="D137" s="28">
        <v>0</v>
      </c>
      <c r="E137" s="28">
        <v>0</v>
      </c>
      <c r="F137" s="28">
        <v>0</v>
      </c>
      <c r="G137" s="28">
        <v>0</v>
      </c>
      <c r="H137" s="28">
        <v>0.63537436902521005</v>
      </c>
      <c r="I137" s="28">
        <v>1.6822606169285801</v>
      </c>
      <c r="J137" s="28">
        <v>1.86284695036401E-2</v>
      </c>
      <c r="K137" s="28">
        <v>4.6927220948053596E-3</v>
      </c>
      <c r="L137" s="28">
        <v>0.11152405151525201</v>
      </c>
      <c r="M137" s="28">
        <v>0.76261299601004295</v>
      </c>
      <c r="N137" s="28">
        <v>0.98980816257826298</v>
      </c>
      <c r="O137" s="28">
        <v>0.208166587258513</v>
      </c>
      <c r="P137" s="28">
        <v>0.10982921178937501</v>
      </c>
      <c r="Q137" s="28">
        <v>0.59589543641769005</v>
      </c>
      <c r="R137" s="28">
        <v>0.19923659029485</v>
      </c>
      <c r="S137" s="28">
        <v>0</v>
      </c>
      <c r="T137" s="28">
        <v>0.757321190720182</v>
      </c>
      <c r="U137" s="28">
        <v>95.183276370542202</v>
      </c>
      <c r="V137" s="28">
        <v>0</v>
      </c>
      <c r="W137" s="28">
        <v>6.1517852402595198E-2</v>
      </c>
      <c r="X137" s="28">
        <v>1.95138584188785E-2</v>
      </c>
      <c r="Y137" s="28">
        <v>6.6857722260369699E-3</v>
      </c>
      <c r="Z137" s="28">
        <v>0</v>
      </c>
      <c r="AA137" s="28">
        <v>0</v>
      </c>
      <c r="AB137" s="28">
        <v>0</v>
      </c>
      <c r="AC137" s="28">
        <v>0</v>
      </c>
      <c r="AD137" s="28">
        <v>0.35866924115766202</v>
      </c>
      <c r="AE137" s="28">
        <v>0.15659268302071699</v>
      </c>
      <c r="AF137" s="28">
        <v>0</v>
      </c>
      <c r="AG137" s="28">
        <v>1.95933856359979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0.51247274772922402</v>
      </c>
      <c r="AQ137" s="28">
        <v>0</v>
      </c>
      <c r="AR137" s="28">
        <v>0.55633728919415903</v>
      </c>
      <c r="AS137" s="28">
        <v>6.7856641159414902E-3</v>
      </c>
      <c r="AT137" s="28">
        <v>161.90394429172599</v>
      </c>
      <c r="AU137" s="28">
        <v>12.605617923352201</v>
      </c>
      <c r="AV137" s="28">
        <v>11.936367763537699</v>
      </c>
      <c r="AW137" s="28">
        <v>104.074455734244</v>
      </c>
      <c r="AX137" s="28">
        <v>25.6705150051198</v>
      </c>
      <c r="AY137" s="28">
        <v>4.4820350084190698E-2</v>
      </c>
      <c r="AZ137" s="28">
        <v>11.493453031427199</v>
      </c>
      <c r="BA137" s="28">
        <v>42.784306193101898</v>
      </c>
      <c r="BB137" s="28">
        <v>5.6443866164305197E-2</v>
      </c>
      <c r="BC137" s="28">
        <v>65.320997424760094</v>
      </c>
      <c r="BD137" s="28">
        <v>0.24970978251088899</v>
      </c>
      <c r="BE137" s="28">
        <v>0</v>
      </c>
      <c r="BF137" s="28">
        <v>0</v>
      </c>
      <c r="BG137" s="28">
        <v>1.9246576771460799</v>
      </c>
      <c r="BH137" s="28">
        <v>0.122467144795429</v>
      </c>
      <c r="BI137" s="28">
        <v>0.321477458197449</v>
      </c>
      <c r="BJ137" s="28">
        <v>0</v>
      </c>
      <c r="BK137" s="28">
        <v>0</v>
      </c>
      <c r="BL137" s="28">
        <v>1.1718931696412299E-2</v>
      </c>
      <c r="BM137" s="28">
        <v>2.6840262537599301E-3</v>
      </c>
      <c r="BN137" s="28">
        <v>0.30205829852886501</v>
      </c>
      <c r="BO137" s="28">
        <v>0.18227638544382299</v>
      </c>
      <c r="BP137" s="28">
        <v>0</v>
      </c>
      <c r="BQ137" s="28">
        <v>0.12805321090105601</v>
      </c>
      <c r="BR137" s="28">
        <v>0.15667946608036901</v>
      </c>
      <c r="BS137" s="28">
        <v>0</v>
      </c>
      <c r="BT137" s="28">
        <v>82.789781276747703</v>
      </c>
      <c r="BU137" s="28">
        <v>4.92620682257413E-2</v>
      </c>
      <c r="BV137" s="28">
        <v>1.01052542012664</v>
      </c>
      <c r="BW137" s="28">
        <v>0</v>
      </c>
      <c r="BX137" s="28">
        <v>9.9951125988921603E-3</v>
      </c>
      <c r="BY137" s="28">
        <v>0</v>
      </c>
      <c r="BZ137" s="28">
        <v>5.9805577748746304</v>
      </c>
      <c r="CA137" s="28">
        <v>9.1587893558216695</v>
      </c>
      <c r="CB137" s="28">
        <v>1.0761193402301801</v>
      </c>
      <c r="CC137" s="28">
        <v>5.8987886110136001E-2</v>
      </c>
      <c r="CD137" s="28">
        <v>0.774990639966605</v>
      </c>
      <c r="CE137" s="28">
        <v>0.26351640902391898</v>
      </c>
      <c r="CF137" s="28">
        <v>0</v>
      </c>
      <c r="CG137" s="28">
        <v>0</v>
      </c>
      <c r="CH137" s="28">
        <v>0</v>
      </c>
      <c r="CI137" s="28">
        <v>0.816445990217186</v>
      </c>
      <c r="CJ137" s="28">
        <v>7.8649678047901199</v>
      </c>
      <c r="CK137" s="28">
        <v>0</v>
      </c>
      <c r="CL137" s="28">
        <v>3.0722876386485101E-2</v>
      </c>
      <c r="CM137" s="28">
        <v>3.6727955306857099</v>
      </c>
      <c r="CN137" s="28">
        <v>0.180432945106413</v>
      </c>
      <c r="CO137" s="28">
        <v>0.32715377211570701</v>
      </c>
      <c r="CP137" s="28">
        <v>0.23419811369614699</v>
      </c>
      <c r="CQ137" s="28">
        <v>0.109736383442361</v>
      </c>
      <c r="CR137" s="28">
        <v>0</v>
      </c>
      <c r="CS137" s="28">
        <v>0</v>
      </c>
      <c r="CT137" s="28">
        <v>0.76105396702059103</v>
      </c>
      <c r="CU137" s="28">
        <v>7.5779262214519694E-2</v>
      </c>
      <c r="CV137" s="28">
        <v>0.21214170771555399</v>
      </c>
      <c r="CW137" s="28">
        <v>6.8988593398878501E-2</v>
      </c>
      <c r="CX137" s="28">
        <v>2.5839226888090799E-2</v>
      </c>
      <c r="CY137" s="28">
        <v>0.100290880196891</v>
      </c>
      <c r="CZ137" s="28">
        <v>0</v>
      </c>
      <c r="DA137" s="28">
        <v>15.453401965941</v>
      </c>
      <c r="DB137" s="28">
        <v>46.826191607018103</v>
      </c>
      <c r="DC137" s="28">
        <v>9.5358106560166291</v>
      </c>
      <c r="DD137" s="28">
        <v>1.2968751472456701</v>
      </c>
      <c r="DE137" s="28">
        <v>0</v>
      </c>
      <c r="DF137" s="28">
        <v>8.4616136680005297E-2</v>
      </c>
      <c r="DG137" s="28">
        <v>6.0620189210672697</v>
      </c>
      <c r="DH137" s="28">
        <v>0.98522990609286598</v>
      </c>
      <c r="DI137" s="28">
        <v>0.50321943151203496</v>
      </c>
      <c r="DJ137" s="28">
        <v>265.000710463345</v>
      </c>
      <c r="DK137" s="28">
        <v>0</v>
      </c>
      <c r="DL137" s="28">
        <v>0.171981312441809</v>
      </c>
      <c r="DM137" s="28">
        <v>0</v>
      </c>
      <c r="DN137" s="28">
        <v>0.62798284535043802</v>
      </c>
      <c r="DO137" s="28">
        <v>0.13413599428817299</v>
      </c>
      <c r="DP137" s="28">
        <v>0</v>
      </c>
      <c r="DQ137" s="28">
        <v>0.336376189817232</v>
      </c>
      <c r="DR137" s="28">
        <v>4.6550419316428604</v>
      </c>
      <c r="DS137" s="28">
        <v>0.38604762711587698</v>
      </c>
      <c r="DT137" s="28">
        <v>0.202171644226913</v>
      </c>
      <c r="DU137" s="28">
        <v>2.1151025684750202</v>
      </c>
      <c r="DV137" s="28">
        <v>5.2126595348862796</v>
      </c>
      <c r="DW137" s="28">
        <v>0</v>
      </c>
      <c r="DX137" s="28">
        <v>5.1119882325097503</v>
      </c>
      <c r="DY137" s="28">
        <v>3.1755820889583499</v>
      </c>
      <c r="DZ137" s="28">
        <v>10.4530285091296</v>
      </c>
      <c r="EA137" s="28">
        <v>9.9240243396749896E-3</v>
      </c>
      <c r="EB137" s="28">
        <v>0.24594311385834899</v>
      </c>
      <c r="EC137" s="28">
        <v>0.82557020814787696</v>
      </c>
      <c r="ED137" s="28">
        <v>7.4986476274214402</v>
      </c>
      <c r="EE137" s="28">
        <v>4.6257601931438197</v>
      </c>
      <c r="EF137" s="28">
        <v>16.1872597484161</v>
      </c>
      <c r="EG137" s="28">
        <v>0.31579342294475099</v>
      </c>
      <c r="EH137" s="28">
        <v>5.4520841365959499E-2</v>
      </c>
      <c r="EI137" s="28">
        <v>2.5623973298416002E-2</v>
      </c>
      <c r="EJ137" s="28">
        <v>2.9688746109442898</v>
      </c>
      <c r="EK137" s="28">
        <v>0.27974632300985403</v>
      </c>
      <c r="EL137" s="28">
        <v>2.9019020920048502</v>
      </c>
      <c r="EM137" s="28">
        <v>6.6288661478856897E-2</v>
      </c>
      <c r="EN137" s="28">
        <v>2.6403847451346101E-2</v>
      </c>
      <c r="EO137" s="28">
        <v>0.71959774689315203</v>
      </c>
      <c r="EP137" s="28">
        <v>0</v>
      </c>
      <c r="EQ137" s="28">
        <v>0.103126063766354</v>
      </c>
      <c r="ER137" s="28">
        <v>0.73844860450962202</v>
      </c>
      <c r="ES137" s="28">
        <v>2.0744832475120498</v>
      </c>
      <c r="ET137" s="28">
        <v>9.0643858469003806</v>
      </c>
      <c r="EU137" s="28">
        <v>0</v>
      </c>
      <c r="EV137" s="28">
        <v>0.18787571962472199</v>
      </c>
      <c r="EW137" s="28">
        <v>54.143077205426998</v>
      </c>
      <c r="EX137" s="28">
        <v>0.310590953044729</v>
      </c>
      <c r="EY137" s="28">
        <v>61.997184580957999</v>
      </c>
      <c r="EZ137" s="28">
        <v>0</v>
      </c>
      <c r="FA137" s="28">
        <v>7.31916752920809</v>
      </c>
      <c r="FB137" s="28">
        <v>28.231864472198701</v>
      </c>
      <c r="FC137" s="28">
        <v>18.775046942119801</v>
      </c>
      <c r="FD137" s="28">
        <v>34.905919780087899</v>
      </c>
      <c r="FE137" s="28">
        <v>13.8851213055817</v>
      </c>
      <c r="FF137" s="28">
        <v>86.690593703529004</v>
      </c>
      <c r="FG137" s="28">
        <v>20.362692179286501</v>
      </c>
      <c r="FH137" s="28">
        <v>0</v>
      </c>
      <c r="FI137" s="28">
        <v>233.821267246209</v>
      </c>
      <c r="FJ137" s="28">
        <v>115.836612227427</v>
      </c>
      <c r="FK137" s="28">
        <v>0</v>
      </c>
      <c r="FL137" s="28">
        <v>92.041345864616602</v>
      </c>
      <c r="FM137" s="28">
        <v>3743.0568856760601</v>
      </c>
      <c r="FN137" s="28">
        <v>47.150480165160502</v>
      </c>
      <c r="FO137" s="28">
        <v>0</v>
      </c>
      <c r="FP137" s="28">
        <v>0.48747499747017298</v>
      </c>
      <c r="FQ137" s="28">
        <v>36.543125657029002</v>
      </c>
      <c r="FR137" s="28">
        <v>2.2489932985633598</v>
      </c>
      <c r="FS137" s="28">
        <v>7.6509781702078801</v>
      </c>
      <c r="FT137" s="28">
        <v>3.8625082569073199</v>
      </c>
      <c r="FU137" s="28">
        <v>12.790548179829401</v>
      </c>
      <c r="FV137" s="28">
        <v>21.810543910513999</v>
      </c>
      <c r="FW137" s="28">
        <v>0.11260918</v>
      </c>
      <c r="FX137" s="28">
        <v>6.0575291413496899</v>
      </c>
      <c r="FY137" s="28">
        <v>0.74709404999999995</v>
      </c>
      <c r="FZ137" s="28">
        <v>0.29949692354902402</v>
      </c>
      <c r="GA137" s="28">
        <v>1.2937280966901099</v>
      </c>
      <c r="GB137" s="28">
        <v>8.0439373474532996</v>
      </c>
      <c r="GC137" s="28">
        <v>23.727286049886199</v>
      </c>
      <c r="GD137" s="28">
        <v>55.267665850416101</v>
      </c>
      <c r="GE137" s="28">
        <v>126.437655964946</v>
      </c>
      <c r="GF137" s="28">
        <v>53.887880043058601</v>
      </c>
      <c r="GG137" s="28">
        <v>147.758963660342</v>
      </c>
      <c r="GH137" s="28">
        <v>4.7183130815669196</v>
      </c>
      <c r="GI137" s="28">
        <v>13.5820546760154</v>
      </c>
      <c r="GJ137" s="28">
        <v>2.53627885580112</v>
      </c>
      <c r="GK137" s="28">
        <v>17.513213800076301</v>
      </c>
      <c r="GL137" s="28">
        <v>33.561074719522303</v>
      </c>
      <c r="GM137" s="28">
        <v>8.4685927350263892</v>
      </c>
      <c r="GN137" s="28">
        <v>12.6948057381853</v>
      </c>
      <c r="GO137" s="28">
        <v>10.432802297417201</v>
      </c>
      <c r="GP137" s="28">
        <v>0</v>
      </c>
      <c r="GQ137" s="21">
        <v>6258.1556698927452</v>
      </c>
      <c r="GR137" s="21">
        <v>941.03908045975697</v>
      </c>
      <c r="GS137" s="20">
        <v>941.03908045975697</v>
      </c>
      <c r="GT137" s="20">
        <v>0</v>
      </c>
      <c r="GU137" s="20">
        <v>0</v>
      </c>
      <c r="GV137" s="20">
        <v>0</v>
      </c>
      <c r="GW137" s="20">
        <v>0</v>
      </c>
      <c r="GX137" s="21">
        <v>109.57748861319396</v>
      </c>
      <c r="GY137" s="20">
        <v>0</v>
      </c>
      <c r="GZ137" s="20">
        <v>109.57748861319396</v>
      </c>
      <c r="HA137" s="20"/>
      <c r="HB137" s="21">
        <v>125.84040912</v>
      </c>
      <c r="HC137" s="21">
        <v>7434.6126480856965</v>
      </c>
    </row>
    <row r="138" spans="2:211" s="7" customFormat="1" ht="17.25" customHeight="1">
      <c r="B138" s="26" t="s">
        <v>116</v>
      </c>
      <c r="C138" s="9" t="s">
        <v>574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0.21265146931685899</v>
      </c>
      <c r="AE138" s="28">
        <v>1.04780155772859E-2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0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  <c r="CS138" s="28">
        <v>0</v>
      </c>
      <c r="CT138" s="28">
        <v>0</v>
      </c>
      <c r="CU138" s="28">
        <v>0</v>
      </c>
      <c r="CV138" s="28">
        <v>0</v>
      </c>
      <c r="CW138" s="28">
        <v>0</v>
      </c>
      <c r="CX138" s="28">
        <v>0</v>
      </c>
      <c r="CY138" s="28">
        <v>0</v>
      </c>
      <c r="CZ138" s="28">
        <v>0</v>
      </c>
      <c r="DA138" s="28">
        <v>0</v>
      </c>
      <c r="DB138" s="28">
        <v>0</v>
      </c>
      <c r="DC138" s="28">
        <v>0</v>
      </c>
      <c r="DD138" s="28">
        <v>0</v>
      </c>
      <c r="DE138" s="28">
        <v>0</v>
      </c>
      <c r="DF138" s="28">
        <v>0</v>
      </c>
      <c r="DG138" s="28">
        <v>0</v>
      </c>
      <c r="DH138" s="28">
        <v>0</v>
      </c>
      <c r="DI138" s="28">
        <v>0</v>
      </c>
      <c r="DJ138" s="28">
        <v>3.8296088722975701</v>
      </c>
      <c r="DK138" s="28">
        <v>0</v>
      </c>
      <c r="DL138" s="28">
        <v>0</v>
      </c>
      <c r="DM138" s="28">
        <v>0</v>
      </c>
      <c r="DN138" s="28">
        <v>0</v>
      </c>
      <c r="DO138" s="28">
        <v>0</v>
      </c>
      <c r="DP138" s="28">
        <v>0</v>
      </c>
      <c r="DQ138" s="28">
        <v>0</v>
      </c>
      <c r="DR138" s="28">
        <v>0</v>
      </c>
      <c r="DS138" s="28">
        <v>0</v>
      </c>
      <c r="DT138" s="28">
        <v>0</v>
      </c>
      <c r="DU138" s="28">
        <v>0</v>
      </c>
      <c r="DV138" s="28">
        <v>0</v>
      </c>
      <c r="DW138" s="28">
        <v>0</v>
      </c>
      <c r="DX138" s="28">
        <v>0</v>
      </c>
      <c r="DY138" s="28">
        <v>0</v>
      </c>
      <c r="DZ138" s="28">
        <v>0</v>
      </c>
      <c r="EA138" s="28">
        <v>0</v>
      </c>
      <c r="EB138" s="28">
        <v>0</v>
      </c>
      <c r="EC138" s="28">
        <v>0</v>
      </c>
      <c r="ED138" s="28">
        <v>0</v>
      </c>
      <c r="EE138" s="28">
        <v>0</v>
      </c>
      <c r="EF138" s="28">
        <v>0</v>
      </c>
      <c r="EG138" s="28">
        <v>0</v>
      </c>
      <c r="EH138" s="28">
        <v>0</v>
      </c>
      <c r="EI138" s="28">
        <v>0</v>
      </c>
      <c r="EJ138" s="28">
        <v>0</v>
      </c>
      <c r="EK138" s="28">
        <v>0</v>
      </c>
      <c r="EL138" s="28">
        <v>0</v>
      </c>
      <c r="EM138" s="28">
        <v>0</v>
      </c>
      <c r="EN138" s="28">
        <v>0</v>
      </c>
      <c r="EO138" s="28">
        <v>0</v>
      </c>
      <c r="EP138" s="28">
        <v>0</v>
      </c>
      <c r="EQ138" s="28">
        <v>0</v>
      </c>
      <c r="ER138" s="28">
        <v>0</v>
      </c>
      <c r="ES138" s="28">
        <v>0</v>
      </c>
      <c r="ET138" s="28">
        <v>0</v>
      </c>
      <c r="EU138" s="28">
        <v>0</v>
      </c>
      <c r="EV138" s="28">
        <v>0</v>
      </c>
      <c r="EW138" s="28">
        <v>0</v>
      </c>
      <c r="EX138" s="28">
        <v>0</v>
      </c>
      <c r="EY138" s="28">
        <v>0</v>
      </c>
      <c r="EZ138" s="28">
        <v>0</v>
      </c>
      <c r="FA138" s="28">
        <v>0</v>
      </c>
      <c r="FB138" s="28">
        <v>0</v>
      </c>
      <c r="FC138" s="28">
        <v>0</v>
      </c>
      <c r="FD138" s="28">
        <v>0</v>
      </c>
      <c r="FE138" s="28">
        <v>0</v>
      </c>
      <c r="FF138" s="28">
        <v>0</v>
      </c>
      <c r="FG138" s="28">
        <v>4.2132383908800604</v>
      </c>
      <c r="FH138" s="28">
        <v>0</v>
      </c>
      <c r="FI138" s="28">
        <v>0</v>
      </c>
      <c r="FJ138" s="28">
        <v>0</v>
      </c>
      <c r="FK138" s="28">
        <v>0</v>
      </c>
      <c r="FL138" s="28">
        <v>0</v>
      </c>
      <c r="FM138" s="28">
        <v>0</v>
      </c>
      <c r="FN138" s="28">
        <v>601.44733302605903</v>
      </c>
      <c r="FO138" s="28">
        <v>0</v>
      </c>
      <c r="FP138" s="28">
        <v>0</v>
      </c>
      <c r="FQ138" s="28">
        <v>0</v>
      </c>
      <c r="FR138" s="28">
        <v>0</v>
      </c>
      <c r="FS138" s="28">
        <v>0</v>
      </c>
      <c r="FT138" s="28">
        <v>0</v>
      </c>
      <c r="FU138" s="28">
        <v>0</v>
      </c>
      <c r="FV138" s="28">
        <v>0</v>
      </c>
      <c r="FW138" s="28">
        <v>0</v>
      </c>
      <c r="FX138" s="28">
        <v>0</v>
      </c>
      <c r="FY138" s="28">
        <v>0</v>
      </c>
      <c r="FZ138" s="28">
        <v>0</v>
      </c>
      <c r="GA138" s="28">
        <v>0</v>
      </c>
      <c r="GB138" s="28">
        <v>0</v>
      </c>
      <c r="GC138" s="28">
        <v>0</v>
      </c>
      <c r="GD138" s="28">
        <v>0</v>
      </c>
      <c r="GE138" s="28">
        <v>0</v>
      </c>
      <c r="GF138" s="28">
        <v>0</v>
      </c>
      <c r="GG138" s="28">
        <v>56.568914360000001</v>
      </c>
      <c r="GH138" s="28">
        <v>0</v>
      </c>
      <c r="GI138" s="28">
        <v>0</v>
      </c>
      <c r="GJ138" s="28">
        <v>0</v>
      </c>
      <c r="GK138" s="28">
        <v>0</v>
      </c>
      <c r="GL138" s="28">
        <v>0</v>
      </c>
      <c r="GM138" s="28">
        <v>0</v>
      </c>
      <c r="GN138" s="28">
        <v>0</v>
      </c>
      <c r="GO138" s="28">
        <v>0</v>
      </c>
      <c r="GP138" s="28">
        <v>0</v>
      </c>
      <c r="GQ138" s="21">
        <v>666.28222413413084</v>
      </c>
      <c r="GR138" s="21">
        <v>0</v>
      </c>
      <c r="GS138" s="20">
        <v>0</v>
      </c>
      <c r="GT138" s="20">
        <v>0</v>
      </c>
      <c r="GU138" s="20">
        <v>0</v>
      </c>
      <c r="GV138" s="20">
        <v>0</v>
      </c>
      <c r="GW138" s="20">
        <v>0</v>
      </c>
      <c r="GX138" s="21">
        <v>-3.3454704699081801</v>
      </c>
      <c r="GY138" s="20">
        <v>0</v>
      </c>
      <c r="GZ138" s="20">
        <v>-3.3454704699081801</v>
      </c>
      <c r="HA138" s="20"/>
      <c r="HB138" s="21">
        <v>291.88501190160002</v>
      </c>
      <c r="HC138" s="21">
        <v>954.82176556582272</v>
      </c>
    </row>
    <row r="139" spans="2:211" s="7" customFormat="1" ht="17.25" customHeight="1">
      <c r="B139" s="26" t="s">
        <v>117</v>
      </c>
      <c r="C139" s="10" t="s">
        <v>575</v>
      </c>
      <c r="D139" s="28">
        <v>17.2770537909397</v>
      </c>
      <c r="E139" s="28">
        <v>31.719500275467901</v>
      </c>
      <c r="F139" s="28">
        <v>0</v>
      </c>
      <c r="G139" s="28">
        <v>3.94184972974401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25.443693727446199</v>
      </c>
      <c r="N139" s="28">
        <v>0</v>
      </c>
      <c r="O139" s="28">
        <v>0</v>
      </c>
      <c r="P139" s="28">
        <v>0</v>
      </c>
      <c r="Q139" s="28">
        <v>16.266564551337801</v>
      </c>
      <c r="R139" s="28">
        <v>15.7380924788242</v>
      </c>
      <c r="S139" s="28">
        <v>292.25987124744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0.60835362964664397</v>
      </c>
      <c r="Z139" s="28">
        <v>0</v>
      </c>
      <c r="AA139" s="28">
        <v>0</v>
      </c>
      <c r="AB139" s="28">
        <v>0</v>
      </c>
      <c r="AC139" s="28">
        <v>14.161945664858299</v>
      </c>
      <c r="AD139" s="28">
        <v>0</v>
      </c>
      <c r="AE139" s="28">
        <v>8.3378898726201793</v>
      </c>
      <c r="AF139" s="28">
        <v>5.7280658138877003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13.2978360596826</v>
      </c>
      <c r="AU139" s="28">
        <v>18.263002263089302</v>
      </c>
      <c r="AV139" s="28">
        <v>15.571035819388801</v>
      </c>
      <c r="AW139" s="28">
        <v>123.02382248094</v>
      </c>
      <c r="AX139" s="28">
        <v>332.38460178573399</v>
      </c>
      <c r="AY139" s="28">
        <v>5.3548028682184001E-2</v>
      </c>
      <c r="AZ139" s="28">
        <v>4.9971552056582498</v>
      </c>
      <c r="BA139" s="28">
        <v>6.6945715230962799</v>
      </c>
      <c r="BB139" s="28">
        <v>0.11288773232861</v>
      </c>
      <c r="BC139" s="28">
        <v>64.8299205030129</v>
      </c>
      <c r="BD139" s="28">
        <v>0.32940163869583</v>
      </c>
      <c r="BE139" s="28">
        <v>0</v>
      </c>
      <c r="BF139" s="28">
        <v>0</v>
      </c>
      <c r="BG139" s="28">
        <v>0.123330505313492</v>
      </c>
      <c r="BH139" s="28">
        <v>5.3648030603768201E-2</v>
      </c>
      <c r="BI139" s="28">
        <v>1.12434505290239</v>
      </c>
      <c r="BJ139" s="28">
        <v>0.62743806551344905</v>
      </c>
      <c r="BK139" s="28">
        <v>0</v>
      </c>
      <c r="BL139" s="28">
        <v>3.5304083249677098E-2</v>
      </c>
      <c r="BM139" s="28">
        <v>8.0858126629468497E-3</v>
      </c>
      <c r="BN139" s="28">
        <v>0.30871742550812697</v>
      </c>
      <c r="BO139" s="28">
        <v>3.28225786613653</v>
      </c>
      <c r="BP139" s="28">
        <v>0</v>
      </c>
      <c r="BQ139" s="28">
        <v>0.96580031889931295</v>
      </c>
      <c r="BR139" s="28">
        <v>0.20605340731463101</v>
      </c>
      <c r="BS139" s="28">
        <v>0</v>
      </c>
      <c r="BT139" s="28">
        <v>0</v>
      </c>
      <c r="BU139" s="28">
        <v>8.0636498763393294E-2</v>
      </c>
      <c r="BV139" s="28">
        <v>9.0947422295290199</v>
      </c>
      <c r="BW139" s="28">
        <v>0.29925063061721602</v>
      </c>
      <c r="BX139" s="28">
        <v>9.9951125988921603E-3</v>
      </c>
      <c r="BY139" s="28">
        <v>0.67756821884996699</v>
      </c>
      <c r="BZ139" s="28">
        <v>13.804580653681199</v>
      </c>
      <c r="CA139" s="28">
        <v>0</v>
      </c>
      <c r="CB139" s="28">
        <v>0.45598071630861797</v>
      </c>
      <c r="CC139" s="28">
        <v>2.4994754351573799E-2</v>
      </c>
      <c r="CD139" s="28">
        <v>0.32838438445763801</v>
      </c>
      <c r="CE139" s="28">
        <v>0.111658992133809</v>
      </c>
      <c r="CF139" s="28">
        <v>0</v>
      </c>
      <c r="CG139" s="28">
        <v>3.5855241957480799</v>
      </c>
      <c r="CH139" s="28">
        <v>0</v>
      </c>
      <c r="CI139" s="28">
        <v>1.38554485260202</v>
      </c>
      <c r="CJ139" s="28">
        <v>0</v>
      </c>
      <c r="CK139" s="28">
        <v>0</v>
      </c>
      <c r="CL139" s="28">
        <v>8.9014117603310294E-2</v>
      </c>
      <c r="CM139" s="28">
        <v>0.65603570514526399</v>
      </c>
      <c r="CN139" s="28">
        <v>0.42148485818109299</v>
      </c>
      <c r="CO139" s="28">
        <v>0</v>
      </c>
      <c r="CP139" s="28">
        <v>9.7309211476277094E-2</v>
      </c>
      <c r="CQ139" s="28">
        <v>1.47409955816685E-2</v>
      </c>
      <c r="CR139" s="28">
        <v>0</v>
      </c>
      <c r="CS139" s="28">
        <v>0</v>
      </c>
      <c r="CT139" s="28">
        <v>0.142679911364443</v>
      </c>
      <c r="CU139" s="28">
        <v>0.12521177158344901</v>
      </c>
      <c r="CV139" s="28">
        <v>0.29450840778870302</v>
      </c>
      <c r="CW139" s="28">
        <v>2.7725338593727701E-2</v>
      </c>
      <c r="CX139" s="28">
        <v>2.6117475457250301E-2</v>
      </c>
      <c r="CY139" s="28">
        <v>0.26709917418366802</v>
      </c>
      <c r="CZ139" s="28">
        <v>0</v>
      </c>
      <c r="DA139" s="28">
        <v>0</v>
      </c>
      <c r="DB139" s="28">
        <v>0</v>
      </c>
      <c r="DC139" s="28">
        <v>3.0213233015222598</v>
      </c>
      <c r="DD139" s="28">
        <v>0</v>
      </c>
      <c r="DE139" s="28">
        <v>0</v>
      </c>
      <c r="DF139" s="28">
        <v>7.93278961322086E-2</v>
      </c>
      <c r="DG139" s="28">
        <v>2.3478440872167701</v>
      </c>
      <c r="DH139" s="28">
        <v>0.42850327546843098</v>
      </c>
      <c r="DI139" s="28">
        <v>0</v>
      </c>
      <c r="DJ139" s="28">
        <v>3.5740221807439099</v>
      </c>
      <c r="DK139" s="28">
        <v>0</v>
      </c>
      <c r="DL139" s="28">
        <v>1.7319878549090599</v>
      </c>
      <c r="DM139" s="28">
        <v>0</v>
      </c>
      <c r="DN139" s="28">
        <v>1.7441711210536299</v>
      </c>
      <c r="DO139" s="28">
        <v>8.4710765623584993E-3</v>
      </c>
      <c r="DP139" s="28">
        <v>0</v>
      </c>
      <c r="DQ139" s="28">
        <v>3.7806025799908799E-2</v>
      </c>
      <c r="DR139" s="28">
        <v>1.4581307518361999</v>
      </c>
      <c r="DS139" s="28">
        <v>0</v>
      </c>
      <c r="DT139" s="28">
        <v>0</v>
      </c>
      <c r="DU139" s="28">
        <v>0.62289150588132902</v>
      </c>
      <c r="DV139" s="28">
        <v>1.3734056265004999</v>
      </c>
      <c r="DW139" s="28">
        <v>0</v>
      </c>
      <c r="DX139" s="28">
        <v>6.1805707227332096</v>
      </c>
      <c r="DY139" s="28">
        <v>4.3697621418064996</v>
      </c>
      <c r="DZ139" s="28">
        <v>10.4854502382689</v>
      </c>
      <c r="EA139" s="28">
        <v>0</v>
      </c>
      <c r="EB139" s="28">
        <v>1.7598632289246601</v>
      </c>
      <c r="EC139" s="28">
        <v>16.5370558721973</v>
      </c>
      <c r="ED139" s="28">
        <v>2.8660292067546802</v>
      </c>
      <c r="EE139" s="28">
        <v>5.3922241416388097</v>
      </c>
      <c r="EF139" s="28">
        <v>5.6169176765176498</v>
      </c>
      <c r="EG139" s="28">
        <v>0.115790921746409</v>
      </c>
      <c r="EH139" s="28">
        <v>3.9981950335037E-2</v>
      </c>
      <c r="EI139" s="28">
        <v>1.87909137521718E-2</v>
      </c>
      <c r="EJ139" s="28">
        <v>4.20056416356684</v>
      </c>
      <c r="EK139" s="28">
        <v>9.5557261905687405E-2</v>
      </c>
      <c r="EL139" s="28">
        <v>2.2119309978981598</v>
      </c>
      <c r="EM139" s="28">
        <v>0</v>
      </c>
      <c r="EN139" s="28">
        <v>0</v>
      </c>
      <c r="EO139" s="28">
        <v>3.2031012423868401</v>
      </c>
      <c r="EP139" s="28">
        <v>0</v>
      </c>
      <c r="EQ139" s="28">
        <v>0</v>
      </c>
      <c r="ER139" s="28">
        <v>1.2505082140807399E-2</v>
      </c>
      <c r="ES139" s="28">
        <v>3.2496651453837102</v>
      </c>
      <c r="ET139" s="28">
        <v>0.14228035665518299</v>
      </c>
      <c r="EU139" s="28">
        <v>0</v>
      </c>
      <c r="EV139" s="28">
        <v>6.9794752715507502E-2</v>
      </c>
      <c r="EW139" s="28">
        <v>0</v>
      </c>
      <c r="EX139" s="28">
        <v>61.741349999999997</v>
      </c>
      <c r="EY139" s="28">
        <v>0</v>
      </c>
      <c r="EZ139" s="28">
        <v>16.262664000000001</v>
      </c>
      <c r="FA139" s="28">
        <v>47.9456345677008</v>
      </c>
      <c r="FB139" s="28">
        <v>0</v>
      </c>
      <c r="FC139" s="28">
        <v>4.8557981434038204</v>
      </c>
      <c r="FD139" s="28">
        <v>0</v>
      </c>
      <c r="FE139" s="28">
        <v>5.7935110647866299</v>
      </c>
      <c r="FF139" s="28">
        <v>112.614685519955</v>
      </c>
      <c r="FG139" s="28">
        <v>166.177796087286</v>
      </c>
      <c r="FH139" s="28">
        <v>6.6981852703404803</v>
      </c>
      <c r="FI139" s="28">
        <v>87.014596041184305</v>
      </c>
      <c r="FJ139" s="28">
        <v>0</v>
      </c>
      <c r="FK139" s="28">
        <v>62.308351891468099</v>
      </c>
      <c r="FL139" s="28">
        <v>3791.2101429135901</v>
      </c>
      <c r="FM139" s="28">
        <v>564.94350032059197</v>
      </c>
      <c r="FN139" s="28">
        <v>0</v>
      </c>
      <c r="FO139" s="28">
        <v>5.7283114408314102</v>
      </c>
      <c r="FP139" s="28">
        <v>5.7752326544164703</v>
      </c>
      <c r="FQ139" s="28">
        <v>0</v>
      </c>
      <c r="FR139" s="28">
        <v>0</v>
      </c>
      <c r="FS139" s="28">
        <v>4.1732608201133896</v>
      </c>
      <c r="FT139" s="28">
        <v>0</v>
      </c>
      <c r="FU139" s="28">
        <v>0</v>
      </c>
      <c r="FV139" s="28">
        <v>0</v>
      </c>
      <c r="FW139" s="28">
        <v>0</v>
      </c>
      <c r="FX139" s="28">
        <v>3.5850067061975399</v>
      </c>
      <c r="FY139" s="28">
        <v>0</v>
      </c>
      <c r="FZ139" s="28">
        <v>0</v>
      </c>
      <c r="GA139" s="28">
        <v>1.2884189071351399E-2</v>
      </c>
      <c r="GB139" s="28">
        <v>0</v>
      </c>
      <c r="GC139" s="28">
        <v>0</v>
      </c>
      <c r="GD139" s="28">
        <v>448.85944983300101</v>
      </c>
      <c r="GE139" s="28">
        <v>0</v>
      </c>
      <c r="GF139" s="28">
        <v>22.453283351274401</v>
      </c>
      <c r="GG139" s="28">
        <v>190.7</v>
      </c>
      <c r="GH139" s="28">
        <v>0.62601214996836796</v>
      </c>
      <c r="GI139" s="28">
        <v>1.24686825012817</v>
      </c>
      <c r="GJ139" s="28">
        <v>0</v>
      </c>
      <c r="GK139" s="28">
        <v>4.2846454338297404</v>
      </c>
      <c r="GL139" s="28">
        <v>0</v>
      </c>
      <c r="GM139" s="28">
        <v>0</v>
      </c>
      <c r="GN139" s="28">
        <v>0</v>
      </c>
      <c r="GO139" s="28">
        <v>0</v>
      </c>
      <c r="GP139" s="28">
        <v>0</v>
      </c>
      <c r="GQ139" s="21">
        <v>6747.8033239673205</v>
      </c>
      <c r="GR139" s="21">
        <v>42.527596672040502</v>
      </c>
      <c r="GS139" s="20">
        <v>42.527596672040502</v>
      </c>
      <c r="GT139" s="20">
        <v>0</v>
      </c>
      <c r="GU139" s="20">
        <v>0</v>
      </c>
      <c r="GV139" s="20">
        <v>0</v>
      </c>
      <c r="GW139" s="20">
        <v>0</v>
      </c>
      <c r="GX139" s="21">
        <v>12.781592943943355</v>
      </c>
      <c r="GY139" s="20">
        <v>0</v>
      </c>
      <c r="GZ139" s="20">
        <v>12.781592943943355</v>
      </c>
      <c r="HA139" s="20"/>
      <c r="HB139" s="21">
        <v>143.153840508</v>
      </c>
      <c r="HC139" s="21">
        <v>6946.2663540913036</v>
      </c>
    </row>
    <row r="140" spans="2:211" s="7" customFormat="1" ht="17.25" customHeight="1">
      <c r="B140" s="26" t="s">
        <v>118</v>
      </c>
      <c r="C140" s="10" t="s">
        <v>576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0</v>
      </c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28">
        <v>0</v>
      </c>
      <c r="CO140" s="28">
        <v>0</v>
      </c>
      <c r="CP140" s="28">
        <v>0</v>
      </c>
      <c r="CQ140" s="28">
        <v>0</v>
      </c>
      <c r="CR140" s="28">
        <v>0</v>
      </c>
      <c r="CS140" s="28">
        <v>0</v>
      </c>
      <c r="CT140" s="28">
        <v>0</v>
      </c>
      <c r="CU140" s="28">
        <v>0</v>
      </c>
      <c r="CV140" s="28">
        <v>0</v>
      </c>
      <c r="CW140" s="28">
        <v>0</v>
      </c>
      <c r="CX140" s="28">
        <v>0</v>
      </c>
      <c r="CY140" s="28">
        <v>0</v>
      </c>
      <c r="CZ140" s="28">
        <v>0</v>
      </c>
      <c r="DA140" s="28">
        <v>0</v>
      </c>
      <c r="DB140" s="28">
        <v>0</v>
      </c>
      <c r="DC140" s="28">
        <v>0</v>
      </c>
      <c r="DD140" s="28">
        <v>0</v>
      </c>
      <c r="DE140" s="28">
        <v>0</v>
      </c>
      <c r="DF140" s="28">
        <v>0</v>
      </c>
      <c r="DG140" s="28">
        <v>0</v>
      </c>
      <c r="DH140" s="28">
        <v>0</v>
      </c>
      <c r="DI140" s="28">
        <v>0</v>
      </c>
      <c r="DJ140" s="28">
        <v>0</v>
      </c>
      <c r="DK140" s="28">
        <v>0</v>
      </c>
      <c r="DL140" s="28">
        <v>0</v>
      </c>
      <c r="DM140" s="28">
        <v>0</v>
      </c>
      <c r="DN140" s="28">
        <v>0</v>
      </c>
      <c r="DO140" s="28">
        <v>0</v>
      </c>
      <c r="DP140" s="28">
        <v>0</v>
      </c>
      <c r="DQ140" s="28">
        <v>0</v>
      </c>
      <c r="DR140" s="28">
        <v>0</v>
      </c>
      <c r="DS140" s="28">
        <v>0</v>
      </c>
      <c r="DT140" s="28">
        <v>0</v>
      </c>
      <c r="DU140" s="28">
        <v>0</v>
      </c>
      <c r="DV140" s="28">
        <v>0</v>
      </c>
      <c r="DW140" s="28">
        <v>0</v>
      </c>
      <c r="DX140" s="28">
        <v>0</v>
      </c>
      <c r="DY140" s="28">
        <v>0</v>
      </c>
      <c r="DZ140" s="28">
        <v>0</v>
      </c>
      <c r="EA140" s="28">
        <v>0</v>
      </c>
      <c r="EB140" s="28">
        <v>0</v>
      </c>
      <c r="EC140" s="28">
        <v>0</v>
      </c>
      <c r="ED140" s="28">
        <v>0</v>
      </c>
      <c r="EE140" s="28">
        <v>0</v>
      </c>
      <c r="EF140" s="28">
        <v>0</v>
      </c>
      <c r="EG140" s="28">
        <v>0</v>
      </c>
      <c r="EH140" s="28">
        <v>0</v>
      </c>
      <c r="EI140" s="28">
        <v>0</v>
      </c>
      <c r="EJ140" s="28">
        <v>0</v>
      </c>
      <c r="EK140" s="28">
        <v>0</v>
      </c>
      <c r="EL140" s="28">
        <v>0</v>
      </c>
      <c r="EM140" s="28">
        <v>0</v>
      </c>
      <c r="EN140" s="28">
        <v>0</v>
      </c>
      <c r="EO140" s="28">
        <v>0</v>
      </c>
      <c r="EP140" s="28">
        <v>0</v>
      </c>
      <c r="EQ140" s="28">
        <v>0</v>
      </c>
      <c r="ER140" s="28">
        <v>0</v>
      </c>
      <c r="ES140" s="28">
        <v>0</v>
      </c>
      <c r="ET140" s="28">
        <v>0</v>
      </c>
      <c r="EU140" s="28">
        <v>0</v>
      </c>
      <c r="EV140" s="28">
        <v>0</v>
      </c>
      <c r="EW140" s="28">
        <v>0</v>
      </c>
      <c r="EX140" s="28">
        <v>0</v>
      </c>
      <c r="EY140" s="28">
        <v>0</v>
      </c>
      <c r="EZ140" s="28">
        <v>0</v>
      </c>
      <c r="FA140" s="28">
        <v>0</v>
      </c>
      <c r="FB140" s="28">
        <v>0</v>
      </c>
      <c r="FC140" s="28">
        <v>0</v>
      </c>
      <c r="FD140" s="28">
        <v>0</v>
      </c>
      <c r="FE140" s="28">
        <v>0</v>
      </c>
      <c r="FF140" s="28">
        <v>0</v>
      </c>
      <c r="FG140" s="28">
        <v>0</v>
      </c>
      <c r="FH140" s="28">
        <v>0</v>
      </c>
      <c r="FI140" s="28">
        <v>0</v>
      </c>
      <c r="FJ140" s="28">
        <v>0</v>
      </c>
      <c r="FK140" s="28">
        <v>0</v>
      </c>
      <c r="FL140" s="28">
        <v>0</v>
      </c>
      <c r="FM140" s="28">
        <v>0</v>
      </c>
      <c r="FN140" s="28">
        <v>0</v>
      </c>
      <c r="FO140" s="28">
        <v>0</v>
      </c>
      <c r="FP140" s="28">
        <v>0</v>
      </c>
      <c r="FQ140" s="28">
        <v>0</v>
      </c>
      <c r="FR140" s="28">
        <v>0</v>
      </c>
      <c r="FS140" s="28">
        <v>0</v>
      </c>
      <c r="FT140" s="28">
        <v>0</v>
      </c>
      <c r="FU140" s="28">
        <v>0</v>
      </c>
      <c r="FV140" s="28">
        <v>0</v>
      </c>
      <c r="FW140" s="28">
        <v>0</v>
      </c>
      <c r="FX140" s="28">
        <v>0</v>
      </c>
      <c r="FY140" s="28">
        <v>0</v>
      </c>
      <c r="FZ140" s="28">
        <v>0</v>
      </c>
      <c r="GA140" s="28">
        <v>0</v>
      </c>
      <c r="GB140" s="28">
        <v>0</v>
      </c>
      <c r="GC140" s="28">
        <v>0</v>
      </c>
      <c r="GD140" s="28">
        <v>0</v>
      </c>
      <c r="GE140" s="28">
        <v>0</v>
      </c>
      <c r="GF140" s="28">
        <v>0</v>
      </c>
      <c r="GG140" s="28">
        <v>0</v>
      </c>
      <c r="GH140" s="28">
        <v>0</v>
      </c>
      <c r="GI140" s="28">
        <v>0</v>
      </c>
      <c r="GJ140" s="28">
        <v>0</v>
      </c>
      <c r="GK140" s="28">
        <v>0</v>
      </c>
      <c r="GL140" s="28">
        <v>0</v>
      </c>
      <c r="GM140" s="28">
        <v>0</v>
      </c>
      <c r="GN140" s="28">
        <v>0</v>
      </c>
      <c r="GO140" s="28">
        <v>0</v>
      </c>
      <c r="GP140" s="28">
        <v>0</v>
      </c>
      <c r="GQ140" s="21">
        <v>0</v>
      </c>
      <c r="GR140" s="21">
        <v>0</v>
      </c>
      <c r="GS140" s="20">
        <v>0</v>
      </c>
      <c r="GT140" s="20">
        <v>0</v>
      </c>
      <c r="GU140" s="20">
        <v>0</v>
      </c>
      <c r="GV140" s="20">
        <v>0</v>
      </c>
      <c r="GW140" s="20">
        <v>0</v>
      </c>
      <c r="GX140" s="21">
        <v>8.16980428300832</v>
      </c>
      <c r="GY140" s="20">
        <v>0</v>
      </c>
      <c r="GZ140" s="20">
        <v>8.16980428300832</v>
      </c>
      <c r="HA140" s="20"/>
      <c r="HB140" s="21">
        <v>359.85775213919999</v>
      </c>
      <c r="HC140" s="21">
        <v>368.02755642220831</v>
      </c>
    </row>
    <row r="141" spans="2:211" s="7" customFormat="1" ht="17.25" customHeight="1">
      <c r="B141" s="26" t="s">
        <v>577</v>
      </c>
      <c r="C141" s="9" t="s">
        <v>578</v>
      </c>
      <c r="D141" s="28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  <c r="CR141" s="28">
        <v>0</v>
      </c>
      <c r="CS141" s="28">
        <v>0</v>
      </c>
      <c r="CT141" s="28">
        <v>0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0</v>
      </c>
      <c r="DA141" s="28">
        <v>0</v>
      </c>
      <c r="DB141" s="28">
        <v>0</v>
      </c>
      <c r="DC141" s="28">
        <v>0</v>
      </c>
      <c r="DD141" s="28">
        <v>0</v>
      </c>
      <c r="DE141" s="28">
        <v>0</v>
      </c>
      <c r="DF141" s="28">
        <v>0</v>
      </c>
      <c r="DG141" s="28">
        <v>0</v>
      </c>
      <c r="DH141" s="28">
        <v>0</v>
      </c>
      <c r="DI141" s="28">
        <v>0</v>
      </c>
      <c r="DJ141" s="28">
        <v>1444.88440644922</v>
      </c>
      <c r="DK141" s="28">
        <v>0</v>
      </c>
      <c r="DL141" s="28">
        <v>0</v>
      </c>
      <c r="DM141" s="28">
        <v>0</v>
      </c>
      <c r="DN141" s="28">
        <v>0</v>
      </c>
      <c r="DO141" s="28">
        <v>0</v>
      </c>
      <c r="DP141" s="28">
        <v>0</v>
      </c>
      <c r="DQ141" s="28">
        <v>0</v>
      </c>
      <c r="DR141" s="28">
        <v>0</v>
      </c>
      <c r="DS141" s="28">
        <v>0</v>
      </c>
      <c r="DT141" s="28">
        <v>0</v>
      </c>
      <c r="DU141" s="28">
        <v>0</v>
      </c>
      <c r="DV141" s="28">
        <v>0</v>
      </c>
      <c r="DW141" s="28">
        <v>0</v>
      </c>
      <c r="DX141" s="28">
        <v>0</v>
      </c>
      <c r="DY141" s="28">
        <v>0</v>
      </c>
      <c r="DZ141" s="28">
        <v>0</v>
      </c>
      <c r="EA141" s="28">
        <v>0</v>
      </c>
      <c r="EB141" s="28">
        <v>0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0</v>
      </c>
      <c r="EI141" s="28">
        <v>0</v>
      </c>
      <c r="EJ141" s="28">
        <v>0</v>
      </c>
      <c r="EK141" s="28">
        <v>0</v>
      </c>
      <c r="EL141" s="28">
        <v>0</v>
      </c>
      <c r="EM141" s="28">
        <v>0</v>
      </c>
      <c r="EN141" s="28">
        <v>0</v>
      </c>
      <c r="EO141" s="28">
        <v>0</v>
      </c>
      <c r="EP141" s="28">
        <v>0</v>
      </c>
      <c r="EQ141" s="28">
        <v>0</v>
      </c>
      <c r="ER141" s="28">
        <v>0</v>
      </c>
      <c r="ES141" s="28">
        <v>0</v>
      </c>
      <c r="ET141" s="28">
        <v>0</v>
      </c>
      <c r="EU141" s="28">
        <v>0</v>
      </c>
      <c r="EV141" s="28">
        <v>0</v>
      </c>
      <c r="EW141" s="28">
        <v>0</v>
      </c>
      <c r="EX141" s="28">
        <v>0</v>
      </c>
      <c r="EY141" s="28">
        <v>0</v>
      </c>
      <c r="EZ141" s="28">
        <v>0</v>
      </c>
      <c r="FA141" s="28">
        <v>0</v>
      </c>
      <c r="FB141" s="28">
        <v>0</v>
      </c>
      <c r="FC141" s="28">
        <v>0</v>
      </c>
      <c r="FD141" s="28">
        <v>0</v>
      </c>
      <c r="FE141" s="28">
        <v>0</v>
      </c>
      <c r="FF141" s="28">
        <v>0</v>
      </c>
      <c r="FG141" s="28">
        <v>0</v>
      </c>
      <c r="FH141" s="28">
        <v>0</v>
      </c>
      <c r="FI141" s="28">
        <v>0</v>
      </c>
      <c r="FJ141" s="28">
        <v>0</v>
      </c>
      <c r="FK141" s="28">
        <v>0</v>
      </c>
      <c r="FL141" s="28">
        <v>0</v>
      </c>
      <c r="FM141" s="28">
        <v>0</v>
      </c>
      <c r="FN141" s="28">
        <v>0</v>
      </c>
      <c r="FO141" s="28">
        <v>0</v>
      </c>
      <c r="FP141" s="28">
        <v>0</v>
      </c>
      <c r="FQ141" s="28">
        <v>0</v>
      </c>
      <c r="FR141" s="28">
        <v>0</v>
      </c>
      <c r="FS141" s="28">
        <v>0</v>
      </c>
      <c r="FT141" s="28">
        <v>0</v>
      </c>
      <c r="FU141" s="28">
        <v>0</v>
      </c>
      <c r="FV141" s="28">
        <v>0</v>
      </c>
      <c r="FW141" s="28">
        <v>0</v>
      </c>
      <c r="FX141" s="28">
        <v>0</v>
      </c>
      <c r="FY141" s="28">
        <v>0</v>
      </c>
      <c r="FZ141" s="28">
        <v>0</v>
      </c>
      <c r="GA141" s="28">
        <v>0</v>
      </c>
      <c r="GB141" s="28">
        <v>0</v>
      </c>
      <c r="GC141" s="28">
        <v>0</v>
      </c>
      <c r="GD141" s="28">
        <v>0</v>
      </c>
      <c r="GE141" s="28">
        <v>0</v>
      </c>
      <c r="GF141" s="28">
        <v>0</v>
      </c>
      <c r="GG141" s="28">
        <v>0</v>
      </c>
      <c r="GH141" s="28">
        <v>0</v>
      </c>
      <c r="GI141" s="28">
        <v>0</v>
      </c>
      <c r="GJ141" s="28">
        <v>0</v>
      </c>
      <c r="GK141" s="28">
        <v>0</v>
      </c>
      <c r="GL141" s="28">
        <v>0</v>
      </c>
      <c r="GM141" s="28">
        <v>0</v>
      </c>
      <c r="GN141" s="28">
        <v>0</v>
      </c>
      <c r="GO141" s="28">
        <v>0</v>
      </c>
      <c r="GP141" s="28">
        <v>0</v>
      </c>
      <c r="GQ141" s="21">
        <v>1444.88440644922</v>
      </c>
      <c r="GR141" s="21">
        <v>0</v>
      </c>
      <c r="GS141" s="20">
        <v>0</v>
      </c>
      <c r="GT141" s="20">
        <v>0</v>
      </c>
      <c r="GU141" s="20">
        <v>0</v>
      </c>
      <c r="GV141" s="20">
        <v>0</v>
      </c>
      <c r="GW141" s="20">
        <v>0</v>
      </c>
      <c r="GX141" s="21">
        <v>0</v>
      </c>
      <c r="GY141" s="20">
        <v>0</v>
      </c>
      <c r="GZ141" s="20">
        <v>0</v>
      </c>
      <c r="HA141" s="20"/>
      <c r="HB141" s="21">
        <v>0</v>
      </c>
      <c r="HC141" s="21">
        <v>1444.88440644922</v>
      </c>
    </row>
    <row r="142" spans="2:211" s="7" customFormat="1" ht="17.25" customHeight="1">
      <c r="B142" s="26" t="s">
        <v>119</v>
      </c>
      <c r="C142" s="10" t="s">
        <v>579</v>
      </c>
      <c r="D142" s="28">
        <v>36.619999999999997</v>
      </c>
      <c r="E142" s="28">
        <v>0</v>
      </c>
      <c r="F142" s="28">
        <v>0</v>
      </c>
      <c r="G142" s="28">
        <v>0</v>
      </c>
      <c r="H142" s="28">
        <v>3.2455996851834898</v>
      </c>
      <c r="I142" s="28">
        <v>0.76653596544066605</v>
      </c>
      <c r="J142" s="28">
        <v>8.7319081818890101E-2</v>
      </c>
      <c r="K142" s="28">
        <v>2.3971217751387702E-2</v>
      </c>
      <c r="L142" s="28">
        <v>0.56968370795883805</v>
      </c>
      <c r="M142" s="28">
        <v>3.8955561011445599</v>
      </c>
      <c r="N142" s="28">
        <v>9.7854517941232508</v>
      </c>
      <c r="O142" s="28">
        <v>0.66459382354816998</v>
      </c>
      <c r="P142" s="28">
        <v>0.35064136258206002</v>
      </c>
      <c r="Q142" s="28">
        <v>3.0439346236246898</v>
      </c>
      <c r="R142" s="28">
        <v>0.63608386474774303</v>
      </c>
      <c r="S142" s="28">
        <v>0</v>
      </c>
      <c r="T142" s="28">
        <v>3.86852466515955</v>
      </c>
      <c r="U142" s="28">
        <v>3.0314617385084301</v>
      </c>
      <c r="V142" s="28">
        <v>0</v>
      </c>
      <c r="W142" s="28">
        <v>0.31424358948779901</v>
      </c>
      <c r="X142" s="28">
        <v>9.9680087564988903E-2</v>
      </c>
      <c r="Y142" s="28">
        <v>3.7946727490099398E-2</v>
      </c>
      <c r="Z142" s="28">
        <v>1.3654028014356201E-2</v>
      </c>
      <c r="AA142" s="28">
        <v>2.6480948078809901E-3</v>
      </c>
      <c r="AB142" s="28">
        <v>0</v>
      </c>
      <c r="AC142" s="28">
        <v>0</v>
      </c>
      <c r="AD142" s="28">
        <v>8.6724022447188506E-2</v>
      </c>
      <c r="AE142" s="28">
        <v>0.79848640162986395</v>
      </c>
      <c r="AF142" s="28">
        <v>1.1456131627775401</v>
      </c>
      <c r="AG142" s="28">
        <v>0.75937291404975704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0.169724085089419</v>
      </c>
      <c r="AP142" s="28">
        <v>10.0502396492431</v>
      </c>
      <c r="AQ142" s="28">
        <v>0.661079416728244</v>
      </c>
      <c r="AR142" s="28">
        <v>0.22253491567766401</v>
      </c>
      <c r="AS142" s="28">
        <v>1.18193142574316E-2</v>
      </c>
      <c r="AT142" s="28">
        <v>14.726317443113301</v>
      </c>
      <c r="AU142" s="28">
        <v>2.0161899881348999</v>
      </c>
      <c r="AV142" s="28">
        <v>6.4300546880808298</v>
      </c>
      <c r="AW142" s="28">
        <v>11.1397602423613</v>
      </c>
      <c r="AX142" s="28">
        <v>37.530149102362003</v>
      </c>
      <c r="AY142" s="28">
        <v>0</v>
      </c>
      <c r="AZ142" s="28">
        <v>9.6174840497789695</v>
      </c>
      <c r="BA142" s="28">
        <v>3.5377188654580798</v>
      </c>
      <c r="BB142" s="28">
        <v>0.10559730081990901</v>
      </c>
      <c r="BC142" s="28">
        <v>46.007626120865197</v>
      </c>
      <c r="BD142" s="28">
        <v>4.5375762828970698E-2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2.3383551391656998</v>
      </c>
      <c r="BK142" s="28">
        <v>0</v>
      </c>
      <c r="BL142" s="28">
        <v>0.54668807501134797</v>
      </c>
      <c r="BM142" s="28">
        <v>0.97451935103693499</v>
      </c>
      <c r="BN142" s="28">
        <v>0.60612816725465202</v>
      </c>
      <c r="BO142" s="28">
        <v>0.43910068184036599</v>
      </c>
      <c r="BP142" s="28">
        <v>3.1680670403815602E-3</v>
      </c>
      <c r="BQ142" s="28">
        <v>0.12317569141092601</v>
      </c>
      <c r="BR142" s="28">
        <v>0.31210412969517998</v>
      </c>
      <c r="BS142" s="28">
        <v>0</v>
      </c>
      <c r="BT142" s="28">
        <v>0</v>
      </c>
      <c r="BU142" s="28">
        <v>0.78005975302851005</v>
      </c>
      <c r="BV142" s="28">
        <v>5.3874380805247997</v>
      </c>
      <c r="BW142" s="28">
        <v>0</v>
      </c>
      <c r="BX142" s="28">
        <v>6.6285457101000395E-2</v>
      </c>
      <c r="BY142" s="28">
        <v>0.46307165969288</v>
      </c>
      <c r="BZ142" s="28">
        <v>9.34427788652145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0.89214373603742603</v>
      </c>
      <c r="CH142" s="28">
        <v>0</v>
      </c>
      <c r="CI142" s="28">
        <v>0.27035021781921398</v>
      </c>
      <c r="CJ142" s="28">
        <v>0.392378836082801</v>
      </c>
      <c r="CK142" s="28">
        <v>0</v>
      </c>
      <c r="CL142" s="28">
        <v>2.2995681685073501E-3</v>
      </c>
      <c r="CM142" s="28">
        <v>0.12887088218205101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1.4483915646144101</v>
      </c>
      <c r="CU142" s="28">
        <v>4.1493995823194803E-2</v>
      </c>
      <c r="CV142" s="28">
        <v>0</v>
      </c>
      <c r="CW142" s="28">
        <v>9.5087480181087702</v>
      </c>
      <c r="CX142" s="28">
        <v>3.7738295784256297E-2</v>
      </c>
      <c r="CY142" s="28">
        <v>8.8326533183580899E-2</v>
      </c>
      <c r="CZ142" s="28">
        <v>0</v>
      </c>
      <c r="DA142" s="28">
        <v>0</v>
      </c>
      <c r="DB142" s="28">
        <v>0</v>
      </c>
      <c r="DC142" s="28">
        <v>0.84459893172176903</v>
      </c>
      <c r="DD142" s="28">
        <v>0</v>
      </c>
      <c r="DE142" s="28">
        <v>0</v>
      </c>
      <c r="DF142" s="28">
        <v>0.106854897877422</v>
      </c>
      <c r="DG142" s="28">
        <v>3.9895588660354302</v>
      </c>
      <c r="DH142" s="28">
        <v>1.9221534293046401</v>
      </c>
      <c r="DI142" s="28">
        <v>0</v>
      </c>
      <c r="DJ142" s="28">
        <v>90.505134595652606</v>
      </c>
      <c r="DK142" s="28">
        <v>0</v>
      </c>
      <c r="DL142" s="28">
        <v>5.9969926929094801E-2</v>
      </c>
      <c r="DM142" s="28">
        <v>1.26543742277098E-2</v>
      </c>
      <c r="DN142" s="28">
        <v>7.2825851651764806E-2</v>
      </c>
      <c r="DO142" s="28">
        <v>7.4498753114522502E-3</v>
      </c>
      <c r="DP142" s="28">
        <v>0</v>
      </c>
      <c r="DQ142" s="28">
        <v>0.559464192362226</v>
      </c>
      <c r="DR142" s="28">
        <v>1.6468084697812699</v>
      </c>
      <c r="DS142" s="28">
        <v>1.0464964820223001E-2</v>
      </c>
      <c r="DT142" s="28">
        <v>0</v>
      </c>
      <c r="DU142" s="28">
        <v>1.63819550849139</v>
      </c>
      <c r="DV142" s="28">
        <v>0</v>
      </c>
      <c r="DW142" s="28">
        <v>0</v>
      </c>
      <c r="DX142" s="28">
        <v>2.8590110387305998</v>
      </c>
      <c r="DY142" s="28">
        <v>2.0845956975539202</v>
      </c>
      <c r="DZ142" s="28">
        <v>4.1468915814716301</v>
      </c>
      <c r="EA142" s="28">
        <v>0</v>
      </c>
      <c r="EB142" s="28">
        <v>0.27837716123178002</v>
      </c>
      <c r="EC142" s="28">
        <v>1.35902661705258</v>
      </c>
      <c r="ED142" s="28">
        <v>3.3144085469385098</v>
      </c>
      <c r="EE142" s="28">
        <v>2.8707236296602101</v>
      </c>
      <c r="EF142" s="28">
        <v>18.3251734638235</v>
      </c>
      <c r="EG142" s="28">
        <v>0.40911797763775398</v>
      </c>
      <c r="EH142" s="28">
        <v>9.4177415732742506E-2</v>
      </c>
      <c r="EI142" s="28">
        <v>4.3683674325106697E-2</v>
      </c>
      <c r="EJ142" s="28">
        <v>5.7119986679804198</v>
      </c>
      <c r="EK142" s="28">
        <v>2.37124992452852E-2</v>
      </c>
      <c r="EL142" s="28">
        <v>0.91948741226991804</v>
      </c>
      <c r="EM142" s="28">
        <v>2.6086757762971398E-3</v>
      </c>
      <c r="EN142" s="28">
        <v>0</v>
      </c>
      <c r="EO142" s="28">
        <v>0.27041622644800001</v>
      </c>
      <c r="EP142" s="28">
        <v>0</v>
      </c>
      <c r="EQ142" s="28">
        <v>1.5580003585560401E-2</v>
      </c>
      <c r="ER142" s="28">
        <v>0.218947064849736</v>
      </c>
      <c r="ES142" s="28">
        <v>5.7298870373369697</v>
      </c>
      <c r="ET142" s="28">
        <v>7.8189961416234697</v>
      </c>
      <c r="EU142" s="28">
        <v>4.16166890349862E-2</v>
      </c>
      <c r="EV142" s="28">
        <v>1.7064154123724098E-2</v>
      </c>
      <c r="EW142" s="28">
        <v>8.9767066431460201</v>
      </c>
      <c r="EX142" s="28">
        <v>8.4625063774576098E-2</v>
      </c>
      <c r="EY142" s="28">
        <v>0</v>
      </c>
      <c r="EZ142" s="28">
        <v>0</v>
      </c>
      <c r="FA142" s="28">
        <v>4.3680420970021201</v>
      </c>
      <c r="FB142" s="28">
        <v>0</v>
      </c>
      <c r="FC142" s="28">
        <v>23.2395635357061</v>
      </c>
      <c r="FD142" s="28">
        <v>2.9009322617928599</v>
      </c>
      <c r="FE142" s="28">
        <v>4.2779391960651303</v>
      </c>
      <c r="FF142" s="28">
        <v>12.539247140278199</v>
      </c>
      <c r="FG142" s="28">
        <v>597.82053714078495</v>
      </c>
      <c r="FH142" s="28">
        <v>187.65366934747999</v>
      </c>
      <c r="FI142" s="28">
        <v>55.567515707383698</v>
      </c>
      <c r="FJ142" s="28">
        <v>0</v>
      </c>
      <c r="FK142" s="28">
        <v>0.12454108501974499</v>
      </c>
      <c r="FL142" s="28">
        <v>61.212119249190998</v>
      </c>
      <c r="FM142" s="28">
        <v>128.67974442117799</v>
      </c>
      <c r="FN142" s="28">
        <v>0</v>
      </c>
      <c r="FO142" s="28">
        <v>0</v>
      </c>
      <c r="FP142" s="28">
        <v>2.3939373037741799E-2</v>
      </c>
      <c r="FQ142" s="28">
        <v>0</v>
      </c>
      <c r="FR142" s="28">
        <v>0</v>
      </c>
      <c r="FS142" s="28">
        <v>2.6886608619422501</v>
      </c>
      <c r="FT142" s="28">
        <v>0</v>
      </c>
      <c r="FU142" s="28">
        <v>0</v>
      </c>
      <c r="FV142" s="28">
        <v>0</v>
      </c>
      <c r="FW142" s="28">
        <v>0</v>
      </c>
      <c r="FX142" s="28">
        <v>1.19500223539918</v>
      </c>
      <c r="FY142" s="28">
        <v>0</v>
      </c>
      <c r="FZ142" s="28">
        <v>0</v>
      </c>
      <c r="GA142" s="28">
        <v>5.1536756285405702E-3</v>
      </c>
      <c r="GB142" s="28">
        <v>0</v>
      </c>
      <c r="GC142" s="28">
        <v>0</v>
      </c>
      <c r="GD142" s="28">
        <v>0</v>
      </c>
      <c r="GE142" s="28">
        <v>26.817875327528299</v>
      </c>
      <c r="GF142" s="28">
        <v>8.9813133405097592</v>
      </c>
      <c r="GG142" s="28">
        <v>107.081552029658</v>
      </c>
      <c r="GH142" s="28">
        <v>0.480029324087479</v>
      </c>
      <c r="GI142" s="28">
        <v>1.6248573829852599</v>
      </c>
      <c r="GJ142" s="28">
        <v>0.32539940425812403</v>
      </c>
      <c r="GK142" s="28">
        <v>0.45843827531301101</v>
      </c>
      <c r="GL142" s="28">
        <v>2.22569427949478</v>
      </c>
      <c r="GM142" s="28">
        <v>0</v>
      </c>
      <c r="GN142" s="28">
        <v>9.0814944123457697E-2</v>
      </c>
      <c r="GO142" s="28">
        <v>0</v>
      </c>
      <c r="GP142" s="28">
        <v>0</v>
      </c>
      <c r="GQ142" s="21">
        <v>1643.6900599951571</v>
      </c>
      <c r="GR142" s="21">
        <v>114.14272644973499</v>
      </c>
      <c r="GS142" s="20">
        <v>114.14272644973499</v>
      </c>
      <c r="GT142" s="20">
        <v>0</v>
      </c>
      <c r="GU142" s="20">
        <v>0</v>
      </c>
      <c r="GV142" s="20">
        <v>0</v>
      </c>
      <c r="GW142" s="20">
        <v>0</v>
      </c>
      <c r="GX142" s="21">
        <v>96.188863958154599</v>
      </c>
      <c r="GY142" s="20">
        <v>0</v>
      </c>
      <c r="GZ142" s="20">
        <v>96.188863958154599</v>
      </c>
      <c r="HA142" s="20"/>
      <c r="HB142" s="21">
        <v>3.5924126304000001</v>
      </c>
      <c r="HC142" s="21">
        <v>1857.6140630334467</v>
      </c>
    </row>
    <row r="143" spans="2:211" s="7" customFormat="1" ht="17.25" customHeight="1">
      <c r="B143" s="26" t="s">
        <v>120</v>
      </c>
      <c r="C143" s="9" t="s">
        <v>580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4.0900027419321701E-2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0.55474821647621897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4.5267624496934298</v>
      </c>
      <c r="AM143" s="28">
        <v>0</v>
      </c>
      <c r="AN143" s="28">
        <v>0</v>
      </c>
      <c r="AO143" s="28">
        <v>0</v>
      </c>
      <c r="AP143" s="28">
        <v>0.14460598530195701</v>
      </c>
      <c r="AQ143" s="28">
        <v>0</v>
      </c>
      <c r="AR143" s="28">
        <v>0</v>
      </c>
      <c r="AS143" s="28">
        <v>0</v>
      </c>
      <c r="AT143" s="28">
        <v>0.112888466128446</v>
      </c>
      <c r="AU143" s="28">
        <v>0</v>
      </c>
      <c r="AV143" s="28">
        <v>1.2929027401787001</v>
      </c>
      <c r="AW143" s="28">
        <v>0</v>
      </c>
      <c r="AX143" s="28">
        <v>3.9625821315465601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56.076800836063299</v>
      </c>
      <c r="BQ143" s="28">
        <v>0</v>
      </c>
      <c r="BR143" s="28">
        <v>0</v>
      </c>
      <c r="BS143" s="28">
        <v>0</v>
      </c>
      <c r="BT143" s="28">
        <v>60.839849694809203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0.1</v>
      </c>
      <c r="CS143" s="28">
        <v>0</v>
      </c>
      <c r="CT143" s="28">
        <v>0</v>
      </c>
      <c r="CU143" s="28">
        <v>0</v>
      </c>
      <c r="CV143" s="28">
        <v>0.25369000000000003</v>
      </c>
      <c r="CW143" s="28">
        <v>0</v>
      </c>
      <c r="CX143" s="28">
        <v>0</v>
      </c>
      <c r="CY143" s="28">
        <v>0</v>
      </c>
      <c r="CZ143" s="28">
        <v>0</v>
      </c>
      <c r="DA143" s="28">
        <v>0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0</v>
      </c>
      <c r="DJ143" s="28">
        <v>1.12281426277162</v>
      </c>
      <c r="DK143" s="28">
        <v>0</v>
      </c>
      <c r="DL143" s="28">
        <v>0</v>
      </c>
      <c r="DM143" s="28">
        <v>0</v>
      </c>
      <c r="DN143" s="28">
        <v>0</v>
      </c>
      <c r="DO143" s="28">
        <v>0</v>
      </c>
      <c r="DP143" s="28">
        <v>0</v>
      </c>
      <c r="DQ143" s="28">
        <v>0</v>
      </c>
      <c r="DR143" s="28">
        <v>0</v>
      </c>
      <c r="DS143" s="28">
        <v>0</v>
      </c>
      <c r="DT143" s="28">
        <v>0</v>
      </c>
      <c r="DU143" s="28">
        <v>3.83549470263388E-2</v>
      </c>
      <c r="DV143" s="28">
        <v>0</v>
      </c>
      <c r="DW143" s="28">
        <v>0</v>
      </c>
      <c r="DX143" s="28">
        <v>0</v>
      </c>
      <c r="DY143" s="28">
        <v>0.64030799841835495</v>
      </c>
      <c r="DZ143" s="28">
        <v>5.7091077596801201</v>
      </c>
      <c r="EA143" s="28">
        <v>0</v>
      </c>
      <c r="EB143" s="28">
        <v>0</v>
      </c>
      <c r="EC143" s="28">
        <v>2.2113728124577601</v>
      </c>
      <c r="ED143" s="28">
        <v>0.32309258281862702</v>
      </c>
      <c r="EE143" s="28">
        <v>0</v>
      </c>
      <c r="EF143" s="28">
        <v>0</v>
      </c>
      <c r="EG143" s="28">
        <v>0</v>
      </c>
      <c r="EH143" s="28">
        <v>0</v>
      </c>
      <c r="EI143" s="28">
        <v>0</v>
      </c>
      <c r="EJ143" s="28">
        <v>0</v>
      </c>
      <c r="EK143" s="28">
        <v>0</v>
      </c>
      <c r="EL143" s="28">
        <v>0</v>
      </c>
      <c r="EM143" s="28">
        <v>0</v>
      </c>
      <c r="EN143" s="28">
        <v>0</v>
      </c>
      <c r="EO143" s="28">
        <v>0</v>
      </c>
      <c r="EP143" s="28">
        <v>0</v>
      </c>
      <c r="EQ143" s="28">
        <v>0</v>
      </c>
      <c r="ER143" s="28">
        <v>0</v>
      </c>
      <c r="ES143" s="28">
        <v>0</v>
      </c>
      <c r="ET143" s="28">
        <v>0</v>
      </c>
      <c r="EU143" s="28">
        <v>0</v>
      </c>
      <c r="EV143" s="28">
        <v>0</v>
      </c>
      <c r="EW143" s="28">
        <v>0</v>
      </c>
      <c r="EX143" s="28">
        <v>0</v>
      </c>
      <c r="EY143" s="28">
        <v>0</v>
      </c>
      <c r="EZ143" s="28">
        <v>0</v>
      </c>
      <c r="FA143" s="28">
        <v>0</v>
      </c>
      <c r="FB143" s="28">
        <v>0</v>
      </c>
      <c r="FC143" s="28">
        <v>0.12543046693078</v>
      </c>
      <c r="FD143" s="28">
        <v>3.5465361083645501E-5</v>
      </c>
      <c r="FE143" s="28">
        <v>0</v>
      </c>
      <c r="FF143" s="28">
        <v>0</v>
      </c>
      <c r="FG143" s="28">
        <v>0.35943638309693798</v>
      </c>
      <c r="FH143" s="28">
        <v>0</v>
      </c>
      <c r="FI143" s="28">
        <v>2.4210813835386</v>
      </c>
      <c r="FJ143" s="28">
        <v>0</v>
      </c>
      <c r="FK143" s="28">
        <v>0</v>
      </c>
      <c r="FL143" s="28">
        <v>0</v>
      </c>
      <c r="FM143" s="28">
        <v>7.9305644137691402</v>
      </c>
      <c r="FN143" s="28">
        <v>0</v>
      </c>
      <c r="FO143" s="28">
        <v>0</v>
      </c>
      <c r="FP143" s="28">
        <v>0</v>
      </c>
      <c r="FQ143" s="28">
        <v>0</v>
      </c>
      <c r="FR143" s="28">
        <v>0</v>
      </c>
      <c r="FS143" s="28">
        <v>4.7538596461378999</v>
      </c>
      <c r="FT143" s="28">
        <v>174.59473360896499</v>
      </c>
      <c r="FU143" s="28">
        <v>0</v>
      </c>
      <c r="FV143" s="28">
        <v>0</v>
      </c>
      <c r="FW143" s="28">
        <v>0</v>
      </c>
      <c r="FX143" s="28">
        <v>0</v>
      </c>
      <c r="FY143" s="28">
        <v>0</v>
      </c>
      <c r="FZ143" s="28">
        <v>0</v>
      </c>
      <c r="GA143" s="28">
        <v>0</v>
      </c>
      <c r="GB143" s="28">
        <v>0</v>
      </c>
      <c r="GC143" s="28">
        <v>0</v>
      </c>
      <c r="GD143" s="28">
        <v>0</v>
      </c>
      <c r="GE143" s="28">
        <v>0</v>
      </c>
      <c r="GF143" s="28">
        <v>4.4906566702548796</v>
      </c>
      <c r="GG143" s="28">
        <v>0</v>
      </c>
      <c r="GH143" s="28">
        <v>1.4518637517100601</v>
      </c>
      <c r="GI143" s="28">
        <v>4.6887499706186802</v>
      </c>
      <c r="GJ143" s="28">
        <v>5.2160729058992897E-2</v>
      </c>
      <c r="GK143" s="28">
        <v>8.7602785880819702</v>
      </c>
      <c r="GL143" s="28">
        <v>2.01232630721853</v>
      </c>
      <c r="GM143" s="28">
        <v>0.161606104897314</v>
      </c>
      <c r="GN143" s="28">
        <v>7.7149889106557901E-2</v>
      </c>
      <c r="GO143" s="28">
        <v>6.9498567927860494E-2</v>
      </c>
      <c r="GP143" s="28">
        <v>0</v>
      </c>
      <c r="GQ143" s="21">
        <v>349.90021285746434</v>
      </c>
      <c r="GR143" s="21">
        <v>451.43509681670798</v>
      </c>
      <c r="GS143" s="20">
        <v>451.43509681670798</v>
      </c>
      <c r="GT143" s="20">
        <v>0</v>
      </c>
      <c r="GU143" s="20">
        <v>0</v>
      </c>
      <c r="GV143" s="20">
        <v>0</v>
      </c>
      <c r="GW143" s="20">
        <v>0</v>
      </c>
      <c r="GX143" s="21">
        <v>2.8699279419154</v>
      </c>
      <c r="GY143" s="20">
        <v>0</v>
      </c>
      <c r="GZ143" s="20">
        <v>2.8699279419154</v>
      </c>
      <c r="HA143" s="20"/>
      <c r="HB143" s="21">
        <v>424.69900388320002</v>
      </c>
      <c r="HC143" s="21">
        <v>1228.9042414992878</v>
      </c>
    </row>
    <row r="144" spans="2:211" s="7" customFormat="1" ht="17.25" customHeight="1">
      <c r="B144" s="26" t="s">
        <v>128</v>
      </c>
      <c r="C144" s="9" t="s">
        <v>581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9.7883820591912105</v>
      </c>
      <c r="AV144" s="28">
        <v>0.162317335858715</v>
      </c>
      <c r="AW144" s="28">
        <v>0</v>
      </c>
      <c r="AX144" s="28">
        <v>5.9278326493221201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1.34654473526166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2.00017349278176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10.720134547477899</v>
      </c>
      <c r="CC144" s="28">
        <v>0.58762820454160902</v>
      </c>
      <c r="CD144" s="28">
        <v>7.7203369764741403</v>
      </c>
      <c r="CE144" s="28">
        <v>2.6251097388514402</v>
      </c>
      <c r="CF144" s="28">
        <v>0</v>
      </c>
      <c r="CG144" s="28">
        <v>0</v>
      </c>
      <c r="CH144" s="28">
        <v>0</v>
      </c>
      <c r="CI144" s="28">
        <v>13.559716224670399</v>
      </c>
      <c r="CJ144" s="28">
        <v>0</v>
      </c>
      <c r="CK144" s="28">
        <v>0</v>
      </c>
      <c r="CL144" s="28">
        <v>3.61747517724505</v>
      </c>
      <c r="CM144" s="28">
        <v>2.8263451564345301</v>
      </c>
      <c r="CN144" s="28">
        <v>0.18750090897083299</v>
      </c>
      <c r="CO144" s="28">
        <v>0</v>
      </c>
      <c r="CP144" s="28">
        <v>0.25533893704414401</v>
      </c>
      <c r="CQ144" s="28">
        <v>0.43788334727287298</v>
      </c>
      <c r="CR144" s="28">
        <v>8.0049844363496696</v>
      </c>
      <c r="CS144" s="28">
        <v>0</v>
      </c>
      <c r="CT144" s="28">
        <v>0</v>
      </c>
      <c r="CU144" s="28">
        <v>0</v>
      </c>
      <c r="CV144" s="28">
        <v>7.3281958739136899E-2</v>
      </c>
      <c r="CW144" s="28">
        <v>4.0634869501641999</v>
      </c>
      <c r="CX144" s="28">
        <v>0</v>
      </c>
      <c r="CY144" s="28">
        <v>18.973874086008799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2</v>
      </c>
      <c r="DH144" s="28">
        <v>0</v>
      </c>
      <c r="DI144" s="28">
        <v>0</v>
      </c>
      <c r="DJ144" s="28">
        <v>0</v>
      </c>
      <c r="DK144" s="28">
        <v>0</v>
      </c>
      <c r="DL144" s="28">
        <v>64.121533284546302</v>
      </c>
      <c r="DM144" s="28">
        <v>0</v>
      </c>
      <c r="DN144" s="28">
        <v>0</v>
      </c>
      <c r="DO144" s="28">
        <v>14.4830696731599</v>
      </c>
      <c r="DP144" s="28">
        <v>0</v>
      </c>
      <c r="DQ144" s="28">
        <v>37.981295414989802</v>
      </c>
      <c r="DR144" s="28">
        <v>72.169531323279699</v>
      </c>
      <c r="DS144" s="28">
        <v>32.2232656983618</v>
      </c>
      <c r="DT144" s="28">
        <v>9.0954490585115205E-2</v>
      </c>
      <c r="DU144" s="28">
        <v>5.8061737181694397</v>
      </c>
      <c r="DV144" s="28">
        <v>23.858346172350199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1.55368588432896</v>
      </c>
      <c r="ED144" s="28">
        <v>0</v>
      </c>
      <c r="EE144" s="28">
        <v>0.36456488855751301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0.162066063286055</v>
      </c>
      <c r="ER144" s="28">
        <v>0</v>
      </c>
      <c r="ES144" s="28">
        <v>3.0569142909390501</v>
      </c>
      <c r="ET144" s="28">
        <v>0</v>
      </c>
      <c r="EU144" s="28">
        <v>0</v>
      </c>
      <c r="EV144" s="28">
        <v>0.95454223087761003</v>
      </c>
      <c r="EW144" s="28">
        <v>0</v>
      </c>
      <c r="EX144" s="28">
        <v>0</v>
      </c>
      <c r="EY144" s="28">
        <v>0</v>
      </c>
      <c r="EZ144" s="28">
        <v>0</v>
      </c>
      <c r="FA144" s="28">
        <v>0</v>
      </c>
      <c r="FB144" s="28">
        <v>0</v>
      </c>
      <c r="FC144" s="28">
        <v>0</v>
      </c>
      <c r="FD144" s="28">
        <v>0</v>
      </c>
      <c r="FE144" s="28">
        <v>0</v>
      </c>
      <c r="FF144" s="28">
        <v>0</v>
      </c>
      <c r="FG144" s="28">
        <v>0</v>
      </c>
      <c r="FH144" s="28">
        <v>0</v>
      </c>
      <c r="FI144" s="28">
        <v>0</v>
      </c>
      <c r="FJ144" s="28">
        <v>0</v>
      </c>
      <c r="FK144" s="28">
        <v>0</v>
      </c>
      <c r="FL144" s="28">
        <v>0</v>
      </c>
      <c r="FM144" s="28">
        <v>0</v>
      </c>
      <c r="FN144" s="28">
        <v>0</v>
      </c>
      <c r="FO144" s="28">
        <v>0</v>
      </c>
      <c r="FP144" s="28">
        <v>0</v>
      </c>
      <c r="FQ144" s="28">
        <v>0</v>
      </c>
      <c r="FR144" s="28">
        <v>0</v>
      </c>
      <c r="FS144" s="28">
        <v>0</v>
      </c>
      <c r="FT144" s="28">
        <v>1.29068699766991E-2</v>
      </c>
      <c r="FU144" s="28">
        <v>0</v>
      </c>
      <c r="FV144" s="28">
        <v>0</v>
      </c>
      <c r="FW144" s="28">
        <v>0</v>
      </c>
      <c r="FX144" s="28">
        <v>0</v>
      </c>
      <c r="FY144" s="28">
        <v>0</v>
      </c>
      <c r="FZ144" s="28">
        <v>0</v>
      </c>
      <c r="GA144" s="28">
        <v>0</v>
      </c>
      <c r="GB144" s="28">
        <v>0</v>
      </c>
      <c r="GC144" s="28">
        <v>0</v>
      </c>
      <c r="GD144" s="28">
        <v>0</v>
      </c>
      <c r="GE144" s="28">
        <v>0</v>
      </c>
      <c r="GF144" s="28">
        <v>0</v>
      </c>
      <c r="GG144" s="28">
        <v>0</v>
      </c>
      <c r="GH144" s="28">
        <v>0</v>
      </c>
      <c r="GI144" s="28">
        <v>1.6248573829852599</v>
      </c>
      <c r="GJ144" s="28">
        <v>6.5826565983539904</v>
      </c>
      <c r="GK144" s="28">
        <v>3.02103796988479</v>
      </c>
      <c r="GL144" s="28">
        <v>0</v>
      </c>
      <c r="GM144" s="28">
        <v>0</v>
      </c>
      <c r="GN144" s="28">
        <v>0</v>
      </c>
      <c r="GO144" s="28">
        <v>0</v>
      </c>
      <c r="GP144" s="28">
        <v>0</v>
      </c>
      <c r="GQ144" s="21">
        <v>362.9457488772922</v>
      </c>
      <c r="GR144" s="21">
        <v>6.2538253118530003</v>
      </c>
      <c r="GS144" s="20">
        <v>6.2538253118530003</v>
      </c>
      <c r="GT144" s="20">
        <v>0</v>
      </c>
      <c r="GU144" s="20">
        <v>0</v>
      </c>
      <c r="GV144" s="20">
        <v>0</v>
      </c>
      <c r="GW144" s="20">
        <v>0</v>
      </c>
      <c r="GX144" s="21">
        <v>79.605437796236501</v>
      </c>
      <c r="GY144" s="20">
        <v>0</v>
      </c>
      <c r="GZ144" s="20">
        <v>79.605437796236501</v>
      </c>
      <c r="HA144" s="20"/>
      <c r="HB144" s="21">
        <v>22.814845548000001</v>
      </c>
      <c r="HC144" s="21">
        <v>471.61985753338172</v>
      </c>
    </row>
    <row r="145" spans="2:211" s="7" customFormat="1" ht="17.25" customHeight="1">
      <c r="B145" s="26" t="s">
        <v>582</v>
      </c>
      <c r="C145" s="10" t="s">
        <v>583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11.0009184685888</v>
      </c>
      <c r="AH145" s="28">
        <v>0</v>
      </c>
      <c r="AI145" s="28">
        <v>0</v>
      </c>
      <c r="AJ145" s="28">
        <v>0</v>
      </c>
      <c r="AK145" s="28">
        <v>0</v>
      </c>
      <c r="AL145" s="28">
        <v>1.9025421692808799</v>
      </c>
      <c r="AM145" s="28">
        <v>0</v>
      </c>
      <c r="AN145" s="28">
        <v>0</v>
      </c>
      <c r="AO145" s="28">
        <v>0</v>
      </c>
      <c r="AP145" s="28">
        <v>0.97638998460814197</v>
      </c>
      <c r="AQ145" s="28">
        <v>0.23262864216380999</v>
      </c>
      <c r="AR145" s="28">
        <v>0</v>
      </c>
      <c r="AS145" s="28">
        <v>0</v>
      </c>
      <c r="AT145" s="28">
        <v>20</v>
      </c>
      <c r="AU145" s="28">
        <v>0</v>
      </c>
      <c r="AV145" s="28">
        <v>0.31845584768964103</v>
      </c>
      <c r="AW145" s="28">
        <v>65.875390488485905</v>
      </c>
      <c r="AX145" s="28">
        <v>151.48933333436099</v>
      </c>
      <c r="AY145" s="28">
        <v>0.11250975601855</v>
      </c>
      <c r="AZ145" s="28">
        <v>15.417233483408999</v>
      </c>
      <c r="BA145" s="28">
        <v>25.446650108986201</v>
      </c>
      <c r="BB145" s="28">
        <v>4.6813975417857696</v>
      </c>
      <c r="BC145" s="28">
        <v>32.099391844276397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3.26786373382763</v>
      </c>
      <c r="BW145" s="28">
        <v>0</v>
      </c>
      <c r="BX145" s="28">
        <v>0</v>
      </c>
      <c r="BY145" s="28">
        <v>0</v>
      </c>
      <c r="BZ145" s="28">
        <v>0</v>
      </c>
      <c r="CA145" s="28">
        <v>6.7028859228088598</v>
      </c>
      <c r="CB145" s="28">
        <v>4.6156932483047601</v>
      </c>
      <c r="CC145" s="28">
        <v>0.253010960282609</v>
      </c>
      <c r="CD145" s="28">
        <v>3.3240914187343802</v>
      </c>
      <c r="CE145" s="28">
        <v>1.1302751139934499</v>
      </c>
      <c r="CF145" s="28">
        <v>0</v>
      </c>
      <c r="CG145" s="28">
        <v>50.779167000000001</v>
      </c>
      <c r="CH145" s="28">
        <v>0.197454558676396</v>
      </c>
      <c r="CI145" s="28">
        <v>1.4893217086792001</v>
      </c>
      <c r="CJ145" s="28">
        <v>0</v>
      </c>
      <c r="CK145" s="28">
        <v>0</v>
      </c>
      <c r="CL145" s="28">
        <v>13.603004421179699</v>
      </c>
      <c r="CM145" s="28">
        <v>20.278275834063901</v>
      </c>
      <c r="CN145" s="28">
        <v>8.8357095206724402E-5</v>
      </c>
      <c r="CO145" s="28">
        <v>1.22339308261871</v>
      </c>
      <c r="CP145" s="28">
        <v>2.6672435497900899</v>
      </c>
      <c r="CQ145" s="28">
        <v>0</v>
      </c>
      <c r="CR145" s="28">
        <v>2.5211195028998099</v>
      </c>
      <c r="CS145" s="28">
        <v>6.8738947477426098E-4</v>
      </c>
      <c r="CT145" s="28">
        <v>0.847600138896906</v>
      </c>
      <c r="CU145" s="28">
        <v>0.83448018278234903</v>
      </c>
      <c r="CV145" s="28">
        <v>0</v>
      </c>
      <c r="CW145" s="28">
        <v>78.7646828750579</v>
      </c>
      <c r="CX145" s="28">
        <v>1.9441068069980001</v>
      </c>
      <c r="CY145" s="28">
        <v>5.2856175035694202</v>
      </c>
      <c r="CZ145" s="28">
        <v>0</v>
      </c>
      <c r="DA145" s="28">
        <v>0</v>
      </c>
      <c r="DB145" s="28">
        <v>0</v>
      </c>
      <c r="DC145" s="28">
        <v>0</v>
      </c>
      <c r="DD145" s="28">
        <v>0</v>
      </c>
      <c r="DE145" s="28">
        <v>0</v>
      </c>
      <c r="DF145" s="28">
        <v>0.15863841617112501</v>
      </c>
      <c r="DG145" s="28">
        <v>7.9183019200051801</v>
      </c>
      <c r="DH145" s="28">
        <v>0</v>
      </c>
      <c r="DI145" s="28">
        <v>0</v>
      </c>
      <c r="DJ145" s="28">
        <v>2</v>
      </c>
      <c r="DK145" s="28">
        <v>4.8846237295286397</v>
      </c>
      <c r="DL145" s="28">
        <v>27.196501944773001</v>
      </c>
      <c r="DM145" s="28">
        <v>0.99684548461473699</v>
      </c>
      <c r="DN145" s="28">
        <v>2.3917133264686199</v>
      </c>
      <c r="DO145" s="28">
        <v>9.5180616363531399E-3</v>
      </c>
      <c r="DP145" s="28">
        <v>0</v>
      </c>
      <c r="DQ145" s="28">
        <v>54.904135597535003</v>
      </c>
      <c r="DR145" s="28">
        <v>265.05908463046097</v>
      </c>
      <c r="DS145" s="28">
        <v>150</v>
      </c>
      <c r="DT145" s="28">
        <v>1.6892383140324001</v>
      </c>
      <c r="DU145" s="28">
        <v>19.2241537205519</v>
      </c>
      <c r="DV145" s="28">
        <v>7.9671965869213999</v>
      </c>
      <c r="DW145" s="28">
        <v>0</v>
      </c>
      <c r="DX145" s="28">
        <v>4.1163269005860696</v>
      </c>
      <c r="DY145" s="28">
        <v>5.3795695569199298</v>
      </c>
      <c r="DZ145" s="28">
        <v>106.177698877382</v>
      </c>
      <c r="EA145" s="28">
        <v>6.4402651819327899</v>
      </c>
      <c r="EB145" s="28">
        <v>0</v>
      </c>
      <c r="EC145" s="28">
        <v>3.2631345503840998E-3</v>
      </c>
      <c r="ED145" s="28">
        <v>19.816202784536401</v>
      </c>
      <c r="EE145" s="28">
        <v>0.70644225141584005</v>
      </c>
      <c r="EF145" s="28">
        <v>31.870965974086602</v>
      </c>
      <c r="EG145" s="28">
        <v>10.4133638345672</v>
      </c>
      <c r="EH145" s="28">
        <v>3.5856407843811802</v>
      </c>
      <c r="EI145" s="28">
        <v>1.68063276879027</v>
      </c>
      <c r="EJ145" s="28">
        <v>7.6070101131477204</v>
      </c>
      <c r="EK145" s="28">
        <v>0</v>
      </c>
      <c r="EL145" s="28">
        <v>0</v>
      </c>
      <c r="EM145" s="28">
        <v>0</v>
      </c>
      <c r="EN145" s="28">
        <v>0</v>
      </c>
      <c r="EO145" s="28">
        <v>17.3264975983036</v>
      </c>
      <c r="EP145" s="28">
        <v>0</v>
      </c>
      <c r="EQ145" s="28">
        <v>0</v>
      </c>
      <c r="ER145" s="28">
        <v>0.25602701892066199</v>
      </c>
      <c r="ES145" s="28">
        <v>0</v>
      </c>
      <c r="ET145" s="28">
        <v>5.2523981572835501</v>
      </c>
      <c r="EU145" s="28">
        <v>0</v>
      </c>
      <c r="EV145" s="28">
        <v>0.435245699993137</v>
      </c>
      <c r="EW145" s="28">
        <v>0</v>
      </c>
      <c r="EX145" s="28">
        <v>7.3614564423251996E-2</v>
      </c>
      <c r="EY145" s="28">
        <v>0.18900302015481399</v>
      </c>
      <c r="EZ145" s="28">
        <v>0.14301410350916699</v>
      </c>
      <c r="FA145" s="28">
        <v>40.4582650444191</v>
      </c>
      <c r="FB145" s="28">
        <v>7.7124234479929701</v>
      </c>
      <c r="FC145" s="28">
        <v>0.48883030108882403</v>
      </c>
      <c r="FD145" s="28">
        <v>9.0637031353749606E-3</v>
      </c>
      <c r="FE145" s="28">
        <v>0</v>
      </c>
      <c r="FF145" s="28">
        <v>0</v>
      </c>
      <c r="FG145" s="28">
        <v>1.4278477131806799</v>
      </c>
      <c r="FH145" s="28">
        <v>0</v>
      </c>
      <c r="FI145" s="28">
        <v>0</v>
      </c>
      <c r="FJ145" s="28">
        <v>0</v>
      </c>
      <c r="FK145" s="28">
        <v>0</v>
      </c>
      <c r="FL145" s="28">
        <v>0</v>
      </c>
      <c r="FM145" s="28">
        <v>60.279609756789</v>
      </c>
      <c r="FN145" s="28">
        <v>0</v>
      </c>
      <c r="FO145" s="28">
        <v>0</v>
      </c>
      <c r="FP145" s="28">
        <v>0</v>
      </c>
      <c r="FQ145" s="28">
        <v>2.2581729491787899</v>
      </c>
      <c r="FR145" s="28">
        <v>7.3104661684835603E-3</v>
      </c>
      <c r="FS145" s="28">
        <v>0</v>
      </c>
      <c r="FT145" s="28">
        <v>0</v>
      </c>
      <c r="FU145" s="28">
        <v>3.5073890778612202E-3</v>
      </c>
      <c r="FV145" s="28">
        <v>0</v>
      </c>
      <c r="FW145" s="28">
        <v>0</v>
      </c>
      <c r="FX145" s="28">
        <v>0</v>
      </c>
      <c r="FY145" s="28">
        <v>2.29457367706999</v>
      </c>
      <c r="FZ145" s="28">
        <v>0</v>
      </c>
      <c r="GA145" s="28">
        <v>0</v>
      </c>
      <c r="GB145" s="28">
        <v>0</v>
      </c>
      <c r="GC145" s="28">
        <v>0</v>
      </c>
      <c r="GD145" s="28">
        <v>0</v>
      </c>
      <c r="GE145" s="28">
        <v>0</v>
      </c>
      <c r="GF145" s="28">
        <v>0</v>
      </c>
      <c r="GG145" s="28">
        <v>5.0765443840416999</v>
      </c>
      <c r="GH145" s="28">
        <v>1.94506212645178</v>
      </c>
      <c r="GI145" s="28">
        <v>0</v>
      </c>
      <c r="GJ145" s="28">
        <v>22.965784992774701</v>
      </c>
      <c r="GK145" s="28">
        <v>36.561927591969301</v>
      </c>
      <c r="GL145" s="28">
        <v>0</v>
      </c>
      <c r="GM145" s="28">
        <v>0</v>
      </c>
      <c r="GN145" s="28">
        <v>0</v>
      </c>
      <c r="GO145" s="28">
        <v>0</v>
      </c>
      <c r="GP145" s="28">
        <v>0</v>
      </c>
      <c r="GQ145" s="21">
        <v>1476.64496258031</v>
      </c>
      <c r="GR145" s="21">
        <v>21.668080479666099</v>
      </c>
      <c r="GS145" s="20">
        <v>21.668080479666099</v>
      </c>
      <c r="GT145" s="20">
        <v>0</v>
      </c>
      <c r="GU145" s="20">
        <v>0</v>
      </c>
      <c r="GV145" s="20">
        <v>0</v>
      </c>
      <c r="GW145" s="20">
        <v>0</v>
      </c>
      <c r="GX145" s="21">
        <v>-22.706475080789289</v>
      </c>
      <c r="GY145" s="20">
        <v>0</v>
      </c>
      <c r="GZ145" s="20">
        <v>-22.706475080789289</v>
      </c>
      <c r="HA145" s="20"/>
      <c r="HB145" s="21">
        <v>215.99174240816399</v>
      </c>
      <c r="HC145" s="21">
        <v>1691.5983103873509</v>
      </c>
    </row>
    <row r="146" spans="2:211" s="7" customFormat="1" ht="17.25" customHeight="1">
      <c r="B146" s="26" t="s">
        <v>584</v>
      </c>
      <c r="C146" s="10" t="s">
        <v>585</v>
      </c>
      <c r="D146" s="28">
        <v>0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1.4695919938161901E-2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1.55036886355458</v>
      </c>
      <c r="BK146" s="28">
        <v>0</v>
      </c>
      <c r="BL146" s="28">
        <v>0</v>
      </c>
      <c r="BM146" s="28">
        <v>0</v>
      </c>
      <c r="BN146" s="28">
        <v>21.715109846399901</v>
      </c>
      <c r="BO146" s="28">
        <v>34</v>
      </c>
      <c r="BP146" s="28">
        <v>0.22691133842706401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1.2329079999999999</v>
      </c>
      <c r="CH146" s="28">
        <v>0</v>
      </c>
      <c r="CI146" s="28">
        <v>0.256025910377502</v>
      </c>
      <c r="CJ146" s="28">
        <v>0</v>
      </c>
      <c r="CK146" s="28">
        <v>0</v>
      </c>
      <c r="CL146" s="28">
        <v>0</v>
      </c>
      <c r="CM146" s="28">
        <v>0.71812895923623599</v>
      </c>
      <c r="CN146" s="28">
        <v>1.2069908380508401</v>
      </c>
      <c r="CO146" s="28">
        <v>0</v>
      </c>
      <c r="CP146" s="28">
        <v>0</v>
      </c>
      <c r="CQ146" s="28">
        <v>0</v>
      </c>
      <c r="CR146" s="28">
        <v>3.3936251448895201</v>
      </c>
      <c r="CS146" s="28">
        <v>5.7128882746484803E-2</v>
      </c>
      <c r="CT146" s="28">
        <v>13.443549133670199</v>
      </c>
      <c r="CU146" s="28">
        <v>7.3600664242092799</v>
      </c>
      <c r="CV146" s="28">
        <v>2.8689442798584199</v>
      </c>
      <c r="CW146" s="28">
        <v>9.6351794313959207</v>
      </c>
      <c r="CX146" s="28">
        <v>0</v>
      </c>
      <c r="CY146" s="28">
        <v>0.15645156314061701</v>
      </c>
      <c r="CZ146" s="28">
        <v>0</v>
      </c>
      <c r="DA146" s="28">
        <v>0</v>
      </c>
      <c r="DB146" s="28">
        <v>0</v>
      </c>
      <c r="DC146" s="28">
        <v>0</v>
      </c>
      <c r="DD146" s="28">
        <v>0</v>
      </c>
      <c r="DE146" s="28">
        <v>0</v>
      </c>
      <c r="DF146" s="28">
        <v>0</v>
      </c>
      <c r="DG146" s="28">
        <v>1.5606875451579501</v>
      </c>
      <c r="DH146" s="28">
        <v>0</v>
      </c>
      <c r="DI146" s="28">
        <v>0</v>
      </c>
      <c r="DJ146" s="28">
        <v>0</v>
      </c>
      <c r="DK146" s="28">
        <v>0</v>
      </c>
      <c r="DL146" s="28">
        <v>0</v>
      </c>
      <c r="DM146" s="28">
        <v>0</v>
      </c>
      <c r="DN146" s="28">
        <v>0</v>
      </c>
      <c r="DO146" s="28">
        <v>0</v>
      </c>
      <c r="DP146" s="28">
        <v>0</v>
      </c>
      <c r="DQ146" s="28">
        <v>8.0621042604164703</v>
      </c>
      <c r="DR146" s="28">
        <v>0.35461597442631798</v>
      </c>
      <c r="DS146" s="28">
        <v>3.1219681574029101</v>
      </c>
      <c r="DT146" s="28">
        <v>0</v>
      </c>
      <c r="DU146" s="28">
        <v>58.233319606444397</v>
      </c>
      <c r="DV146" s="28">
        <v>0</v>
      </c>
      <c r="DW146" s="28">
        <v>0</v>
      </c>
      <c r="DX146" s="28">
        <v>0</v>
      </c>
      <c r="DY146" s="28">
        <v>2.3794587341455</v>
      </c>
      <c r="DZ146" s="28">
        <v>0</v>
      </c>
      <c r="EA146" s="28">
        <v>0</v>
      </c>
      <c r="EB146" s="28">
        <v>0</v>
      </c>
      <c r="EC146" s="28">
        <v>0</v>
      </c>
      <c r="ED146" s="28">
        <v>0</v>
      </c>
      <c r="EE146" s="28">
        <v>0</v>
      </c>
      <c r="EF146" s="28">
        <v>0</v>
      </c>
      <c r="EG146" s="28">
        <v>0</v>
      </c>
      <c r="EH146" s="28">
        <v>0</v>
      </c>
      <c r="EI146" s="28">
        <v>0</v>
      </c>
      <c r="EJ146" s="28">
        <v>0</v>
      </c>
      <c r="EK146" s="28">
        <v>0</v>
      </c>
      <c r="EL146" s="28">
        <v>0</v>
      </c>
      <c r="EM146" s="28">
        <v>0</v>
      </c>
      <c r="EN146" s="28">
        <v>0</v>
      </c>
      <c r="EO146" s="28">
        <v>0</v>
      </c>
      <c r="EP146" s="28">
        <v>0</v>
      </c>
      <c r="EQ146" s="28">
        <v>0</v>
      </c>
      <c r="ER146" s="28">
        <v>0</v>
      </c>
      <c r="ES146" s="28">
        <v>0</v>
      </c>
      <c r="ET146" s="28">
        <v>0</v>
      </c>
      <c r="EU146" s="28">
        <v>0</v>
      </c>
      <c r="EV146" s="28">
        <v>0</v>
      </c>
      <c r="EW146" s="28">
        <v>0</v>
      </c>
      <c r="EX146" s="28">
        <v>0</v>
      </c>
      <c r="EY146" s="28">
        <v>0</v>
      </c>
      <c r="EZ146" s="28">
        <v>0</v>
      </c>
      <c r="FA146" s="28">
        <v>0</v>
      </c>
      <c r="FB146" s="28">
        <v>0</v>
      </c>
      <c r="FC146" s="28">
        <v>0</v>
      </c>
      <c r="FD146" s="28">
        <v>0</v>
      </c>
      <c r="FE146" s="28">
        <v>0</v>
      </c>
      <c r="FF146" s="28">
        <v>0</v>
      </c>
      <c r="FG146" s="28">
        <v>0</v>
      </c>
      <c r="FH146" s="28">
        <v>0</v>
      </c>
      <c r="FI146" s="28">
        <v>0</v>
      </c>
      <c r="FJ146" s="28">
        <v>0</v>
      </c>
      <c r="FK146" s="28">
        <v>0</v>
      </c>
      <c r="FL146" s="28">
        <v>0</v>
      </c>
      <c r="FM146" s="28">
        <v>0</v>
      </c>
      <c r="FN146" s="28">
        <v>0</v>
      </c>
      <c r="FO146" s="28">
        <v>0</v>
      </c>
      <c r="FP146" s="28">
        <v>0</v>
      </c>
      <c r="FQ146" s="28">
        <v>0</v>
      </c>
      <c r="FR146" s="28">
        <v>0</v>
      </c>
      <c r="FS146" s="28">
        <v>0</v>
      </c>
      <c r="FT146" s="28">
        <v>0</v>
      </c>
      <c r="FU146" s="28">
        <v>0</v>
      </c>
      <c r="FV146" s="28">
        <v>0</v>
      </c>
      <c r="FW146" s="28">
        <v>0</v>
      </c>
      <c r="FX146" s="28">
        <v>0</v>
      </c>
      <c r="FY146" s="28">
        <v>0</v>
      </c>
      <c r="FZ146" s="28">
        <v>0</v>
      </c>
      <c r="GA146" s="28">
        <v>0</v>
      </c>
      <c r="GB146" s="28">
        <v>0</v>
      </c>
      <c r="GC146" s="28">
        <v>0</v>
      </c>
      <c r="GD146" s="28">
        <v>0</v>
      </c>
      <c r="GE146" s="28">
        <v>0</v>
      </c>
      <c r="GF146" s="28">
        <v>0</v>
      </c>
      <c r="GG146" s="28">
        <v>0</v>
      </c>
      <c r="GH146" s="28">
        <v>9.0976346646673197E-3</v>
      </c>
      <c r="GI146" s="28">
        <v>0</v>
      </c>
      <c r="GJ146" s="28">
        <v>0</v>
      </c>
      <c r="GK146" s="28">
        <v>0</v>
      </c>
      <c r="GL146" s="28">
        <v>0</v>
      </c>
      <c r="GM146" s="28">
        <v>0</v>
      </c>
      <c r="GN146" s="28">
        <v>0</v>
      </c>
      <c r="GO146" s="28">
        <v>4.6371218706744903</v>
      </c>
      <c r="GP146" s="28">
        <v>0</v>
      </c>
      <c r="GQ146" s="21">
        <v>176.19445831922741</v>
      </c>
      <c r="GR146" s="21">
        <v>50.460601367625102</v>
      </c>
      <c r="GS146" s="20">
        <v>50.460601367625102</v>
      </c>
      <c r="GT146" s="20">
        <v>0</v>
      </c>
      <c r="GU146" s="20">
        <v>0</v>
      </c>
      <c r="GV146" s="20">
        <v>0</v>
      </c>
      <c r="GW146" s="20">
        <v>0</v>
      </c>
      <c r="GX146" s="21">
        <v>3.0523695767887324</v>
      </c>
      <c r="GY146" s="20">
        <v>0</v>
      </c>
      <c r="GZ146" s="20">
        <v>3.0523695767887324</v>
      </c>
      <c r="HA146" s="20"/>
      <c r="HB146" s="21">
        <v>6.9906796800000004E-2</v>
      </c>
      <c r="HC146" s="21">
        <v>229.77733606044123</v>
      </c>
    </row>
    <row r="147" spans="2:211" s="7" customFormat="1" ht="17.25" customHeight="1">
      <c r="B147" s="26" t="s">
        <v>586</v>
      </c>
      <c r="C147" s="9" t="s">
        <v>587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1.5807415684443701E-4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4.0519678269864503</v>
      </c>
      <c r="AW147" s="28">
        <v>0</v>
      </c>
      <c r="AX147" s="28">
        <v>0.56963638572586395</v>
      </c>
      <c r="AY147" s="28">
        <v>3.64459621661868E-3</v>
      </c>
      <c r="AZ147" s="28">
        <v>0.38458021193881597</v>
      </c>
      <c r="BA147" s="28">
        <v>0</v>
      </c>
      <c r="BB147" s="28">
        <v>1.8959483953342E-3</v>
      </c>
      <c r="BC147" s="28">
        <v>1.9098896558004701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7.9519631207039497E-3</v>
      </c>
      <c r="CY147" s="28">
        <v>0</v>
      </c>
      <c r="CZ147" s="28">
        <v>0</v>
      </c>
      <c r="DA147" s="28">
        <v>0</v>
      </c>
      <c r="DB147" s="28">
        <v>0</v>
      </c>
      <c r="DC147" s="28">
        <v>0</v>
      </c>
      <c r="DD147" s="28">
        <v>0</v>
      </c>
      <c r="DE147" s="28">
        <v>0</v>
      </c>
      <c r="DF147" s="28">
        <v>0</v>
      </c>
      <c r="DG147" s="28">
        <v>0</v>
      </c>
      <c r="DH147" s="28">
        <v>4.6499129521423198E-3</v>
      </c>
      <c r="DI147" s="28">
        <v>0.50162770174100801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0</v>
      </c>
      <c r="DP147" s="28">
        <v>0</v>
      </c>
      <c r="DQ147" s="28">
        <v>58.671051925818297</v>
      </c>
      <c r="DR147" s="28">
        <v>5.2977238402375999</v>
      </c>
      <c r="DS147" s="28">
        <v>0.31518269165453799</v>
      </c>
      <c r="DT147" s="28">
        <v>0</v>
      </c>
      <c r="DU147" s="28">
        <v>1.5544069921963199</v>
      </c>
      <c r="DV147" s="28">
        <v>0</v>
      </c>
      <c r="DW147" s="28">
        <v>0</v>
      </c>
      <c r="DX147" s="28">
        <v>0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0</v>
      </c>
      <c r="EL147" s="28">
        <v>2.0475706593630298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  <c r="EU147" s="28">
        <v>0</v>
      </c>
      <c r="EV147" s="28">
        <v>0</v>
      </c>
      <c r="EW147" s="28">
        <v>0</v>
      </c>
      <c r="EX147" s="28">
        <v>0</v>
      </c>
      <c r="EY147" s="28">
        <v>0</v>
      </c>
      <c r="EZ147" s="28">
        <v>0</v>
      </c>
      <c r="FA147" s="28">
        <v>0</v>
      </c>
      <c r="FB147" s="28">
        <v>0</v>
      </c>
      <c r="FC147" s="28">
        <v>1.1269371884499399E-2</v>
      </c>
      <c r="FD147" s="28">
        <v>3.9050288584916003E-6</v>
      </c>
      <c r="FE147" s="28">
        <v>0</v>
      </c>
      <c r="FF147" s="28">
        <v>0</v>
      </c>
      <c r="FG147" s="28">
        <v>4.7287032335697502E-3</v>
      </c>
      <c r="FH147" s="28">
        <v>0</v>
      </c>
      <c r="FI147" s="28">
        <v>0</v>
      </c>
      <c r="FJ147" s="28">
        <v>0</v>
      </c>
      <c r="FK147" s="28">
        <v>0</v>
      </c>
      <c r="FL147" s="28">
        <v>0</v>
      </c>
      <c r="FM147" s="28">
        <v>0</v>
      </c>
      <c r="FN147" s="28">
        <v>0</v>
      </c>
      <c r="FO147" s="28">
        <v>0</v>
      </c>
      <c r="FP147" s="28">
        <v>0</v>
      </c>
      <c r="FQ147" s="28">
        <v>0</v>
      </c>
      <c r="FR147" s="28">
        <v>0</v>
      </c>
      <c r="FS147" s="28">
        <v>0.34554847558192497</v>
      </c>
      <c r="FT147" s="28">
        <v>0</v>
      </c>
      <c r="FU147" s="28">
        <v>0</v>
      </c>
      <c r="FV147" s="28">
        <v>0</v>
      </c>
      <c r="FW147" s="28">
        <v>0</v>
      </c>
      <c r="FX147" s="28">
        <v>0</v>
      </c>
      <c r="FY147" s="28">
        <v>0</v>
      </c>
      <c r="FZ147" s="28">
        <v>0</v>
      </c>
      <c r="GA147" s="28">
        <v>1.2943933756667599E-4</v>
      </c>
      <c r="GB147" s="28">
        <v>0</v>
      </c>
      <c r="GC147" s="28">
        <v>0</v>
      </c>
      <c r="GD147" s="28">
        <v>0</v>
      </c>
      <c r="GE147" s="28">
        <v>0.67355578184185505</v>
      </c>
      <c r="GF147" s="28">
        <v>4.03943162230407</v>
      </c>
      <c r="GG147" s="28">
        <v>0</v>
      </c>
      <c r="GH147" s="28">
        <v>1.9464183972264199E-2</v>
      </c>
      <c r="GI147" s="28">
        <v>0</v>
      </c>
      <c r="GJ147" s="28">
        <v>0.83726114246351102</v>
      </c>
      <c r="GK147" s="28">
        <v>5.5524977241738398</v>
      </c>
      <c r="GL147" s="28">
        <v>0</v>
      </c>
      <c r="GM147" s="28">
        <v>0</v>
      </c>
      <c r="GN147" s="28">
        <v>0</v>
      </c>
      <c r="GO147" s="28">
        <v>0</v>
      </c>
      <c r="GP147" s="28">
        <v>0</v>
      </c>
      <c r="GQ147" s="21">
        <v>86.805828736126017</v>
      </c>
      <c r="GR147" s="21">
        <v>0</v>
      </c>
      <c r="GS147" s="20">
        <v>0</v>
      </c>
      <c r="GT147" s="20">
        <v>0</v>
      </c>
      <c r="GU147" s="20">
        <v>0</v>
      </c>
      <c r="GV147" s="20">
        <v>0</v>
      </c>
      <c r="GW147" s="20">
        <v>0</v>
      </c>
      <c r="GX147" s="21">
        <v>-9.3621990806879722</v>
      </c>
      <c r="GY147" s="20">
        <v>0</v>
      </c>
      <c r="GZ147" s="20">
        <v>-9.3621990806879722</v>
      </c>
      <c r="HA147" s="20"/>
      <c r="HB147" s="21">
        <v>5.2101167999999998</v>
      </c>
      <c r="HC147" s="21">
        <v>82.653746455438039</v>
      </c>
    </row>
    <row r="148" spans="2:211" s="7" customFormat="1" ht="17.25" customHeight="1">
      <c r="B148" s="26" t="s">
        <v>129</v>
      </c>
      <c r="C148" s="10" t="s">
        <v>588</v>
      </c>
      <c r="D148" s="28">
        <v>154.732751499339</v>
      </c>
      <c r="E148" s="28">
        <v>236.34942693872799</v>
      </c>
      <c r="F148" s="28">
        <v>581.16087520247197</v>
      </c>
      <c r="G148" s="28">
        <v>23.7016167076663</v>
      </c>
      <c r="H148" s="28">
        <v>101.04686856588</v>
      </c>
      <c r="I148" s="28">
        <v>133.97635695853</v>
      </c>
      <c r="J148" s="28">
        <v>28.812442781113599</v>
      </c>
      <c r="K148" s="28">
        <v>5.9260725331117099</v>
      </c>
      <c r="L148" s="28">
        <v>26.098546991288199</v>
      </c>
      <c r="M148" s="28">
        <v>180.02785484033299</v>
      </c>
      <c r="N148" s="28">
        <v>46.623727953756799</v>
      </c>
      <c r="O148" s="28">
        <v>67.107369129296401</v>
      </c>
      <c r="P148" s="28">
        <v>10.8764164216001</v>
      </c>
      <c r="Q148" s="28">
        <v>182.319085415426</v>
      </c>
      <c r="R148" s="28">
        <v>86.608181539235801</v>
      </c>
      <c r="S148" s="28">
        <v>1082.18693156053</v>
      </c>
      <c r="T148" s="28">
        <v>70.347275049488402</v>
      </c>
      <c r="U148" s="28">
        <v>80.165897000000001</v>
      </c>
      <c r="V148" s="28">
        <v>2.0557858873088599</v>
      </c>
      <c r="W148" s="28">
        <v>18.448124683850899</v>
      </c>
      <c r="X148" s="28">
        <v>6.5141223576097804</v>
      </c>
      <c r="Y148" s="28">
        <v>6.01087623149271</v>
      </c>
      <c r="Z148" s="28">
        <v>72.289310746655502</v>
      </c>
      <c r="AA148" s="28">
        <v>7.9451569918019898</v>
      </c>
      <c r="AB148" s="28">
        <v>9.1275063317246499</v>
      </c>
      <c r="AC148" s="28">
        <v>198.61265036225501</v>
      </c>
      <c r="AD148" s="28">
        <v>5.7178283354737296</v>
      </c>
      <c r="AE148" s="28">
        <v>75.2739367129752</v>
      </c>
      <c r="AF148" s="28">
        <v>1.7026651412368801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1.7745172815235699</v>
      </c>
      <c r="AQ148" s="28">
        <v>6.8479369009100496E-2</v>
      </c>
      <c r="AR148" s="28">
        <v>0</v>
      </c>
      <c r="AS148" s="28">
        <v>0</v>
      </c>
      <c r="AT148" s="28">
        <v>1.71276295004016E-2</v>
      </c>
      <c r="AU148" s="28">
        <v>0</v>
      </c>
      <c r="AV148" s="28">
        <v>0</v>
      </c>
      <c r="AW148" s="28">
        <v>0</v>
      </c>
      <c r="AX148" s="28">
        <v>47.551323096218397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0.81199471904464005</v>
      </c>
      <c r="CB148" s="28">
        <v>1.14863557437393</v>
      </c>
      <c r="CC148" s="28">
        <v>6.2962890741028205E-2</v>
      </c>
      <c r="CD148" s="28">
        <v>0.82721477590213499</v>
      </c>
      <c r="CE148" s="28">
        <v>0.28127393544604601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7.5199260564801804</v>
      </c>
      <c r="CM148" s="28">
        <v>0</v>
      </c>
      <c r="CN148" s="28">
        <v>0</v>
      </c>
      <c r="CO148" s="28">
        <v>0</v>
      </c>
      <c r="CP148" s="28">
        <v>0</v>
      </c>
      <c r="CQ148" s="28">
        <v>0.53693234920501698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22.4981905075763</v>
      </c>
      <c r="DB148" s="28">
        <v>0</v>
      </c>
      <c r="DC148" s="28">
        <v>0.14918663517900899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0.72799999999999998</v>
      </c>
      <c r="DO148" s="28">
        <v>0</v>
      </c>
      <c r="DP148" s="28">
        <v>0</v>
      </c>
      <c r="DQ148" s="28">
        <v>1.10184704556058</v>
      </c>
      <c r="DR148" s="28">
        <v>0</v>
      </c>
      <c r="DS148" s="28">
        <v>0</v>
      </c>
      <c r="DT148" s="28">
        <v>0</v>
      </c>
      <c r="DU148" s="28">
        <v>0</v>
      </c>
      <c r="DV148" s="28">
        <v>62.760564966466099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  <c r="EU148" s="28">
        <v>0</v>
      </c>
      <c r="EV148" s="28">
        <v>0</v>
      </c>
      <c r="EW148" s="28">
        <v>0</v>
      </c>
      <c r="EX148" s="28">
        <v>0</v>
      </c>
      <c r="EY148" s="28">
        <v>0</v>
      </c>
      <c r="EZ148" s="28">
        <v>0</v>
      </c>
      <c r="FA148" s="28">
        <v>0</v>
      </c>
      <c r="FB148" s="28">
        <v>0</v>
      </c>
      <c r="FC148" s="28">
        <v>0</v>
      </c>
      <c r="FD148" s="28">
        <v>0</v>
      </c>
      <c r="FE148" s="28">
        <v>0</v>
      </c>
      <c r="FF148" s="28">
        <v>0</v>
      </c>
      <c r="FG148" s="28">
        <v>0.57971344877568098</v>
      </c>
      <c r="FH148" s="28">
        <v>0</v>
      </c>
      <c r="FI148" s="28">
        <v>0</v>
      </c>
      <c r="FJ148" s="28">
        <v>0</v>
      </c>
      <c r="FK148" s="28">
        <v>0</v>
      </c>
      <c r="FL148" s="28">
        <v>0</v>
      </c>
      <c r="FM148" s="28">
        <v>0</v>
      </c>
      <c r="FN148" s="28">
        <v>0</v>
      </c>
      <c r="FO148" s="28">
        <v>0</v>
      </c>
      <c r="FP148" s="28">
        <v>0</v>
      </c>
      <c r="FQ148" s="28">
        <v>0</v>
      </c>
      <c r="FR148" s="28">
        <v>0</v>
      </c>
      <c r="FS148" s="28">
        <v>0</v>
      </c>
      <c r="FT148" s="28">
        <v>0</v>
      </c>
      <c r="FU148" s="28">
        <v>0</v>
      </c>
      <c r="FV148" s="28">
        <v>0</v>
      </c>
      <c r="FW148" s="28">
        <v>0</v>
      </c>
      <c r="FX148" s="28">
        <v>0</v>
      </c>
      <c r="FY148" s="28">
        <v>0</v>
      </c>
      <c r="FZ148" s="28">
        <v>0</v>
      </c>
      <c r="GA148" s="28">
        <v>0</v>
      </c>
      <c r="GB148" s="28">
        <v>0</v>
      </c>
      <c r="GC148" s="28">
        <v>0</v>
      </c>
      <c r="GD148" s="28">
        <v>0</v>
      </c>
      <c r="GE148" s="28">
        <v>0.39066235346827599</v>
      </c>
      <c r="GF148" s="28">
        <v>25.4484192205156</v>
      </c>
      <c r="GG148" s="28">
        <v>3.9020616861758</v>
      </c>
      <c r="GH148" s="28">
        <v>6.0564883267746996</v>
      </c>
      <c r="GI148" s="28">
        <v>0</v>
      </c>
      <c r="GJ148" s="28">
        <v>0</v>
      </c>
      <c r="GK148" s="28">
        <v>22.8829916931249</v>
      </c>
      <c r="GL148" s="28">
        <v>0</v>
      </c>
      <c r="GM148" s="28">
        <v>0</v>
      </c>
      <c r="GN148" s="28">
        <v>0</v>
      </c>
      <c r="GO148" s="28">
        <v>0</v>
      </c>
      <c r="GP148" s="28">
        <v>0</v>
      </c>
      <c r="GQ148" s="21">
        <v>3708.864174431244</v>
      </c>
      <c r="GR148" s="21">
        <v>38.174085877662598</v>
      </c>
      <c r="GS148" s="20">
        <v>38.174085877662598</v>
      </c>
      <c r="GT148" s="20">
        <v>0</v>
      </c>
      <c r="GU148" s="20">
        <v>0</v>
      </c>
      <c r="GV148" s="20">
        <v>0</v>
      </c>
      <c r="GW148" s="20">
        <v>0</v>
      </c>
      <c r="GX148" s="21">
        <v>95.740081063885611</v>
      </c>
      <c r="GY148" s="20">
        <v>0</v>
      </c>
      <c r="GZ148" s="20">
        <v>95.740081063885611</v>
      </c>
      <c r="HA148" s="20"/>
      <c r="HB148" s="21">
        <v>9.2200241256000002</v>
      </c>
      <c r="HC148" s="21">
        <v>3851.9983654983921</v>
      </c>
    </row>
    <row r="149" spans="2:211" s="7" customFormat="1" ht="17.25" customHeight="1">
      <c r="B149" s="26" t="s">
        <v>130</v>
      </c>
      <c r="C149" s="10" t="s">
        <v>589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0.13361511519329899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15.419005515370801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3.4877185564143601E-6</v>
      </c>
      <c r="CC149" s="28">
        <v>1.91180603580615E-7</v>
      </c>
      <c r="CD149" s="28">
        <v>2.5117560246439E-6</v>
      </c>
      <c r="CE149" s="28">
        <v>8.5406054450783704E-7</v>
      </c>
      <c r="CF149" s="28">
        <v>0</v>
      </c>
      <c r="CG149" s="28">
        <v>56.969592059424002</v>
      </c>
      <c r="CH149" s="28">
        <v>9.1990493569830606E-2</v>
      </c>
      <c r="CI149" s="28">
        <v>0</v>
      </c>
      <c r="CJ149" s="28">
        <v>0.25006330100997498</v>
      </c>
      <c r="CK149" s="28">
        <v>0.216678321361542</v>
      </c>
      <c r="CL149" s="28">
        <v>1.66428361394095</v>
      </c>
      <c r="CM149" s="28">
        <v>0</v>
      </c>
      <c r="CN149" s="28">
        <v>0.30606099963188199</v>
      </c>
      <c r="CO149" s="28">
        <v>0</v>
      </c>
      <c r="CP149" s="28">
        <v>5.5095054625260197E-3</v>
      </c>
      <c r="CQ149" s="28">
        <v>4.6105437278747603</v>
      </c>
      <c r="CR149" s="28">
        <v>0</v>
      </c>
      <c r="CS149" s="28">
        <v>2.3309922696670098</v>
      </c>
      <c r="CT149" s="28">
        <v>0</v>
      </c>
      <c r="CU149" s="28">
        <v>0</v>
      </c>
      <c r="CV149" s="28">
        <v>14.149820948656</v>
      </c>
      <c r="CW149" s="28">
        <v>3.6080000000000001</v>
      </c>
      <c r="CX149" s="28">
        <v>0</v>
      </c>
      <c r="CY149" s="28">
        <v>31.815829783271301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6.0825617119534003</v>
      </c>
      <c r="DI149" s="28">
        <v>2.62920035068078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0.225976706983783</v>
      </c>
      <c r="DP149" s="28">
        <v>0</v>
      </c>
      <c r="DQ149" s="28">
        <v>50.039701177160701</v>
      </c>
      <c r="DR149" s="28">
        <v>35.555625141621803</v>
      </c>
      <c r="DS149" s="28">
        <v>184.66931982306099</v>
      </c>
      <c r="DT149" s="28">
        <v>0.64</v>
      </c>
      <c r="DU149" s="28">
        <v>1333.8480000914701</v>
      </c>
      <c r="DV149" s="28">
        <v>11.64</v>
      </c>
      <c r="DW149" s="28">
        <v>0</v>
      </c>
      <c r="DX149" s="28">
        <v>10.0008417049923</v>
      </c>
      <c r="DY149" s="28">
        <v>0</v>
      </c>
      <c r="DZ149" s="28">
        <v>0</v>
      </c>
      <c r="EA149" s="28">
        <v>0</v>
      </c>
      <c r="EB149" s="28">
        <v>0</v>
      </c>
      <c r="EC149" s="28">
        <v>7.5877726277971602</v>
      </c>
      <c r="ED149" s="28">
        <v>0</v>
      </c>
      <c r="EE149" s="28">
        <v>0</v>
      </c>
      <c r="EF149" s="28">
        <v>0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0.26441091532283201</v>
      </c>
      <c r="ER149" s="28">
        <v>23.0461612006415</v>
      </c>
      <c r="ES149" s="28">
        <v>0</v>
      </c>
      <c r="ET149" s="28">
        <v>0</v>
      </c>
      <c r="EU149" s="28">
        <v>0</v>
      </c>
      <c r="EV149" s="28">
        <v>0.75439281726381102</v>
      </c>
      <c r="EW149" s="28">
        <v>0.180777087263883</v>
      </c>
      <c r="EX149" s="28">
        <v>0</v>
      </c>
      <c r="EY149" s="28">
        <v>0</v>
      </c>
      <c r="EZ149" s="28">
        <v>0</v>
      </c>
      <c r="FA149" s="28">
        <v>0</v>
      </c>
      <c r="FB149" s="28">
        <v>0</v>
      </c>
      <c r="FC149" s="28">
        <v>6.2516965345317796</v>
      </c>
      <c r="FD149" s="28">
        <v>2.9979646336775998</v>
      </c>
      <c r="FE149" s="28">
        <v>0</v>
      </c>
      <c r="FF149" s="28">
        <v>0</v>
      </c>
      <c r="FG149" s="28">
        <v>7.4320908403746797</v>
      </c>
      <c r="FH149" s="28">
        <v>0</v>
      </c>
      <c r="FI149" s="28">
        <v>0</v>
      </c>
      <c r="FJ149" s="28">
        <v>0</v>
      </c>
      <c r="FK149" s="28">
        <v>0</v>
      </c>
      <c r="FL149" s="28">
        <v>0</v>
      </c>
      <c r="FM149" s="28">
        <v>0</v>
      </c>
      <c r="FN149" s="28">
        <v>0</v>
      </c>
      <c r="FO149" s="28">
        <v>0</v>
      </c>
      <c r="FP149" s="28">
        <v>0</v>
      </c>
      <c r="FQ149" s="28">
        <v>0</v>
      </c>
      <c r="FR149" s="28">
        <v>0</v>
      </c>
      <c r="FS149" s="28">
        <v>0</v>
      </c>
      <c r="FT149" s="28">
        <v>0</v>
      </c>
      <c r="FU149" s="28">
        <v>0</v>
      </c>
      <c r="FV149" s="28">
        <v>0</v>
      </c>
      <c r="FW149" s="28">
        <v>0</v>
      </c>
      <c r="FX149" s="28">
        <v>0</v>
      </c>
      <c r="FY149" s="28">
        <v>0</v>
      </c>
      <c r="FZ149" s="28">
        <v>0</v>
      </c>
      <c r="GA149" s="28">
        <v>0</v>
      </c>
      <c r="GB149" s="28">
        <v>0</v>
      </c>
      <c r="GC149" s="28">
        <v>0</v>
      </c>
      <c r="GD149" s="28">
        <v>0</v>
      </c>
      <c r="GE149" s="28">
        <v>0</v>
      </c>
      <c r="GF149" s="28">
        <v>0</v>
      </c>
      <c r="GG149" s="28">
        <v>0</v>
      </c>
      <c r="GH149" s="28">
        <v>5.8707932225512396E-4</v>
      </c>
      <c r="GI149" s="28">
        <v>0</v>
      </c>
      <c r="GJ149" s="28">
        <v>0</v>
      </c>
      <c r="GK149" s="28">
        <v>0</v>
      </c>
      <c r="GL149" s="28">
        <v>0</v>
      </c>
      <c r="GM149" s="28">
        <v>0</v>
      </c>
      <c r="GN149" s="28">
        <v>0</v>
      </c>
      <c r="GO149" s="28">
        <v>0</v>
      </c>
      <c r="GP149" s="28">
        <v>0</v>
      </c>
      <c r="GQ149" s="21">
        <v>1815.4190731432714</v>
      </c>
      <c r="GR149" s="21">
        <v>0</v>
      </c>
      <c r="GS149" s="20">
        <v>0</v>
      </c>
      <c r="GT149" s="20">
        <v>0</v>
      </c>
      <c r="GU149" s="20">
        <v>0</v>
      </c>
      <c r="GV149" s="20">
        <v>0</v>
      </c>
      <c r="GW149" s="20">
        <v>0</v>
      </c>
      <c r="GX149" s="21">
        <v>-26.34577761041983</v>
      </c>
      <c r="GY149" s="20">
        <v>0</v>
      </c>
      <c r="GZ149" s="20">
        <v>-26.34577761041983</v>
      </c>
      <c r="HA149" s="20"/>
      <c r="HB149" s="21">
        <v>0</v>
      </c>
      <c r="HC149" s="21">
        <v>1789.0732955328515</v>
      </c>
    </row>
    <row r="150" spans="2:211" s="7" customFormat="1" ht="17.25" customHeight="1">
      <c r="B150" s="26" t="s">
        <v>590</v>
      </c>
      <c r="C150" s="10" t="s">
        <v>591</v>
      </c>
      <c r="D150" s="28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8.5736248056645704E-4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1.3223049293783901E-3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0.127730351737425</v>
      </c>
      <c r="AL150" s="28">
        <v>0</v>
      </c>
      <c r="AM150" s="28">
        <v>0</v>
      </c>
      <c r="AN150" s="28">
        <v>1.8264230526421898E-2</v>
      </c>
      <c r="AO150" s="28">
        <v>0</v>
      </c>
      <c r="AP150" s="28">
        <v>0.63928207373843304</v>
      </c>
      <c r="AQ150" s="28">
        <v>0.159263350671039</v>
      </c>
      <c r="AR150" s="28">
        <v>0</v>
      </c>
      <c r="AS150" s="28">
        <v>0</v>
      </c>
      <c r="AT150" s="28">
        <v>8.2001013370175693E-2</v>
      </c>
      <c r="AU150" s="28">
        <v>0</v>
      </c>
      <c r="AV150" s="28">
        <v>0.71937871436899203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1.6440841645533399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5.7878121468315404</v>
      </c>
      <c r="CS150" s="28">
        <v>5.6014650795913603E-3</v>
      </c>
      <c r="CT150" s="28">
        <v>0</v>
      </c>
      <c r="CU150" s="28">
        <v>0.34614607499831201</v>
      </c>
      <c r="CV150" s="28">
        <v>0</v>
      </c>
      <c r="CW150" s="28">
        <v>6.05</v>
      </c>
      <c r="CX150" s="28">
        <v>0.99338237587900002</v>
      </c>
      <c r="CY150" s="28">
        <v>0.21928379155938099</v>
      </c>
      <c r="CZ150" s="28">
        <v>0</v>
      </c>
      <c r="DA150" s="28">
        <v>0</v>
      </c>
      <c r="DB150" s="28">
        <v>0</v>
      </c>
      <c r="DC150" s="28">
        <v>3.2365382777582901</v>
      </c>
      <c r="DD150" s="28">
        <v>0.12851915873605699</v>
      </c>
      <c r="DE150" s="28">
        <v>0</v>
      </c>
      <c r="DF150" s="28">
        <v>0.39945150930817402</v>
      </c>
      <c r="DG150" s="28">
        <v>14.2979027763263</v>
      </c>
      <c r="DH150" s="28">
        <v>30.72</v>
      </c>
      <c r="DI150" s="28">
        <v>9.7540334789102392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0</v>
      </c>
      <c r="DQ150" s="28">
        <v>112.513097157914</v>
      </c>
      <c r="DR150" s="28">
        <v>0.15238752391208599</v>
      </c>
      <c r="DS150" s="28">
        <v>0</v>
      </c>
      <c r="DT150" s="28">
        <v>0</v>
      </c>
      <c r="DU150" s="28">
        <v>71.476338624109204</v>
      </c>
      <c r="DV150" s="28">
        <v>0</v>
      </c>
      <c r="DW150" s="28">
        <v>0</v>
      </c>
      <c r="DX150" s="28">
        <v>0.57492723168933602</v>
      </c>
      <c r="DY150" s="28">
        <v>8.2336355521193099</v>
      </c>
      <c r="DZ150" s="28">
        <v>0</v>
      </c>
      <c r="EA150" s="28">
        <v>0</v>
      </c>
      <c r="EB150" s="28">
        <v>0</v>
      </c>
      <c r="EC150" s="28">
        <v>1.60753862599478E-2</v>
      </c>
      <c r="ED150" s="28">
        <v>0.118740244977818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45.218333121641798</v>
      </c>
      <c r="EK150" s="28">
        <v>0</v>
      </c>
      <c r="EL150" s="28">
        <v>0</v>
      </c>
      <c r="EM150" s="28">
        <v>0</v>
      </c>
      <c r="EN150" s="28">
        <v>0.40620690818135002</v>
      </c>
      <c r="EO150" s="28">
        <v>0.15792964852392399</v>
      </c>
      <c r="EP150" s="28">
        <v>0</v>
      </c>
      <c r="EQ150" s="28">
        <v>0.235265708244635</v>
      </c>
      <c r="ER150" s="28">
        <v>0.26509309749882098</v>
      </c>
      <c r="ES150" s="28">
        <v>35.355348010669999</v>
      </c>
      <c r="ET150" s="28">
        <v>0</v>
      </c>
      <c r="EU150" s="28">
        <v>2.7291891957959499E-2</v>
      </c>
      <c r="EV150" s="28">
        <v>14.257190674101601</v>
      </c>
      <c r="EW150" s="28">
        <v>18.108980363842601</v>
      </c>
      <c r="EX150" s="28">
        <v>0.13762706294854299</v>
      </c>
      <c r="EY150" s="28">
        <v>0</v>
      </c>
      <c r="EZ150" s="28">
        <v>0</v>
      </c>
      <c r="FA150" s="28">
        <v>0</v>
      </c>
      <c r="FB150" s="28">
        <v>0</v>
      </c>
      <c r="FC150" s="28">
        <v>187.503239162629</v>
      </c>
      <c r="FD150" s="28">
        <v>88.132556894315101</v>
      </c>
      <c r="FE150" s="28">
        <v>135.10551740925001</v>
      </c>
      <c r="FF150" s="28">
        <v>3.1854780387472399</v>
      </c>
      <c r="FG150" s="28">
        <v>54.116456073559199</v>
      </c>
      <c r="FH150" s="28">
        <v>0.63439675289176201</v>
      </c>
      <c r="FI150" s="28">
        <v>16.5792880093477</v>
      </c>
      <c r="FJ150" s="28">
        <v>85.225119488198999</v>
      </c>
      <c r="FK150" s="28">
        <v>0</v>
      </c>
      <c r="FL150" s="28">
        <v>0</v>
      </c>
      <c r="FM150" s="28">
        <v>0</v>
      </c>
      <c r="FN150" s="28">
        <v>0</v>
      </c>
      <c r="FO150" s="28">
        <v>0</v>
      </c>
      <c r="FP150" s="28">
        <v>0</v>
      </c>
      <c r="FQ150" s="28">
        <v>0</v>
      </c>
      <c r="FR150" s="28">
        <v>0</v>
      </c>
      <c r="FS150" s="28">
        <v>4.6284126807810004</v>
      </c>
      <c r="FT150" s="28">
        <v>0</v>
      </c>
      <c r="FU150" s="28">
        <v>0</v>
      </c>
      <c r="FV150" s="28">
        <v>0</v>
      </c>
      <c r="FW150" s="28">
        <v>6.0125119999999997E-2</v>
      </c>
      <c r="FX150" s="28">
        <v>0</v>
      </c>
      <c r="FY150" s="28">
        <v>0</v>
      </c>
      <c r="FZ150" s="28">
        <v>0</v>
      </c>
      <c r="GA150" s="28">
        <v>1.18232192913217</v>
      </c>
      <c r="GB150" s="28">
        <v>0</v>
      </c>
      <c r="GC150" s="28">
        <v>0</v>
      </c>
      <c r="GD150" s="28">
        <v>0</v>
      </c>
      <c r="GE150" s="28">
        <v>39.421716531092301</v>
      </c>
      <c r="GF150" s="28">
        <v>12.1162367310724</v>
      </c>
      <c r="GG150" s="28">
        <v>20.4961183159039</v>
      </c>
      <c r="GH150" s="28">
        <v>11.179125531945999</v>
      </c>
      <c r="GI150" s="28">
        <v>0.640145286910348</v>
      </c>
      <c r="GJ150" s="28">
        <v>7.8166668077677401E-2</v>
      </c>
      <c r="GK150" s="28">
        <v>10.861135940000599</v>
      </c>
      <c r="GL150" s="28">
        <v>8.5683955777291806E-2</v>
      </c>
      <c r="GM150" s="28">
        <v>0</v>
      </c>
      <c r="GN150" s="28">
        <v>31.6881112071937</v>
      </c>
      <c r="GO150" s="28">
        <v>0</v>
      </c>
      <c r="GP150" s="28">
        <v>0</v>
      </c>
      <c r="GQ150" s="21">
        <v>1085.5046745571819</v>
      </c>
      <c r="GR150" s="21">
        <v>303.627067865443</v>
      </c>
      <c r="GS150" s="20">
        <v>303.627067865443</v>
      </c>
      <c r="GT150" s="20">
        <v>0</v>
      </c>
      <c r="GU150" s="20">
        <v>0</v>
      </c>
      <c r="GV150" s="20">
        <v>0</v>
      </c>
      <c r="GW150" s="20">
        <v>0</v>
      </c>
      <c r="GX150" s="21">
        <v>-1.0341564299506862</v>
      </c>
      <c r="GY150" s="20">
        <v>0</v>
      </c>
      <c r="GZ150" s="20">
        <v>-1.0341564299506862</v>
      </c>
      <c r="HA150" s="20"/>
      <c r="HB150" s="21">
        <v>4.3778423664000004</v>
      </c>
      <c r="HC150" s="21">
        <v>1392.4754283590744</v>
      </c>
    </row>
    <row r="151" spans="2:211" s="7" customFormat="1" ht="17.25" customHeight="1">
      <c r="B151" s="26" t="s">
        <v>592</v>
      </c>
      <c r="C151" s="9" t="s">
        <v>593</v>
      </c>
      <c r="D151" s="28">
        <v>0.423443603454423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2.82932858896906</v>
      </c>
      <c r="AF151" s="28">
        <v>25.495100204358302</v>
      </c>
      <c r="AG151" s="28">
        <v>33.818146917525503</v>
      </c>
      <c r="AH151" s="28">
        <v>6.7158704262796798</v>
      </c>
      <c r="AI151" s="28">
        <v>7.3677392886420501</v>
      </c>
      <c r="AJ151" s="28">
        <v>3.5601237545473099</v>
      </c>
      <c r="AK151" s="28">
        <v>0.74424989312601697</v>
      </c>
      <c r="AL151" s="28">
        <v>32.922621078895098</v>
      </c>
      <c r="AM151" s="28">
        <v>3.3792769002363698</v>
      </c>
      <c r="AN151" s="28">
        <v>0</v>
      </c>
      <c r="AO151" s="28">
        <v>0</v>
      </c>
      <c r="AP151" s="28">
        <v>2.0439364369434601</v>
      </c>
      <c r="AQ151" s="28">
        <v>1.36958738018201</v>
      </c>
      <c r="AR151" s="28">
        <v>0</v>
      </c>
      <c r="AS151" s="28">
        <v>0</v>
      </c>
      <c r="AT151" s="28">
        <v>11.6703760177293</v>
      </c>
      <c r="AU151" s="28">
        <v>7.9959564288279701</v>
      </c>
      <c r="AV151" s="28">
        <v>0.36754147498581702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5.4146692569565102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2.2507104765635599</v>
      </c>
      <c r="BQ151" s="28">
        <v>2.3031106564683599</v>
      </c>
      <c r="BR151" s="28">
        <v>0</v>
      </c>
      <c r="BS151" s="28">
        <v>0</v>
      </c>
      <c r="BT151" s="28">
        <v>0</v>
      </c>
      <c r="BU151" s="28">
        <v>0</v>
      </c>
      <c r="BV151" s="28">
        <v>1.6017030000000001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1.69902627853766</v>
      </c>
      <c r="CC151" s="28">
        <v>9.3132764062274304E-2</v>
      </c>
      <c r="CD151" s="28">
        <v>1.22359055701232</v>
      </c>
      <c r="CE151" s="28">
        <v>0.41605172123544398</v>
      </c>
      <c r="CF151" s="28">
        <v>0</v>
      </c>
      <c r="CG151" s="28">
        <v>85.458774000000105</v>
      </c>
      <c r="CH151" s="28">
        <v>2.1310498446882702E-2</v>
      </c>
      <c r="CI151" s="28">
        <v>5.6672417558729597E-3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220.36543949799801</v>
      </c>
      <c r="CQ151" s="28">
        <v>0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0</v>
      </c>
      <c r="CZ151" s="28">
        <v>0</v>
      </c>
      <c r="DA151" s="28">
        <v>0.126328776172596</v>
      </c>
      <c r="DB151" s="28">
        <v>0</v>
      </c>
      <c r="DC151" s="28">
        <v>5.55442494794413E-3</v>
      </c>
      <c r="DD151" s="28">
        <v>0</v>
      </c>
      <c r="DE151" s="28">
        <v>0</v>
      </c>
      <c r="DF151" s="28">
        <v>0</v>
      </c>
      <c r="DG151" s="28">
        <v>0</v>
      </c>
      <c r="DH151" s="28">
        <v>0</v>
      </c>
      <c r="DI151" s="28">
        <v>0</v>
      </c>
      <c r="DJ151" s="28">
        <v>0.15659729870441999</v>
      </c>
      <c r="DK151" s="28">
        <v>0</v>
      </c>
      <c r="DL151" s="28">
        <v>0</v>
      </c>
      <c r="DM151" s="28">
        <v>0</v>
      </c>
      <c r="DN151" s="28">
        <v>0</v>
      </c>
      <c r="DO151" s="28">
        <v>0</v>
      </c>
      <c r="DP151" s="28">
        <v>0</v>
      </c>
      <c r="DQ151" s="28">
        <v>0</v>
      </c>
      <c r="DR151" s="28">
        <v>172.72685207386701</v>
      </c>
      <c r="DS151" s="28">
        <v>0</v>
      </c>
      <c r="DT151" s="28">
        <v>0</v>
      </c>
      <c r="DU151" s="28">
        <v>0</v>
      </c>
      <c r="DV151" s="28">
        <v>0</v>
      </c>
      <c r="DW151" s="28">
        <v>0</v>
      </c>
      <c r="DX151" s="28">
        <v>0</v>
      </c>
      <c r="DY151" s="28">
        <v>0</v>
      </c>
      <c r="DZ151" s="28">
        <v>0</v>
      </c>
      <c r="EA151" s="28">
        <v>0</v>
      </c>
      <c r="EB151" s="28">
        <v>0</v>
      </c>
      <c r="EC151" s="28">
        <v>0</v>
      </c>
      <c r="ED151" s="28">
        <v>1.95604332327786</v>
      </c>
      <c r="EE151" s="28">
        <v>0.31530652393880598</v>
      </c>
      <c r="EF151" s="28">
        <v>0.58087854755813495</v>
      </c>
      <c r="EG151" s="28">
        <v>0.62331641434699003</v>
      </c>
      <c r="EH151" s="28">
        <v>0.21522763223195099</v>
      </c>
      <c r="EI151" s="28">
        <v>0.100348035882025</v>
      </c>
      <c r="EJ151" s="28">
        <v>1.2523607546814199</v>
      </c>
      <c r="EK151" s="28">
        <v>0</v>
      </c>
      <c r="EL151" s="28">
        <v>0</v>
      </c>
      <c r="EM151" s="28">
        <v>0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0</v>
      </c>
      <c r="EU151" s="28">
        <v>0</v>
      </c>
      <c r="EV151" s="28">
        <v>0</v>
      </c>
      <c r="EW151" s="28">
        <v>0</v>
      </c>
      <c r="EX151" s="28">
        <v>0.148049358096941</v>
      </c>
      <c r="EY151" s="28">
        <v>0</v>
      </c>
      <c r="EZ151" s="28">
        <v>0</v>
      </c>
      <c r="FA151" s="28">
        <v>0</v>
      </c>
      <c r="FB151" s="28">
        <v>8.6307615495276302</v>
      </c>
      <c r="FC151" s="28">
        <v>4.9228090272728703E-2</v>
      </c>
      <c r="FD151" s="28">
        <v>0</v>
      </c>
      <c r="FE151" s="28">
        <v>0</v>
      </c>
      <c r="FF151" s="28">
        <v>2.0269806129177299</v>
      </c>
      <c r="FG151" s="28">
        <v>2.1583748057509199E-2</v>
      </c>
      <c r="FH151" s="28">
        <v>0</v>
      </c>
      <c r="FI151" s="28">
        <v>6.2288630182937998</v>
      </c>
      <c r="FJ151" s="28">
        <v>3.3655716458104101</v>
      </c>
      <c r="FK151" s="28">
        <v>0</v>
      </c>
      <c r="FL151" s="28">
        <v>0</v>
      </c>
      <c r="FM151" s="28">
        <v>0</v>
      </c>
      <c r="FN151" s="28">
        <v>1.6553952576840401</v>
      </c>
      <c r="FO151" s="28">
        <v>0</v>
      </c>
      <c r="FP151" s="28">
        <v>0</v>
      </c>
      <c r="FQ151" s="28">
        <v>14.765156836072199</v>
      </c>
      <c r="FR151" s="28">
        <v>1.5349636114619001E-3</v>
      </c>
      <c r="FS151" s="28">
        <v>0.864411605373819</v>
      </c>
      <c r="FT151" s="28">
        <v>0</v>
      </c>
      <c r="FU151" s="28">
        <v>0</v>
      </c>
      <c r="FV151" s="28">
        <v>0</v>
      </c>
      <c r="FW151" s="28">
        <v>6.3228999999999994E-2</v>
      </c>
      <c r="FX151" s="28">
        <v>5.594E-3</v>
      </c>
      <c r="FY151" s="28">
        <v>86.9484159409607</v>
      </c>
      <c r="FZ151" s="28">
        <v>0</v>
      </c>
      <c r="GA151" s="28">
        <v>5.6953308529337295E-4</v>
      </c>
      <c r="GB151" s="28">
        <v>0</v>
      </c>
      <c r="GC151" s="28">
        <v>0</v>
      </c>
      <c r="GD151" s="28">
        <v>0</v>
      </c>
      <c r="GE151" s="28">
        <v>2.9636454401041599</v>
      </c>
      <c r="GF151" s="28">
        <v>56.552042712256899</v>
      </c>
      <c r="GG151" s="28">
        <v>14.150154779106799</v>
      </c>
      <c r="GH151" s="28">
        <v>8.9960094356250693</v>
      </c>
      <c r="GI151" s="28">
        <v>23.907065388542001</v>
      </c>
      <c r="GJ151" s="28">
        <v>291.18661492598898</v>
      </c>
      <c r="GK151" s="28">
        <v>763.60421740850995</v>
      </c>
      <c r="GL151" s="28">
        <v>0.41628416710315103</v>
      </c>
      <c r="GM151" s="28">
        <v>0</v>
      </c>
      <c r="GN151" s="28">
        <v>0.288966086291638</v>
      </c>
      <c r="GO151" s="28">
        <v>0</v>
      </c>
      <c r="GP151" s="28">
        <v>0</v>
      </c>
      <c r="GQ151" s="21">
        <v>1926.4556436526414</v>
      </c>
      <c r="GR151" s="21">
        <v>4247.8283255530196</v>
      </c>
      <c r="GS151" s="20">
        <v>3718.5352231776014</v>
      </c>
      <c r="GT151" s="20">
        <v>112.7040492536491</v>
      </c>
      <c r="GU151" s="20">
        <v>416.58905312176898</v>
      </c>
      <c r="GV151" s="20">
        <v>416.58905312176898</v>
      </c>
      <c r="GW151" s="20">
        <v>0</v>
      </c>
      <c r="GX151" s="21">
        <v>5.5076567206502682</v>
      </c>
      <c r="GY151" s="20">
        <v>0</v>
      </c>
      <c r="GZ151" s="20">
        <v>5.5076567206502682</v>
      </c>
      <c r="HA151" s="20"/>
      <c r="HB151" s="21">
        <v>23.779765053599998</v>
      </c>
      <c r="HC151" s="21">
        <v>6203.5713909799115</v>
      </c>
    </row>
    <row r="152" spans="2:211" s="7" customFormat="1" ht="17.25" customHeight="1">
      <c r="B152" s="26" t="s">
        <v>594</v>
      </c>
      <c r="C152" s="10" t="s">
        <v>595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2.1127151088497199E-2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6.1321097994918299E-2</v>
      </c>
      <c r="AF152" s="28">
        <v>0</v>
      </c>
      <c r="AG152" s="28">
        <v>0</v>
      </c>
      <c r="AH152" s="28">
        <v>0</v>
      </c>
      <c r="AI152" s="28">
        <v>0</v>
      </c>
      <c r="AJ152" s="28">
        <v>0.93373487859285498</v>
      </c>
      <c r="AK152" s="28">
        <v>0.353148686900014</v>
      </c>
      <c r="AL152" s="28">
        <v>0.51494520175339697</v>
      </c>
      <c r="AM152" s="28">
        <v>2.80214345378901</v>
      </c>
      <c r="AN152" s="28">
        <v>0.85747541986237796</v>
      </c>
      <c r="AO152" s="28">
        <v>0.15414373353935601</v>
      </c>
      <c r="AP152" s="28">
        <v>0.213530311553843</v>
      </c>
      <c r="AQ152" s="28">
        <v>6.7982698829294794E-2</v>
      </c>
      <c r="AR152" s="28">
        <v>0.10199516968559599</v>
      </c>
      <c r="AS152" s="28">
        <v>1.1964350376000001E-2</v>
      </c>
      <c r="AT152" s="28">
        <v>12.853413339472599</v>
      </c>
      <c r="AU152" s="28">
        <v>9.4022373804685593</v>
      </c>
      <c r="AV152" s="28">
        <v>1.7873605297283599</v>
      </c>
      <c r="AW152" s="28">
        <v>1.03478379491368</v>
      </c>
      <c r="AX152" s="28">
        <v>1.62191058184182</v>
      </c>
      <c r="AY152" s="28">
        <v>0</v>
      </c>
      <c r="AZ152" s="28">
        <v>1.0205423611274</v>
      </c>
      <c r="BA152" s="28">
        <v>6.7387678028104803E-2</v>
      </c>
      <c r="BB152" s="28">
        <v>8.0447684400533306E-2</v>
      </c>
      <c r="BC152" s="28">
        <v>1.7948098213733401</v>
      </c>
      <c r="BD152" s="28">
        <v>0</v>
      </c>
      <c r="BE152" s="28">
        <v>0</v>
      </c>
      <c r="BF152" s="28">
        <v>0</v>
      </c>
      <c r="BG152" s="28">
        <v>0</v>
      </c>
      <c r="BH152" s="28">
        <v>0.50221893839199905</v>
      </c>
      <c r="BI152" s="28">
        <v>1.6044108734697999</v>
      </c>
      <c r="BJ152" s="28">
        <v>0.55144734737521095</v>
      </c>
      <c r="BK152" s="28">
        <v>0</v>
      </c>
      <c r="BL152" s="28">
        <v>0.26748884309849003</v>
      </c>
      <c r="BM152" s="28">
        <v>0.127923866570785</v>
      </c>
      <c r="BN152" s="28">
        <v>0.209005169793266</v>
      </c>
      <c r="BO152" s="28">
        <v>0.34300954872816303</v>
      </c>
      <c r="BP152" s="28">
        <v>7.3707243009510598E-4</v>
      </c>
      <c r="BQ152" s="28">
        <v>4.22472516855169E-2</v>
      </c>
      <c r="BR152" s="28">
        <v>0.100280632637175</v>
      </c>
      <c r="BS152" s="28">
        <v>0</v>
      </c>
      <c r="BT152" s="28">
        <v>0</v>
      </c>
      <c r="BU152" s="28">
        <v>0.16052325414135701</v>
      </c>
      <c r="BV152" s="28">
        <v>0.74161165579295796</v>
      </c>
      <c r="BW152" s="28">
        <v>0</v>
      </c>
      <c r="BX152" s="28">
        <v>2.6416261971401601E-2</v>
      </c>
      <c r="BY152" s="28">
        <v>0.107044077855662</v>
      </c>
      <c r="BZ152" s="28">
        <v>1.0698833482248701E-2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0.283755929937693</v>
      </c>
      <c r="CN152" s="28">
        <v>0</v>
      </c>
      <c r="CO152" s="28">
        <v>0</v>
      </c>
      <c r="CP152" s="28">
        <v>0</v>
      </c>
      <c r="CQ152" s="28">
        <v>0</v>
      </c>
      <c r="CR152" s="28">
        <v>3.9656818925024502</v>
      </c>
      <c r="CS152" s="28">
        <v>0</v>
      </c>
      <c r="CT152" s="28">
        <v>10.202157734675099</v>
      </c>
      <c r="CU152" s="28">
        <v>0</v>
      </c>
      <c r="CV152" s="28">
        <v>0</v>
      </c>
      <c r="CW152" s="28">
        <v>2.5049999999999999</v>
      </c>
      <c r="CX152" s="28">
        <v>1.0493608478594101</v>
      </c>
      <c r="CY152" s="28">
        <v>0</v>
      </c>
      <c r="CZ152" s="28">
        <v>0</v>
      </c>
      <c r="DA152" s="28">
        <v>0.264097193938574</v>
      </c>
      <c r="DB152" s="28">
        <v>0.35584800612092199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0.70653807336908403</v>
      </c>
      <c r="DI152" s="28">
        <v>3.24732360883909</v>
      </c>
      <c r="DJ152" s="28">
        <v>1.14793144726441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2.5129606105336699</v>
      </c>
      <c r="DR152" s="28">
        <v>1.25716190596955</v>
      </c>
      <c r="DS152" s="28">
        <v>8.2818829029269298E-4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0.248420813305014</v>
      </c>
      <c r="EE152" s="28">
        <v>0.16883855142526999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  <c r="EU152" s="28">
        <v>0</v>
      </c>
      <c r="EV152" s="28">
        <v>2.5745659202370299</v>
      </c>
      <c r="EW152" s="28">
        <v>0</v>
      </c>
      <c r="EX152" s="28">
        <v>0</v>
      </c>
      <c r="EY152" s="28">
        <v>4.0228E-2</v>
      </c>
      <c r="EZ152" s="28">
        <v>0.119931</v>
      </c>
      <c r="FA152" s="28">
        <v>0.54169504815487901</v>
      </c>
      <c r="FB152" s="28">
        <v>26.0757360045796</v>
      </c>
      <c r="FC152" s="28">
        <v>1.73376163365382</v>
      </c>
      <c r="FD152" s="28">
        <v>0.30827708679701499</v>
      </c>
      <c r="FE152" s="28">
        <v>0</v>
      </c>
      <c r="FF152" s="28">
        <v>6.62373464462868</v>
      </c>
      <c r="FG152" s="28">
        <v>0.145415997407562</v>
      </c>
      <c r="FH152" s="28">
        <v>0</v>
      </c>
      <c r="FI152" s="28">
        <v>87.354315596118397</v>
      </c>
      <c r="FJ152" s="28">
        <v>0</v>
      </c>
      <c r="FK152" s="28">
        <v>0</v>
      </c>
      <c r="FL152" s="28">
        <v>4.7969941298072403</v>
      </c>
      <c r="FM152" s="28">
        <v>0</v>
      </c>
      <c r="FN152" s="28">
        <v>0.180115802171188</v>
      </c>
      <c r="FO152" s="28">
        <v>0.206146306693615</v>
      </c>
      <c r="FP152" s="28">
        <v>0</v>
      </c>
      <c r="FQ152" s="28">
        <v>30.254920805733999</v>
      </c>
      <c r="FR152" s="28">
        <v>1.94887058867053</v>
      </c>
      <c r="FS152" s="28">
        <v>54.208289465210598</v>
      </c>
      <c r="FT152" s="28">
        <v>57.989192339941702</v>
      </c>
      <c r="FU152" s="28">
        <v>17.4102979701903</v>
      </c>
      <c r="FV152" s="28">
        <v>0.30575690072440798</v>
      </c>
      <c r="FW152" s="28">
        <v>4.4803679999999999E-2</v>
      </c>
      <c r="FX152" s="28">
        <v>3.8967705308881703E-2</v>
      </c>
      <c r="FY152" s="28">
        <v>3.6258899999999997E-2</v>
      </c>
      <c r="FZ152" s="28">
        <v>0</v>
      </c>
      <c r="GA152" s="28">
        <v>1.4474531419842699E-2</v>
      </c>
      <c r="GB152" s="28">
        <v>1.165</v>
      </c>
      <c r="GC152" s="28">
        <v>3.2480093909530301</v>
      </c>
      <c r="GD152" s="28">
        <v>60.544083984957602</v>
      </c>
      <c r="GE152" s="28">
        <v>4.7724224338560601</v>
      </c>
      <c r="GF152" s="28">
        <v>83.9974911220216</v>
      </c>
      <c r="GG152" s="28">
        <v>25.796185701784701</v>
      </c>
      <c r="GH152" s="28">
        <v>0.47162478176165101</v>
      </c>
      <c r="GI152" s="28">
        <v>13.40341327</v>
      </c>
      <c r="GJ152" s="28">
        <v>7.8003188044237897</v>
      </c>
      <c r="GK152" s="28">
        <v>9.1843884060761791</v>
      </c>
      <c r="GL152" s="28">
        <v>6.2147394993648603E-2</v>
      </c>
      <c r="GM152" s="28">
        <v>4.57686990768567</v>
      </c>
      <c r="GN152" s="28">
        <v>0</v>
      </c>
      <c r="GO152" s="28">
        <v>18.309050570592898</v>
      </c>
      <c r="GP152" s="28">
        <v>0</v>
      </c>
      <c r="GQ152" s="21">
        <v>594.75112958332977</v>
      </c>
      <c r="GR152" s="21">
        <v>3294.2437543419101</v>
      </c>
      <c r="GS152" s="20">
        <v>3293.9361313410195</v>
      </c>
      <c r="GT152" s="20">
        <v>0.30762300089050981</v>
      </c>
      <c r="GU152" s="20">
        <v>0</v>
      </c>
      <c r="GV152" s="20">
        <v>0</v>
      </c>
      <c r="GW152" s="20">
        <v>0</v>
      </c>
      <c r="GX152" s="21">
        <v>13.037464350114766</v>
      </c>
      <c r="GY152" s="20">
        <v>0</v>
      </c>
      <c r="GZ152" s="20">
        <v>13.037464350114766</v>
      </c>
      <c r="HA152" s="20"/>
      <c r="HB152" s="21">
        <v>40.625355883200001</v>
      </c>
      <c r="HC152" s="21">
        <v>3942.6577041585547</v>
      </c>
    </row>
    <row r="153" spans="2:211" s="7" customFormat="1" ht="17.25" customHeight="1">
      <c r="B153" s="26" t="s">
        <v>596</v>
      </c>
      <c r="C153" s="10" t="s">
        <v>597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3.40179578895961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0.17354054036571601</v>
      </c>
      <c r="AP153" s="28">
        <v>1.23756151387536</v>
      </c>
      <c r="AQ153" s="28">
        <v>0.36403051581951601</v>
      </c>
      <c r="AR153" s="28">
        <v>0.2318072038309</v>
      </c>
      <c r="AS153" s="28">
        <v>1.15933627674418E-2</v>
      </c>
      <c r="AT153" s="28">
        <v>44.060043839111898</v>
      </c>
      <c r="AU153" s="28">
        <v>25.432841569798502</v>
      </c>
      <c r="AV153" s="28">
        <v>28.663750884846401</v>
      </c>
      <c r="AW153" s="28">
        <v>12.791089977520601</v>
      </c>
      <c r="AX153" s="28">
        <v>70.468179446191897</v>
      </c>
      <c r="AY153" s="28">
        <v>0</v>
      </c>
      <c r="AZ153" s="28">
        <v>9.1909726637692302</v>
      </c>
      <c r="BA153" s="28">
        <v>3.78101872369152</v>
      </c>
      <c r="BB153" s="28">
        <v>0</v>
      </c>
      <c r="BC153" s="28">
        <v>86.678897333176906</v>
      </c>
      <c r="BD153" s="28">
        <v>0</v>
      </c>
      <c r="BE153" s="28">
        <v>0</v>
      </c>
      <c r="BF153" s="28">
        <v>0</v>
      </c>
      <c r="BG153" s="28">
        <v>0</v>
      </c>
      <c r="BH153" s="28">
        <v>6.3969214730727399</v>
      </c>
      <c r="BI153" s="28">
        <v>0.536480897723146</v>
      </c>
      <c r="BJ153" s="28">
        <v>0.423352178266242</v>
      </c>
      <c r="BK153" s="28">
        <v>0</v>
      </c>
      <c r="BL153" s="28">
        <v>0.22177872434115301</v>
      </c>
      <c r="BM153" s="28">
        <v>6.2960256128612099E-2</v>
      </c>
      <c r="BN153" s="28">
        <v>0.108744828194323</v>
      </c>
      <c r="BO153" s="28">
        <v>0.192160386154308</v>
      </c>
      <c r="BP153" s="28">
        <v>1.2328439569525599E-3</v>
      </c>
      <c r="BQ153" s="28">
        <v>6.8220668048818503E-2</v>
      </c>
      <c r="BR153" s="28">
        <v>0.179372470760681</v>
      </c>
      <c r="BS153" s="28">
        <v>0</v>
      </c>
      <c r="BT153" s="28">
        <v>0</v>
      </c>
      <c r="BU153" s="28">
        <v>6.2141550476903097E-2</v>
      </c>
      <c r="BV153" s="28">
        <v>1.7663371117215001</v>
      </c>
      <c r="BW153" s="28">
        <v>0</v>
      </c>
      <c r="BX153" s="28">
        <v>1.23029246390709E-2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1.4135823008241799</v>
      </c>
      <c r="CW153" s="28">
        <v>0</v>
      </c>
      <c r="CX153" s="28">
        <v>0</v>
      </c>
      <c r="CY153" s="28">
        <v>0</v>
      </c>
      <c r="CZ153" s="28">
        <v>0</v>
      </c>
      <c r="DA153" s="28">
        <v>0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0.16167960351057201</v>
      </c>
      <c r="DI153" s="28">
        <v>2.0565959351988399</v>
      </c>
      <c r="DJ153" s="28">
        <v>5.6090574035031402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3.79785735371942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11.865579335055299</v>
      </c>
      <c r="EE153" s="28">
        <v>0.349948316091033</v>
      </c>
      <c r="EF153" s="28">
        <v>40.098850177031402</v>
      </c>
      <c r="EG153" s="28">
        <v>1.4282847964065899</v>
      </c>
      <c r="EH153" s="28">
        <v>0.49317866144361699</v>
      </c>
      <c r="EI153" s="28">
        <v>0.23017665131244999</v>
      </c>
      <c r="EJ153" s="28">
        <v>6.8870338347421596</v>
      </c>
      <c r="EK153" s="28">
        <v>0</v>
      </c>
      <c r="EL153" s="28">
        <v>9.7315943861729107E-6</v>
      </c>
      <c r="EM153" s="28">
        <v>0.174722543665671</v>
      </c>
      <c r="EN153" s="28">
        <v>9.1261420036685397E-3</v>
      </c>
      <c r="EO153" s="28">
        <v>0</v>
      </c>
      <c r="EP153" s="28">
        <v>0</v>
      </c>
      <c r="EQ153" s="28">
        <v>0</v>
      </c>
      <c r="ER153" s="28">
        <v>1.1717009273071699</v>
      </c>
      <c r="ES153" s="28">
        <v>0</v>
      </c>
      <c r="ET153" s="28">
        <v>0</v>
      </c>
      <c r="EU153" s="28">
        <v>0</v>
      </c>
      <c r="EV153" s="28">
        <v>0.32224425250142702</v>
      </c>
      <c r="EW153" s="28">
        <v>0.828454102546617</v>
      </c>
      <c r="EX153" s="28">
        <v>2.6270643031926302E-2</v>
      </c>
      <c r="EY153" s="28">
        <v>6.7127696077143195E-2</v>
      </c>
      <c r="EZ153" s="28">
        <v>0.18215556241509201</v>
      </c>
      <c r="FA153" s="28">
        <v>2.9045147002334302</v>
      </c>
      <c r="FB153" s="28">
        <v>0.83329861229936897</v>
      </c>
      <c r="FC153" s="28">
        <v>1.48315605110603</v>
      </c>
      <c r="FD153" s="28">
        <v>14.8460464787929</v>
      </c>
      <c r="FE153" s="28">
        <v>21.7824491736488</v>
      </c>
      <c r="FF153" s="28">
        <v>158.59269880874001</v>
      </c>
      <c r="FG153" s="28">
        <v>36.1968700747707</v>
      </c>
      <c r="FH153" s="28">
        <v>0</v>
      </c>
      <c r="FI153" s="28">
        <v>110.856280564654</v>
      </c>
      <c r="FJ153" s="28">
        <v>0.98</v>
      </c>
      <c r="FK153" s="28">
        <v>0</v>
      </c>
      <c r="FL153" s="28">
        <v>208.375450507886</v>
      </c>
      <c r="FM153" s="28">
        <v>404.77750573242702</v>
      </c>
      <c r="FN153" s="28">
        <v>10.3881138893816</v>
      </c>
      <c r="FO153" s="28">
        <v>0</v>
      </c>
      <c r="FP153" s="28">
        <v>3.8477335361108</v>
      </c>
      <c r="FQ153" s="28">
        <v>6.3506984282960701</v>
      </c>
      <c r="FR153" s="28">
        <v>3.4231034994908802E-2</v>
      </c>
      <c r="FS153" s="28">
        <v>4.7872618230149104</v>
      </c>
      <c r="FT153" s="28">
        <v>0.47025706941427298</v>
      </c>
      <c r="FU153" s="28">
        <v>4.4253785384259503E-3</v>
      </c>
      <c r="FV153" s="28">
        <v>0</v>
      </c>
      <c r="FW153" s="28">
        <v>8.9441999999999994E-2</v>
      </c>
      <c r="FX153" s="28">
        <v>9.7747915140515094</v>
      </c>
      <c r="FY153" s="28">
        <v>0</v>
      </c>
      <c r="FZ153" s="28">
        <v>0</v>
      </c>
      <c r="GA153" s="28">
        <v>6.8487453316537104E-3</v>
      </c>
      <c r="GB153" s="28">
        <v>0</v>
      </c>
      <c r="GC153" s="28">
        <v>0</v>
      </c>
      <c r="GD153" s="28">
        <v>0</v>
      </c>
      <c r="GE153" s="28">
        <v>6.2231152643755401</v>
      </c>
      <c r="GF153" s="28">
        <v>119.472478414557</v>
      </c>
      <c r="GG153" s="28">
        <v>73.478917236826803</v>
      </c>
      <c r="GH153" s="28">
        <v>4.5419876305727103</v>
      </c>
      <c r="GI153" s="28">
        <v>2.1048034086840799</v>
      </c>
      <c r="GJ153" s="28">
        <v>0.43418134055510099</v>
      </c>
      <c r="GK153" s="28">
        <v>6.1366437753674203</v>
      </c>
      <c r="GL153" s="28">
        <v>3.4308626852626798</v>
      </c>
      <c r="GM153" s="28">
        <v>0</v>
      </c>
      <c r="GN153" s="28">
        <v>0</v>
      </c>
      <c r="GO153" s="28">
        <v>0</v>
      </c>
      <c r="GP153" s="28">
        <v>0</v>
      </c>
      <c r="GQ153" s="21">
        <v>1586.8978295270842</v>
      </c>
      <c r="GR153" s="21">
        <v>432.14500405488798</v>
      </c>
      <c r="GS153" s="20">
        <v>432.14500405488798</v>
      </c>
      <c r="GT153" s="20">
        <v>0</v>
      </c>
      <c r="GU153" s="20">
        <v>0</v>
      </c>
      <c r="GV153" s="20">
        <v>0</v>
      </c>
      <c r="GW153" s="20">
        <v>0</v>
      </c>
      <c r="GX153" s="21">
        <v>22.521811841695904</v>
      </c>
      <c r="GY153" s="20">
        <v>0</v>
      </c>
      <c r="GZ153" s="20">
        <v>22.521811841695904</v>
      </c>
      <c r="HA153" s="20"/>
      <c r="HB153" s="21">
        <v>7.6716479592000004</v>
      </c>
      <c r="HC153" s="21">
        <v>2049.2362933828681</v>
      </c>
    </row>
    <row r="154" spans="2:211" s="7" customFormat="1" ht="17.25" customHeight="1">
      <c r="B154" s="26" t="s">
        <v>598</v>
      </c>
      <c r="C154" s="10" t="s">
        <v>599</v>
      </c>
      <c r="D154" s="28">
        <v>0.106449319238987</v>
      </c>
      <c r="E154" s="28">
        <v>0</v>
      </c>
      <c r="F154" s="28">
        <v>0</v>
      </c>
      <c r="G154" s="28">
        <v>0</v>
      </c>
      <c r="H154" s="28">
        <v>0.40168588774202602</v>
      </c>
      <c r="I154" s="28">
        <v>4.8761042455915504</v>
      </c>
      <c r="J154" s="28">
        <v>1.1485010633191</v>
      </c>
      <c r="K154" s="28">
        <v>2.9606586029802</v>
      </c>
      <c r="L154" s="28">
        <v>0</v>
      </c>
      <c r="M154" s="28">
        <v>0</v>
      </c>
      <c r="N154" s="28">
        <v>2.0056199642447901</v>
      </c>
      <c r="O154" s="28">
        <v>0</v>
      </c>
      <c r="P154" s="28">
        <v>7.9962428667722598</v>
      </c>
      <c r="Q154" s="28">
        <v>15.325350264141999</v>
      </c>
      <c r="R154" s="28">
        <v>14.43081008121</v>
      </c>
      <c r="S154" s="28">
        <v>3.9527812422070402E-2</v>
      </c>
      <c r="T154" s="28">
        <v>0</v>
      </c>
      <c r="U154" s="28">
        <v>0</v>
      </c>
      <c r="V154" s="28">
        <v>0</v>
      </c>
      <c r="W154" s="28">
        <v>10.7380277405058</v>
      </c>
      <c r="X154" s="28">
        <v>2.98173101393381</v>
      </c>
      <c r="Y154" s="28">
        <v>0.28097995444083002</v>
      </c>
      <c r="Z154" s="28">
        <v>16.222549268336799</v>
      </c>
      <c r="AA154" s="28">
        <v>0.70011123319230895</v>
      </c>
      <c r="AB154" s="28">
        <v>0</v>
      </c>
      <c r="AC154" s="28">
        <v>0</v>
      </c>
      <c r="AD154" s="28">
        <v>2.4212508215170798E-3</v>
      </c>
      <c r="AE154" s="28">
        <v>11.715263172777799</v>
      </c>
      <c r="AF154" s="28">
        <v>0</v>
      </c>
      <c r="AG154" s="28">
        <v>0</v>
      </c>
      <c r="AH154" s="28">
        <v>0</v>
      </c>
      <c r="AI154" s="28">
        <v>3.8264445585562199</v>
      </c>
      <c r="AJ154" s="28">
        <v>0</v>
      </c>
      <c r="AK154" s="28">
        <v>0.98495645708351098</v>
      </c>
      <c r="AL154" s="28">
        <v>3.5597832346685898</v>
      </c>
      <c r="AM154" s="28">
        <v>0</v>
      </c>
      <c r="AN154" s="28">
        <v>0.57550849428670203</v>
      </c>
      <c r="AO154" s="28">
        <v>1.41634750166913</v>
      </c>
      <c r="AP154" s="28">
        <v>14.086921919931401</v>
      </c>
      <c r="AQ154" s="28">
        <v>2.4158049572422802</v>
      </c>
      <c r="AR154" s="28">
        <v>2.3180720383089999</v>
      </c>
      <c r="AS154" s="28">
        <v>0</v>
      </c>
      <c r="AT154" s="28">
        <v>0.25493621477269202</v>
      </c>
      <c r="AU154" s="28">
        <v>3.5660713800332799</v>
      </c>
      <c r="AV154" s="28">
        <v>4.1597167331969596</v>
      </c>
      <c r="AW154" s="28">
        <v>0</v>
      </c>
      <c r="AX154" s="28">
        <v>0</v>
      </c>
      <c r="AY154" s="28">
        <v>0</v>
      </c>
      <c r="AZ154" s="28">
        <v>3.9017737316513901</v>
      </c>
      <c r="BA154" s="28">
        <v>0</v>
      </c>
      <c r="BB154" s="28">
        <v>0.57273008367609701</v>
      </c>
      <c r="BC154" s="28">
        <v>47.099147236591499</v>
      </c>
      <c r="BD154" s="28">
        <v>0</v>
      </c>
      <c r="BE154" s="28">
        <v>0</v>
      </c>
      <c r="BF154" s="28">
        <v>0</v>
      </c>
      <c r="BG154" s="28">
        <v>0</v>
      </c>
      <c r="BH154" s="28">
        <v>45.715065426799299</v>
      </c>
      <c r="BI154" s="28">
        <v>0</v>
      </c>
      <c r="BJ154" s="28">
        <v>59.504170907958802</v>
      </c>
      <c r="BK154" s="28">
        <v>0</v>
      </c>
      <c r="BL154" s="28">
        <v>181.43151991851801</v>
      </c>
      <c r="BM154" s="28">
        <v>0.39787739770722602</v>
      </c>
      <c r="BN154" s="28">
        <v>32.524433721102902</v>
      </c>
      <c r="BO154" s="28">
        <v>6.33268555242178</v>
      </c>
      <c r="BP154" s="28">
        <v>1.76523642082409E-2</v>
      </c>
      <c r="BQ154" s="28">
        <v>7.7025921580166896</v>
      </c>
      <c r="BR154" s="28">
        <v>0.74270162873901802</v>
      </c>
      <c r="BS154" s="28">
        <v>0</v>
      </c>
      <c r="BT154" s="28">
        <v>0</v>
      </c>
      <c r="BU154" s="28">
        <v>25.696261014640601</v>
      </c>
      <c r="BV154" s="28">
        <v>42.3079257140732</v>
      </c>
      <c r="BW154" s="28">
        <v>1.0428370759252899E-4</v>
      </c>
      <c r="BX154" s="28">
        <v>0</v>
      </c>
      <c r="BY154" s="28">
        <v>24.3019350525738</v>
      </c>
      <c r="BZ154" s="28">
        <v>0</v>
      </c>
      <c r="CA154" s="28">
        <v>22.9220912070714</v>
      </c>
      <c r="CB154" s="28">
        <v>3.3681044299146001</v>
      </c>
      <c r="CC154" s="28">
        <v>0.18462391027778599</v>
      </c>
      <c r="CD154" s="28">
        <v>2.4256133218975</v>
      </c>
      <c r="CE154" s="28">
        <v>0.82476984792300601</v>
      </c>
      <c r="CF154" s="28">
        <v>0</v>
      </c>
      <c r="CG154" s="28">
        <v>3.4523844191411501</v>
      </c>
      <c r="CH154" s="28">
        <v>8.2494507646148207</v>
      </c>
      <c r="CI154" s="28">
        <v>7.13568019866943</v>
      </c>
      <c r="CJ154" s="28">
        <v>3.4488962936110101</v>
      </c>
      <c r="CK154" s="28">
        <v>1.77983510494232</v>
      </c>
      <c r="CL154" s="28">
        <v>10.1796501213782</v>
      </c>
      <c r="CM154" s="28">
        <v>5.05083604190804</v>
      </c>
      <c r="CN154" s="28">
        <v>0.80673442962066999</v>
      </c>
      <c r="CO154" s="28">
        <v>6.7727360153693299</v>
      </c>
      <c r="CP154" s="28">
        <v>386.03348180319102</v>
      </c>
      <c r="CQ154" s="28">
        <v>0</v>
      </c>
      <c r="CR154" s="28">
        <v>0.60170164374313195</v>
      </c>
      <c r="CS154" s="28">
        <v>2.3491706115435902E-2</v>
      </c>
      <c r="CT154" s="28">
        <v>11.907269561258</v>
      </c>
      <c r="CU154" s="28">
        <v>0.366910704850056</v>
      </c>
      <c r="CV154" s="28">
        <v>1.7902536975152501</v>
      </c>
      <c r="CW154" s="28">
        <v>0</v>
      </c>
      <c r="CX154" s="28">
        <v>0.40692985897767597</v>
      </c>
      <c r="CY154" s="28">
        <v>2.9250572534070001</v>
      </c>
      <c r="CZ154" s="28">
        <v>0</v>
      </c>
      <c r="DA154" s="28">
        <v>1.06838540364248</v>
      </c>
      <c r="DB154" s="28">
        <v>4.2499862065715996</v>
      </c>
      <c r="DC154" s="28">
        <v>4.9550711851645097</v>
      </c>
      <c r="DD154" s="28">
        <v>0.62557343126601705</v>
      </c>
      <c r="DE154" s="28">
        <v>0</v>
      </c>
      <c r="DF154" s="28">
        <v>0</v>
      </c>
      <c r="DG154" s="28">
        <v>18.349877756727199</v>
      </c>
      <c r="DH154" s="28">
        <v>9.0671583212907407</v>
      </c>
      <c r="DI154" s="28">
        <v>7.6537904810328197</v>
      </c>
      <c r="DJ154" s="28">
        <v>1.3837232783594899</v>
      </c>
      <c r="DK154" s="28">
        <v>0</v>
      </c>
      <c r="DL154" s="28">
        <v>0.940110658247991</v>
      </c>
      <c r="DM154" s="28">
        <v>0.97535365475944602</v>
      </c>
      <c r="DN154" s="28">
        <v>0.25632591118507397</v>
      </c>
      <c r="DO154" s="28">
        <v>0</v>
      </c>
      <c r="DP154" s="28">
        <v>0</v>
      </c>
      <c r="DQ154" s="28">
        <v>9.6274766901959499</v>
      </c>
      <c r="DR154" s="28">
        <v>36.702093848897</v>
      </c>
      <c r="DS154" s="28">
        <v>1.0580120082701401</v>
      </c>
      <c r="DT154" s="28">
        <v>0</v>
      </c>
      <c r="DU154" s="28">
        <v>11.370096908461599</v>
      </c>
      <c r="DV154" s="28">
        <v>0</v>
      </c>
      <c r="DW154" s="28">
        <v>0</v>
      </c>
      <c r="DX154" s="28">
        <v>15.897973448771999</v>
      </c>
      <c r="DY154" s="28">
        <v>8.7405231504963208</v>
      </c>
      <c r="DZ154" s="28">
        <v>42.1808541979387</v>
      </c>
      <c r="EA154" s="28">
        <v>0</v>
      </c>
      <c r="EB154" s="28">
        <v>0</v>
      </c>
      <c r="EC154" s="28">
        <v>0</v>
      </c>
      <c r="ED154" s="28">
        <v>0.70979029893144796</v>
      </c>
      <c r="EE154" s="28">
        <v>0.55232701851132404</v>
      </c>
      <c r="EF154" s="28">
        <v>3.7886965725811401</v>
      </c>
      <c r="EG154" s="28">
        <v>0</v>
      </c>
      <c r="EH154" s="28">
        <v>0</v>
      </c>
      <c r="EI154" s="28">
        <v>0</v>
      </c>
      <c r="EJ154" s="28">
        <v>0.90465976071813003</v>
      </c>
      <c r="EK154" s="28">
        <v>1.96749576252331</v>
      </c>
      <c r="EL154" s="28">
        <v>0.17564799867638201</v>
      </c>
      <c r="EM154" s="28">
        <v>8.0259684621290101E-2</v>
      </c>
      <c r="EN154" s="28">
        <v>0.12574693929557601</v>
      </c>
      <c r="EO154" s="28">
        <v>29.242722427035002</v>
      </c>
      <c r="EP154" s="28">
        <v>0</v>
      </c>
      <c r="EQ154" s="28">
        <v>0.15864751688343801</v>
      </c>
      <c r="ER154" s="28">
        <v>1.28071407805294</v>
      </c>
      <c r="ES154" s="28">
        <v>11.167908080509401</v>
      </c>
      <c r="ET154" s="28">
        <v>1.3659237632254499</v>
      </c>
      <c r="EU154" s="28">
        <v>9.5053997777810092E-3</v>
      </c>
      <c r="EV154" s="28">
        <v>40.908390589664698</v>
      </c>
      <c r="EW154" s="28">
        <v>0</v>
      </c>
      <c r="EX154" s="28">
        <v>1.70314390407169</v>
      </c>
      <c r="EY154" s="28">
        <v>0.128504353196921</v>
      </c>
      <c r="EZ154" s="28">
        <v>0.31311451195081003</v>
      </c>
      <c r="FA154" s="28">
        <v>23.885978349472101</v>
      </c>
      <c r="FB154" s="28">
        <v>18.7617174675398</v>
      </c>
      <c r="FC154" s="28">
        <v>326.24057707388198</v>
      </c>
      <c r="FD154" s="28">
        <v>257.15205873144902</v>
      </c>
      <c r="FE154" s="28">
        <v>41.142319894997797</v>
      </c>
      <c r="FF154" s="28">
        <v>0</v>
      </c>
      <c r="FG154" s="28">
        <v>484.53545198352998</v>
      </c>
      <c r="FH154" s="28">
        <v>3.3690543406232697E-2</v>
      </c>
      <c r="FI154" s="28">
        <v>65.778824086092101</v>
      </c>
      <c r="FJ154" s="28">
        <v>0</v>
      </c>
      <c r="FK154" s="28">
        <v>0</v>
      </c>
      <c r="FL154" s="28">
        <v>0</v>
      </c>
      <c r="FM154" s="28">
        <v>0.46786549999999999</v>
      </c>
      <c r="FN154" s="28">
        <v>4.6129639271705098</v>
      </c>
      <c r="FO154" s="28">
        <v>0</v>
      </c>
      <c r="FP154" s="28">
        <v>3.9390599244084998</v>
      </c>
      <c r="FQ154" s="28">
        <v>5.9018057673753104</v>
      </c>
      <c r="FR154" s="28">
        <v>10.7763359085247</v>
      </c>
      <c r="FS154" s="28">
        <v>0.12530319757307701</v>
      </c>
      <c r="FT154" s="28">
        <v>206.64889862382</v>
      </c>
      <c r="FU154" s="28">
        <v>34.176474003967499</v>
      </c>
      <c r="FV154" s="28">
        <v>0.90164281402394697</v>
      </c>
      <c r="FW154" s="28">
        <v>0.10502356</v>
      </c>
      <c r="FX154" s="28">
        <v>8.4969814450214791</v>
      </c>
      <c r="FY154" s="28">
        <v>0</v>
      </c>
      <c r="FZ154" s="28">
        <v>0</v>
      </c>
      <c r="GA154" s="28">
        <v>0.49858111696035901</v>
      </c>
      <c r="GB154" s="28">
        <v>0</v>
      </c>
      <c r="GC154" s="28">
        <v>3.6241568242148601</v>
      </c>
      <c r="GD154" s="28">
        <v>64.204115686696397</v>
      </c>
      <c r="GE154" s="28">
        <v>14.423071613088799</v>
      </c>
      <c r="GF154" s="28">
        <v>4.4433747845344698</v>
      </c>
      <c r="GG154" s="28">
        <v>163.1554354852</v>
      </c>
      <c r="GH154" s="28">
        <v>1.8689386321386401</v>
      </c>
      <c r="GI154" s="28">
        <v>2.6756422396248198</v>
      </c>
      <c r="GJ154" s="28">
        <v>11.417958189798799</v>
      </c>
      <c r="GK154" s="28">
        <v>27.552630727149001</v>
      </c>
      <c r="GL154" s="28">
        <v>0.20829774062683801</v>
      </c>
      <c r="GM154" s="28">
        <v>0</v>
      </c>
      <c r="GN154" s="28">
        <v>0</v>
      </c>
      <c r="GO154" s="28">
        <v>0.354685334072744</v>
      </c>
      <c r="GP154" s="28">
        <v>0</v>
      </c>
      <c r="GQ154" s="21">
        <v>3145.7971221370708</v>
      </c>
      <c r="GR154" s="21">
        <v>2691.2194148010499</v>
      </c>
      <c r="GS154" s="20">
        <v>2691.2194148010499</v>
      </c>
      <c r="GT154" s="20">
        <v>0</v>
      </c>
      <c r="GU154" s="20">
        <v>0</v>
      </c>
      <c r="GV154" s="20">
        <v>0</v>
      </c>
      <c r="GW154" s="20">
        <v>0</v>
      </c>
      <c r="GX154" s="21">
        <v>7.9026310466024583</v>
      </c>
      <c r="GY154" s="20">
        <v>0</v>
      </c>
      <c r="GZ154" s="20">
        <v>7.9026310466024583</v>
      </c>
      <c r="HA154" s="20"/>
      <c r="HB154" s="21">
        <v>15.714208308</v>
      </c>
      <c r="HC154" s="21">
        <v>5860.6333762927234</v>
      </c>
    </row>
    <row r="155" spans="2:211" s="7" customFormat="1" ht="17.25" customHeight="1">
      <c r="B155" s="26" t="s">
        <v>600</v>
      </c>
      <c r="C155" s="9" t="s">
        <v>601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1.0406788392983599E-3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0.79386375777684404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10.1034362872433</v>
      </c>
      <c r="AU155" s="28">
        <v>0.107310170309937</v>
      </c>
      <c r="AV155" s="28">
        <v>25.8244006160186</v>
      </c>
      <c r="AW155" s="28">
        <v>246.198295598486</v>
      </c>
      <c r="AX155" s="28">
        <v>261.965313118084</v>
      </c>
      <c r="AY155" s="28">
        <v>0.28573248741297502</v>
      </c>
      <c r="AZ155" s="28">
        <v>55.900627901820499</v>
      </c>
      <c r="BA155" s="28">
        <v>26.297320109975299</v>
      </c>
      <c r="BB155" s="28">
        <v>6.9836416014987304</v>
      </c>
      <c r="BC155" s="28">
        <v>65.448900694660495</v>
      </c>
      <c r="BD155" s="28">
        <v>0</v>
      </c>
      <c r="BE155" s="28">
        <v>0</v>
      </c>
      <c r="BF155" s="28">
        <v>0</v>
      </c>
      <c r="BG155" s="28">
        <v>0</v>
      </c>
      <c r="BH155" s="28">
        <v>0.99299986089657699</v>
      </c>
      <c r="BI155" s="28">
        <v>0.13240513204676099</v>
      </c>
      <c r="BJ155" s="28">
        <v>14.172180576266101</v>
      </c>
      <c r="BK155" s="28">
        <v>0</v>
      </c>
      <c r="BL155" s="28">
        <v>5.3540092803732703E-2</v>
      </c>
      <c r="BM155" s="28">
        <v>4.4736194308474898E-2</v>
      </c>
      <c r="BN155" s="28">
        <v>5.7718408810833198E-2</v>
      </c>
      <c r="BO155" s="28">
        <v>0.105764060527008</v>
      </c>
      <c r="BP155" s="28">
        <v>6.0027533189061595E-4</v>
      </c>
      <c r="BQ155" s="28">
        <v>1.07906786788617</v>
      </c>
      <c r="BR155" s="28">
        <v>3.5776118781081001E-2</v>
      </c>
      <c r="BS155" s="28">
        <v>0</v>
      </c>
      <c r="BT155" s="28">
        <v>0</v>
      </c>
      <c r="BU155" s="28">
        <v>0.154548865687126</v>
      </c>
      <c r="BV155" s="28">
        <v>1.45293439313501</v>
      </c>
      <c r="BW155" s="28">
        <v>0</v>
      </c>
      <c r="BX155" s="28">
        <v>1.9370883494033798E-2</v>
      </c>
      <c r="BY155" s="28">
        <v>0.32659399237435899</v>
      </c>
      <c r="BZ155" s="28">
        <v>0</v>
      </c>
      <c r="CA155" s="28">
        <v>4.06419992402021</v>
      </c>
      <c r="CB155" s="28">
        <v>8.4237192391549094</v>
      </c>
      <c r="CC155" s="28">
        <v>0.46174933627412301</v>
      </c>
      <c r="CD155" s="28">
        <v>6.0665237766800901</v>
      </c>
      <c r="CE155" s="28">
        <v>2.0627714432239399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0.44820411651216502</v>
      </c>
      <c r="CN155" s="28">
        <v>7.5545549392700195E-2</v>
      </c>
      <c r="CO155" s="28">
        <v>0</v>
      </c>
      <c r="CP155" s="28">
        <v>0</v>
      </c>
      <c r="CQ155" s="28">
        <v>0.69359952211380005</v>
      </c>
      <c r="CR155" s="28">
        <v>0</v>
      </c>
      <c r="CS155" s="28">
        <v>0</v>
      </c>
      <c r="CT155" s="28">
        <v>0</v>
      </c>
      <c r="CU155" s="28">
        <v>3.1951588705159</v>
      </c>
      <c r="CV155" s="28">
        <v>0</v>
      </c>
      <c r="CW155" s="28">
        <v>2.1</v>
      </c>
      <c r="CX155" s="28">
        <v>0.33470553903481898</v>
      </c>
      <c r="CY155" s="28">
        <v>3.4666119247905001</v>
      </c>
      <c r="CZ155" s="28">
        <v>0</v>
      </c>
      <c r="DA155" s="28">
        <v>18.219193816297501</v>
      </c>
      <c r="DB155" s="28">
        <v>94.324616992897703</v>
      </c>
      <c r="DC155" s="28">
        <v>16.990687444209001</v>
      </c>
      <c r="DD155" s="28">
        <v>0.11595017704965201</v>
      </c>
      <c r="DE155" s="28">
        <v>0</v>
      </c>
      <c r="DF155" s="28">
        <v>0.87915999489524799</v>
      </c>
      <c r="DG155" s="28">
        <v>20.234864079079099</v>
      </c>
      <c r="DH155" s="28">
        <v>7.3611212817027996</v>
      </c>
      <c r="DI155" s="28">
        <v>9.1770596774354605</v>
      </c>
      <c r="DJ155" s="28">
        <v>25.48203054</v>
      </c>
      <c r="DK155" s="28">
        <v>4.5384949181146004</v>
      </c>
      <c r="DL155" s="28">
        <v>0</v>
      </c>
      <c r="DM155" s="28">
        <v>19.9328534820695</v>
      </c>
      <c r="DN155" s="28">
        <v>0</v>
      </c>
      <c r="DO155" s="28">
        <v>0</v>
      </c>
      <c r="DP155" s="28">
        <v>0</v>
      </c>
      <c r="DQ155" s="28">
        <v>32.332181068625403</v>
      </c>
      <c r="DR155" s="28">
        <v>127.530361822065</v>
      </c>
      <c r="DS155" s="28">
        <v>151.423719045844</v>
      </c>
      <c r="DT155" s="28">
        <v>0</v>
      </c>
      <c r="DU155" s="28">
        <v>66.364851178119807</v>
      </c>
      <c r="DV155" s="28">
        <v>73.739619522442894</v>
      </c>
      <c r="DW155" s="28">
        <v>0</v>
      </c>
      <c r="DX155" s="28">
        <v>0.25593250570048698</v>
      </c>
      <c r="DY155" s="28">
        <v>0</v>
      </c>
      <c r="DZ155" s="28">
        <v>1.4010364992340301</v>
      </c>
      <c r="EA155" s="28">
        <v>0</v>
      </c>
      <c r="EB155" s="28">
        <v>5.29174538291839</v>
      </c>
      <c r="EC155" s="28">
        <v>8.8222255965311205E-2</v>
      </c>
      <c r="ED155" s="28">
        <v>7.8024667747598802</v>
      </c>
      <c r="EE155" s="28">
        <v>6.2657843782947804</v>
      </c>
      <c r="EF155" s="28">
        <v>29.002560902776001</v>
      </c>
      <c r="EG155" s="28">
        <v>0.34125700266035403</v>
      </c>
      <c r="EH155" s="28">
        <v>0.117834112778993</v>
      </c>
      <c r="EI155" s="28">
        <v>5.4882952716503799E-2</v>
      </c>
      <c r="EJ155" s="28">
        <v>5.4337906521335402</v>
      </c>
      <c r="EK155" s="28">
        <v>0</v>
      </c>
      <c r="EL155" s="28">
        <v>4.9322326575388802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1.2451040604951</v>
      </c>
      <c r="ES155" s="28">
        <v>8.2721910079394707</v>
      </c>
      <c r="ET155" s="28">
        <v>4.8525758010192401E-3</v>
      </c>
      <c r="EU155" s="28">
        <v>0</v>
      </c>
      <c r="EV155" s="28">
        <v>8.8957364999321609</v>
      </c>
      <c r="EW155" s="28">
        <v>0</v>
      </c>
      <c r="EX155" s="28">
        <v>0</v>
      </c>
      <c r="EY155" s="28">
        <v>0</v>
      </c>
      <c r="EZ155" s="28">
        <v>0</v>
      </c>
      <c r="FA155" s="28">
        <v>0</v>
      </c>
      <c r="FB155" s="28">
        <v>0</v>
      </c>
      <c r="FC155" s="28">
        <v>75.602085931183694</v>
      </c>
      <c r="FD155" s="28">
        <v>17.055907562649701</v>
      </c>
      <c r="FE155" s="28">
        <v>8.3277761337584693</v>
      </c>
      <c r="FF155" s="28">
        <v>0</v>
      </c>
      <c r="FG155" s="28">
        <v>62.2377076082917</v>
      </c>
      <c r="FH155" s="28">
        <v>0.22643452289343499</v>
      </c>
      <c r="FI155" s="28">
        <v>0</v>
      </c>
      <c r="FJ155" s="28">
        <v>0</v>
      </c>
      <c r="FK155" s="28">
        <v>0</v>
      </c>
      <c r="FL155" s="28">
        <v>0</v>
      </c>
      <c r="FM155" s="28">
        <v>0</v>
      </c>
      <c r="FN155" s="28">
        <v>0</v>
      </c>
      <c r="FO155" s="28">
        <v>0</v>
      </c>
      <c r="FP155" s="28">
        <v>0</v>
      </c>
      <c r="FQ155" s="28">
        <v>0</v>
      </c>
      <c r="FR155" s="28">
        <v>0</v>
      </c>
      <c r="FS155" s="28">
        <v>0</v>
      </c>
      <c r="FT155" s="28">
        <v>5.44379966952686</v>
      </c>
      <c r="FU155" s="28">
        <v>0</v>
      </c>
      <c r="FV155" s="28">
        <v>0</v>
      </c>
      <c r="FW155" s="28">
        <v>2.8146600000000001E-2</v>
      </c>
      <c r="FX155" s="28">
        <v>0</v>
      </c>
      <c r="FY155" s="28">
        <v>0</v>
      </c>
      <c r="FZ155" s="28">
        <v>0</v>
      </c>
      <c r="GA155" s="28">
        <v>1.7393054152940499</v>
      </c>
      <c r="GB155" s="28">
        <v>0</v>
      </c>
      <c r="GC155" s="28">
        <v>0</v>
      </c>
      <c r="GD155" s="28">
        <v>0</v>
      </c>
      <c r="GE155" s="28">
        <v>0.134711156368371</v>
      </c>
      <c r="GF155" s="28">
        <v>25.235011449398399</v>
      </c>
      <c r="GG155" s="28">
        <v>3.2787278961498298</v>
      </c>
      <c r="GH155" s="28">
        <v>3.3253207626243002</v>
      </c>
      <c r="GI155" s="28">
        <v>0</v>
      </c>
      <c r="GJ155" s="28">
        <v>0</v>
      </c>
      <c r="GK155" s="28">
        <v>3.7998642570949599</v>
      </c>
      <c r="GL155" s="28">
        <v>0</v>
      </c>
      <c r="GM155" s="28">
        <v>0</v>
      </c>
      <c r="GN155" s="28">
        <v>0</v>
      </c>
      <c r="GO155" s="28">
        <v>0</v>
      </c>
      <c r="GP155" s="28">
        <v>0</v>
      </c>
      <c r="GQ155" s="21">
        <v>1704.4181032139149</v>
      </c>
      <c r="GR155" s="21">
        <v>379.35613845142802</v>
      </c>
      <c r="GS155" s="20">
        <v>379.35613845142802</v>
      </c>
      <c r="GT155" s="20">
        <v>0</v>
      </c>
      <c r="GU155" s="20">
        <v>0</v>
      </c>
      <c r="GV155" s="20">
        <v>0</v>
      </c>
      <c r="GW155" s="20">
        <v>0</v>
      </c>
      <c r="GX155" s="21">
        <v>11.926631853794564</v>
      </c>
      <c r="GY155" s="20">
        <v>0</v>
      </c>
      <c r="GZ155" s="20">
        <v>11.926631853794564</v>
      </c>
      <c r="HA155" s="20"/>
      <c r="HB155" s="21">
        <v>68.350994104799994</v>
      </c>
      <c r="HC155" s="21">
        <v>2164.0518676239376</v>
      </c>
    </row>
    <row r="156" spans="2:211" s="7" customFormat="1" ht="17.25" customHeight="1">
      <c r="B156" s="26" t="s">
        <v>602</v>
      </c>
      <c r="C156" s="10" t="s">
        <v>603</v>
      </c>
      <c r="D156" s="28">
        <v>0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  <c r="EU156" s="28">
        <v>0</v>
      </c>
      <c r="EV156" s="28">
        <v>0</v>
      </c>
      <c r="EW156" s="28">
        <v>0</v>
      </c>
      <c r="EX156" s="28">
        <v>0</v>
      </c>
      <c r="EY156" s="28">
        <v>0</v>
      </c>
      <c r="EZ156" s="28">
        <v>0</v>
      </c>
      <c r="FA156" s="28">
        <v>0</v>
      </c>
      <c r="FB156" s="28">
        <v>0</v>
      </c>
      <c r="FC156" s="28">
        <v>0</v>
      </c>
      <c r="FD156" s="28">
        <v>0</v>
      </c>
      <c r="FE156" s="28">
        <v>0</v>
      </c>
      <c r="FF156" s="28">
        <v>0</v>
      </c>
      <c r="FG156" s="28">
        <v>0</v>
      </c>
      <c r="FH156" s="28">
        <v>0</v>
      </c>
      <c r="FI156" s="28">
        <v>0</v>
      </c>
      <c r="FJ156" s="28">
        <v>0</v>
      </c>
      <c r="FK156" s="28">
        <v>0</v>
      </c>
      <c r="FL156" s="28">
        <v>0</v>
      </c>
      <c r="FM156" s="28">
        <v>0</v>
      </c>
      <c r="FN156" s="28">
        <v>0</v>
      </c>
      <c r="FO156" s="28">
        <v>0</v>
      </c>
      <c r="FP156" s="28">
        <v>0</v>
      </c>
      <c r="FQ156" s="28">
        <v>0</v>
      </c>
      <c r="FR156" s="28">
        <v>0</v>
      </c>
      <c r="FS156" s="28">
        <v>0</v>
      </c>
      <c r="FT156" s="28">
        <v>0</v>
      </c>
      <c r="FU156" s="28">
        <v>0</v>
      </c>
      <c r="FV156" s="28">
        <v>0</v>
      </c>
      <c r="FW156" s="28">
        <v>0</v>
      </c>
      <c r="FX156" s="28">
        <v>0</v>
      </c>
      <c r="FY156" s="28">
        <v>0</v>
      </c>
      <c r="FZ156" s="28">
        <v>0</v>
      </c>
      <c r="GA156" s="28">
        <v>0</v>
      </c>
      <c r="GB156" s="28">
        <v>0</v>
      </c>
      <c r="GC156" s="28">
        <v>0</v>
      </c>
      <c r="GD156" s="28">
        <v>0</v>
      </c>
      <c r="GE156" s="28">
        <v>0</v>
      </c>
      <c r="GF156" s="28">
        <v>0</v>
      </c>
      <c r="GG156" s="28">
        <v>0</v>
      </c>
      <c r="GH156" s="28">
        <v>0</v>
      </c>
      <c r="GI156" s="28">
        <v>0</v>
      </c>
      <c r="GJ156" s="28">
        <v>0</v>
      </c>
      <c r="GK156" s="28">
        <v>0</v>
      </c>
      <c r="GL156" s="28">
        <v>0</v>
      </c>
      <c r="GM156" s="28">
        <v>0</v>
      </c>
      <c r="GN156" s="28">
        <v>0</v>
      </c>
      <c r="GO156" s="28">
        <v>0</v>
      </c>
      <c r="GP156" s="28">
        <v>0</v>
      </c>
      <c r="GQ156" s="21">
        <v>0</v>
      </c>
      <c r="GR156" s="21">
        <v>0</v>
      </c>
      <c r="GS156" s="20">
        <v>0</v>
      </c>
      <c r="GT156" s="20">
        <v>0</v>
      </c>
      <c r="GU156" s="20">
        <v>0</v>
      </c>
      <c r="GV156" s="20">
        <v>0</v>
      </c>
      <c r="GW156" s="20">
        <v>0</v>
      </c>
      <c r="GX156" s="21">
        <v>0</v>
      </c>
      <c r="GY156" s="20">
        <v>0</v>
      </c>
      <c r="GZ156" s="20">
        <v>0</v>
      </c>
      <c r="HA156" s="20"/>
      <c r="HB156" s="21">
        <v>0</v>
      </c>
      <c r="HC156" s="21">
        <v>0</v>
      </c>
    </row>
    <row r="157" spans="2:211" s="7" customFormat="1" ht="17.25" customHeight="1">
      <c r="B157" s="26" t="s">
        <v>134</v>
      </c>
      <c r="C157" s="10" t="s">
        <v>604</v>
      </c>
      <c r="D157" s="28">
        <v>0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0.21201977103993599</v>
      </c>
      <c r="Q157" s="28">
        <v>0</v>
      </c>
      <c r="R157" s="28">
        <v>0</v>
      </c>
      <c r="S157" s="28">
        <v>5.3952815233305603E-3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1.9904196156692502E-2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0.35391322879985698</v>
      </c>
      <c r="AU157" s="28">
        <v>1.10463751795637E-2</v>
      </c>
      <c r="AV157" s="28">
        <v>3.5600721601247098</v>
      </c>
      <c r="AW157" s="28">
        <v>0.13323664258040399</v>
      </c>
      <c r="AX157" s="28">
        <v>4.49592262119934E-2</v>
      </c>
      <c r="AY157" s="28">
        <v>7.0725601744857203E-2</v>
      </c>
      <c r="AZ157" s="28">
        <v>0.39383858442240199</v>
      </c>
      <c r="BA157" s="28">
        <v>0.157542230874817</v>
      </c>
      <c r="BB157" s="28">
        <v>6.4354825741733804E-2</v>
      </c>
      <c r="BC157" s="28">
        <v>0.21423652719974901</v>
      </c>
      <c r="BD157" s="28">
        <v>1.88082112930305E-3</v>
      </c>
      <c r="BE157" s="28">
        <v>0</v>
      </c>
      <c r="BF157" s="28">
        <v>0</v>
      </c>
      <c r="BG157" s="28">
        <v>0</v>
      </c>
      <c r="BH157" s="28">
        <v>0.78800448995817995</v>
      </c>
      <c r="BI157" s="28">
        <v>5.7901518884697599E-2</v>
      </c>
      <c r="BJ157" s="28">
        <v>7.8121047180083003E-2</v>
      </c>
      <c r="BK157" s="28">
        <v>0</v>
      </c>
      <c r="BL157" s="28">
        <v>3.9996353912669799E-2</v>
      </c>
      <c r="BM157" s="28">
        <v>3.00503147034176E-2</v>
      </c>
      <c r="BN157" s="28">
        <v>3.1249200629467701E-2</v>
      </c>
      <c r="BO157" s="28">
        <v>7.7964834477881398E-2</v>
      </c>
      <c r="BP157" s="28">
        <v>5.8982750174694999E-4</v>
      </c>
      <c r="BQ157" s="28">
        <v>1.18959549638582E-2</v>
      </c>
      <c r="BR157" s="28">
        <v>3.28834925185887E-2</v>
      </c>
      <c r="BS157" s="28">
        <v>0</v>
      </c>
      <c r="BT157" s="28">
        <v>0</v>
      </c>
      <c r="BU157" s="28">
        <v>0</v>
      </c>
      <c r="BV157" s="28">
        <v>0.30691487578847498</v>
      </c>
      <c r="BW157" s="28">
        <v>0</v>
      </c>
      <c r="BX157" s="28">
        <v>6.6572111329232502E-3</v>
      </c>
      <c r="BY157" s="28">
        <v>0.22793392749295799</v>
      </c>
      <c r="BZ157" s="28">
        <v>1.5752841051877301E-2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27.760705947876001</v>
      </c>
      <c r="CJ157" s="28">
        <v>0</v>
      </c>
      <c r="CK157" s="28">
        <v>0</v>
      </c>
      <c r="CL157" s="28">
        <v>0</v>
      </c>
      <c r="CM157" s="28">
        <v>16.945423570520799</v>
      </c>
      <c r="CN157" s="28">
        <v>15.6772012710571</v>
      </c>
      <c r="CO157" s="28">
        <v>13.640627102658399</v>
      </c>
      <c r="CP157" s="28">
        <v>30.089992887710899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0.36809388755269801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4.1360093659088299</v>
      </c>
      <c r="DS157" s="28">
        <v>3.012</v>
      </c>
      <c r="DT157" s="28">
        <v>0</v>
      </c>
      <c r="DU157" s="28">
        <v>1.71090621291211</v>
      </c>
      <c r="DV157" s="28">
        <v>0</v>
      </c>
      <c r="DW157" s="28">
        <v>0</v>
      </c>
      <c r="DX157" s="28">
        <v>204.220579502455</v>
      </c>
      <c r="DY157" s="28">
        <v>0</v>
      </c>
      <c r="DZ157" s="28">
        <v>0</v>
      </c>
      <c r="EA157" s="28">
        <v>0</v>
      </c>
      <c r="EB157" s="28">
        <v>0</v>
      </c>
      <c r="EC157" s="28">
        <v>7.6672474759937497E-4</v>
      </c>
      <c r="ED157" s="28">
        <v>1.57369902551957</v>
      </c>
      <c r="EE157" s="28">
        <v>4.9497145417820999E-2</v>
      </c>
      <c r="EF157" s="28">
        <v>0.79118043294807705</v>
      </c>
      <c r="EG157" s="28">
        <v>3.4157323420950299E-2</v>
      </c>
      <c r="EH157" s="28">
        <v>1.17943305744225E-2</v>
      </c>
      <c r="EI157" s="28">
        <v>5.5945637175082597E-3</v>
      </c>
      <c r="EJ157" s="28">
        <v>0.76125467904591404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13.8661650684372</v>
      </c>
      <c r="ER157" s="28">
        <v>0.47931982185382899</v>
      </c>
      <c r="ES157" s="28">
        <v>11.794597727515299</v>
      </c>
      <c r="ET157" s="28">
        <v>0</v>
      </c>
      <c r="EU157" s="28">
        <v>0</v>
      </c>
      <c r="EV157" s="28">
        <v>12.616504712651199</v>
      </c>
      <c r="EW157" s="28">
        <v>0</v>
      </c>
      <c r="EX157" s="28">
        <v>0</v>
      </c>
      <c r="EY157" s="28">
        <v>0</v>
      </c>
      <c r="EZ157" s="28">
        <v>0</v>
      </c>
      <c r="FA157" s="28">
        <v>0</v>
      </c>
      <c r="FB157" s="28">
        <v>0</v>
      </c>
      <c r="FC157" s="28">
        <v>230.87494317842999</v>
      </c>
      <c r="FD157" s="28">
        <v>94.748950881789298</v>
      </c>
      <c r="FE157" s="28">
        <v>56.067308240606799</v>
      </c>
      <c r="FF157" s="28">
        <v>0</v>
      </c>
      <c r="FG157" s="28">
        <v>31.225324969316102</v>
      </c>
      <c r="FH157" s="28">
        <v>0.10287602748687601</v>
      </c>
      <c r="FI157" s="28">
        <v>23.871273056845698</v>
      </c>
      <c r="FJ157" s="28">
        <v>0</v>
      </c>
      <c r="FK157" s="28">
        <v>0</v>
      </c>
      <c r="FL157" s="28">
        <v>0</v>
      </c>
      <c r="FM157" s="28">
        <v>0</v>
      </c>
      <c r="FN157" s="28">
        <v>0</v>
      </c>
      <c r="FO157" s="28">
        <v>0</v>
      </c>
      <c r="FP157" s="28">
        <v>0</v>
      </c>
      <c r="FQ157" s="28">
        <v>0</v>
      </c>
      <c r="FR157" s="28">
        <v>0</v>
      </c>
      <c r="FS157" s="28">
        <v>4.5562087213841904</v>
      </c>
      <c r="FT157" s="28">
        <v>23.807856955430001</v>
      </c>
      <c r="FU157" s="28">
        <v>17.709107370120101</v>
      </c>
      <c r="FV157" s="28">
        <v>0</v>
      </c>
      <c r="FW157" s="28">
        <v>3.7470000000000003E-2</v>
      </c>
      <c r="FX157" s="28">
        <v>8.4962972954264409</v>
      </c>
      <c r="FY157" s="28">
        <v>0</v>
      </c>
      <c r="FZ157" s="28">
        <v>0</v>
      </c>
      <c r="GA157" s="28">
        <v>1.04897905242895</v>
      </c>
      <c r="GB157" s="28">
        <v>0</v>
      </c>
      <c r="GC157" s="28">
        <v>0</v>
      </c>
      <c r="GD157" s="28">
        <v>0</v>
      </c>
      <c r="GE157" s="28">
        <v>1.9216595776612899</v>
      </c>
      <c r="GF157" s="28">
        <v>17.658221175734202</v>
      </c>
      <c r="GG157" s="28">
        <v>5.0540000000000003</v>
      </c>
      <c r="GH157" s="28">
        <v>13.575824263576999</v>
      </c>
      <c r="GI157" s="28">
        <v>8.1618944374057705</v>
      </c>
      <c r="GJ157" s="28">
        <v>0.12988340766067299</v>
      </c>
      <c r="GK157" s="28">
        <v>3.2236124338269101</v>
      </c>
      <c r="GL157" s="28">
        <v>0</v>
      </c>
      <c r="GM157" s="28">
        <v>207.64749924121699</v>
      </c>
      <c r="GN157" s="28">
        <v>0</v>
      </c>
      <c r="GO157" s="28">
        <v>0</v>
      </c>
      <c r="GP157" s="28">
        <v>0</v>
      </c>
      <c r="GQ157" s="21">
        <v>1116.4143029537752</v>
      </c>
      <c r="GR157" s="21">
        <v>24.4584360213981</v>
      </c>
      <c r="GS157" s="20">
        <v>24.4584360213981</v>
      </c>
      <c r="GT157" s="20">
        <v>0</v>
      </c>
      <c r="GU157" s="20">
        <v>0</v>
      </c>
      <c r="GV157" s="20">
        <v>0</v>
      </c>
      <c r="GW157" s="20">
        <v>0</v>
      </c>
      <c r="GX157" s="21">
        <v>31.163695444855474</v>
      </c>
      <c r="GY157" s="20">
        <v>0</v>
      </c>
      <c r="GZ157" s="20">
        <v>31.163695444855474</v>
      </c>
      <c r="HA157" s="20"/>
      <c r="HB157" s="21">
        <v>2.0684910048191498</v>
      </c>
      <c r="HC157" s="21">
        <v>1174.1049254248478</v>
      </c>
    </row>
    <row r="158" spans="2:211" s="7" customFormat="1" ht="17.25" customHeight="1">
      <c r="B158" s="26" t="s">
        <v>135</v>
      </c>
      <c r="C158" s="10" t="s">
        <v>605</v>
      </c>
      <c r="D158" s="28">
        <v>0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1.2026005235217701E-3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2.07030098667144E-2</v>
      </c>
      <c r="AU158" s="28">
        <v>0</v>
      </c>
      <c r="AV158" s="28">
        <v>4.98433759550449E-2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7.3536355135075407E-2</v>
      </c>
      <c r="CV158" s="28">
        <v>0</v>
      </c>
      <c r="CW158" s="28">
        <v>0</v>
      </c>
      <c r="CX158" s="28">
        <v>0.56300871054011303</v>
      </c>
      <c r="CY158" s="28">
        <v>0</v>
      </c>
      <c r="CZ158" s="28">
        <v>0</v>
      </c>
      <c r="DA158" s="28">
        <v>3.8292807768105203E-2</v>
      </c>
      <c r="DB158" s="28">
        <v>0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0.102342972039871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0.33603469405940301</v>
      </c>
      <c r="EK158" s="28">
        <v>0.20502706993794001</v>
      </c>
      <c r="EL158" s="28">
        <v>0.32821168257029498</v>
      </c>
      <c r="EM158" s="28">
        <v>1.0096420658456701E-2</v>
      </c>
      <c r="EN158" s="28">
        <v>0</v>
      </c>
      <c r="EO158" s="28">
        <v>0</v>
      </c>
      <c r="EP158" s="28">
        <v>0</v>
      </c>
      <c r="EQ158" s="28">
        <v>0</v>
      </c>
      <c r="ER158" s="28">
        <v>2.3066979726799599</v>
      </c>
      <c r="ES158" s="28">
        <v>1.0739110145200701</v>
      </c>
      <c r="ET158" s="28">
        <v>0</v>
      </c>
      <c r="EU158" s="28">
        <v>0</v>
      </c>
      <c r="EV158" s="28">
        <v>0</v>
      </c>
      <c r="EW158" s="28">
        <v>0</v>
      </c>
      <c r="EX158" s="28">
        <v>0</v>
      </c>
      <c r="EY158" s="28">
        <v>0</v>
      </c>
      <c r="EZ158" s="28">
        <v>0.113536</v>
      </c>
      <c r="FA158" s="28">
        <v>3.6425330126299599E-3</v>
      </c>
      <c r="FB158" s="28">
        <v>6.1423086159947602E-4</v>
      </c>
      <c r="FC158" s="28">
        <v>691.52811393329</v>
      </c>
      <c r="FD158" s="28">
        <v>423.96226693429003</v>
      </c>
      <c r="FE158" s="28">
        <v>100.58427133458</v>
      </c>
      <c r="FF158" s="28">
        <v>0</v>
      </c>
      <c r="FG158" s="28">
        <v>213.15310180211301</v>
      </c>
      <c r="FH158" s="28">
        <v>4.3458665735743501E-2</v>
      </c>
      <c r="FI158" s="28">
        <v>0</v>
      </c>
      <c r="FJ158" s="28">
        <v>0</v>
      </c>
      <c r="FK158" s="28">
        <v>0</v>
      </c>
      <c r="FL158" s="28">
        <v>0</v>
      </c>
      <c r="FM158" s="28">
        <v>0</v>
      </c>
      <c r="FN158" s="28">
        <v>0</v>
      </c>
      <c r="FO158" s="28">
        <v>0</v>
      </c>
      <c r="FP158" s="28">
        <v>0</v>
      </c>
      <c r="FQ158" s="28">
        <v>0</v>
      </c>
      <c r="FR158" s="28">
        <v>0</v>
      </c>
      <c r="FS158" s="28">
        <v>5.7142713382230603</v>
      </c>
      <c r="FT158" s="28">
        <v>0.75376049255176303</v>
      </c>
      <c r="FU158" s="28">
        <v>0</v>
      </c>
      <c r="FV158" s="28">
        <v>0</v>
      </c>
      <c r="FW158" s="28">
        <v>9.8700000000000003E-3</v>
      </c>
      <c r="FX158" s="28">
        <v>0</v>
      </c>
      <c r="FY158" s="28">
        <v>0</v>
      </c>
      <c r="FZ158" s="28">
        <v>0</v>
      </c>
      <c r="GA158" s="28">
        <v>1.93684581818622</v>
      </c>
      <c r="GB158" s="28">
        <v>0</v>
      </c>
      <c r="GC158" s="28">
        <v>0</v>
      </c>
      <c r="GD158" s="28">
        <v>0</v>
      </c>
      <c r="GE158" s="28">
        <v>1.3338733003968701E-2</v>
      </c>
      <c r="GF158" s="28">
        <v>0</v>
      </c>
      <c r="GG158" s="28">
        <v>61.280999999999999</v>
      </c>
      <c r="GH158" s="28">
        <v>4.9850846349631404</v>
      </c>
      <c r="GI158" s="28">
        <v>6.1442484758258296</v>
      </c>
      <c r="GJ158" s="28">
        <v>0</v>
      </c>
      <c r="GK158" s="28">
        <v>2.3606850434391999</v>
      </c>
      <c r="GL158" s="28">
        <v>0</v>
      </c>
      <c r="GM158" s="28">
        <v>0</v>
      </c>
      <c r="GN158" s="28">
        <v>0</v>
      </c>
      <c r="GO158" s="28">
        <v>0</v>
      </c>
      <c r="GP158" s="28">
        <v>0</v>
      </c>
      <c r="GQ158" s="21">
        <v>1517.697018656331</v>
      </c>
      <c r="GR158" s="21">
        <v>428.84336458480198</v>
      </c>
      <c r="GS158" s="20">
        <v>428.84336458480198</v>
      </c>
      <c r="GT158" s="20">
        <v>0</v>
      </c>
      <c r="GU158" s="20">
        <v>0</v>
      </c>
      <c r="GV158" s="20">
        <v>0</v>
      </c>
      <c r="GW158" s="20">
        <v>0</v>
      </c>
      <c r="GX158" s="21">
        <v>-38.969050105868469</v>
      </c>
      <c r="GY158" s="20">
        <v>0</v>
      </c>
      <c r="GZ158" s="20">
        <v>-38.969050105868469</v>
      </c>
      <c r="HA158" s="20"/>
      <c r="HB158" s="21">
        <v>29.963608465746699</v>
      </c>
      <c r="HC158" s="21">
        <v>1937.5349416010113</v>
      </c>
    </row>
    <row r="159" spans="2:211" s="7" customFormat="1" ht="17.25" customHeight="1">
      <c r="B159" s="26" t="s">
        <v>140</v>
      </c>
      <c r="C159" s="9" t="s">
        <v>606</v>
      </c>
      <c r="D159" s="28">
        <v>0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3.6443381286172198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1.2700416972300801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8.9219736369523996</v>
      </c>
      <c r="AU159" s="28">
        <v>0</v>
      </c>
      <c r="AV159" s="28">
        <v>19.877920902215301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0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0</v>
      </c>
      <c r="DI159" s="28">
        <v>0</v>
      </c>
      <c r="DJ159" s="28">
        <v>0</v>
      </c>
      <c r="DK159" s="28">
        <v>0</v>
      </c>
      <c r="DL159" s="28">
        <v>0</v>
      </c>
      <c r="DM159" s="28">
        <v>0</v>
      </c>
      <c r="DN159" s="28">
        <v>0</v>
      </c>
      <c r="DO159" s="28">
        <v>0</v>
      </c>
      <c r="DP159" s="28">
        <v>0</v>
      </c>
      <c r="DQ159" s="28">
        <v>0.75555929984178505</v>
      </c>
      <c r="DR159" s="28">
        <v>0</v>
      </c>
      <c r="DS159" s="28">
        <v>0</v>
      </c>
      <c r="DT159" s="28">
        <v>0</v>
      </c>
      <c r="DU159" s="28">
        <v>0</v>
      </c>
      <c r="DV159" s="28">
        <v>0</v>
      </c>
      <c r="DW159" s="28">
        <v>0</v>
      </c>
      <c r="DX159" s="28">
        <v>0</v>
      </c>
      <c r="DY159" s="28">
        <v>65.447645783572895</v>
      </c>
      <c r="DZ159" s="28">
        <v>4.875E-3</v>
      </c>
      <c r="EA159" s="28">
        <v>0</v>
      </c>
      <c r="EB159" s="28">
        <v>0</v>
      </c>
      <c r="EC159" s="28">
        <v>551.30844356167199</v>
      </c>
      <c r="ED159" s="28">
        <v>0</v>
      </c>
      <c r="EE159" s="28">
        <v>0</v>
      </c>
      <c r="EF159" s="28">
        <v>0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0</v>
      </c>
      <c r="EU159" s="28">
        <v>0</v>
      </c>
      <c r="EV159" s="28">
        <v>0</v>
      </c>
      <c r="EW159" s="28">
        <v>0</v>
      </c>
      <c r="EX159" s="28">
        <v>0</v>
      </c>
      <c r="EY159" s="28">
        <v>0</v>
      </c>
      <c r="EZ159" s="28">
        <v>0</v>
      </c>
      <c r="FA159" s="28">
        <v>0</v>
      </c>
      <c r="FB159" s="28">
        <v>0</v>
      </c>
      <c r="FC159" s="28">
        <v>813.24281654419599</v>
      </c>
      <c r="FD159" s="28">
        <v>491.15883509947201</v>
      </c>
      <c r="FE159" s="28">
        <v>324.29763034379999</v>
      </c>
      <c r="FF159" s="28">
        <v>0</v>
      </c>
      <c r="FG159" s="28">
        <v>1438.52348967787</v>
      </c>
      <c r="FH159" s="28">
        <v>49.2871917722738</v>
      </c>
      <c r="FI159" s="28">
        <v>0</v>
      </c>
      <c r="FJ159" s="28">
        <v>0</v>
      </c>
      <c r="FK159" s="28">
        <v>0</v>
      </c>
      <c r="FL159" s="28">
        <v>0</v>
      </c>
      <c r="FM159" s="28">
        <v>0</v>
      </c>
      <c r="FN159" s="28">
        <v>0</v>
      </c>
      <c r="FO159" s="28">
        <v>0</v>
      </c>
      <c r="FP159" s="28">
        <v>0</v>
      </c>
      <c r="FQ159" s="28">
        <v>0</v>
      </c>
      <c r="FR159" s="28">
        <v>0</v>
      </c>
      <c r="FS159" s="28">
        <v>0</v>
      </c>
      <c r="FT159" s="28">
        <v>0</v>
      </c>
      <c r="FU159" s="28">
        <v>0</v>
      </c>
      <c r="FV159" s="28">
        <v>0</v>
      </c>
      <c r="FW159" s="28">
        <v>0</v>
      </c>
      <c r="FX159" s="28">
        <v>0</v>
      </c>
      <c r="FY159" s="28">
        <v>0</v>
      </c>
      <c r="FZ159" s="28">
        <v>0</v>
      </c>
      <c r="GA159" s="28">
        <v>0.60278250754108198</v>
      </c>
      <c r="GB159" s="28">
        <v>0</v>
      </c>
      <c r="GC159" s="28">
        <v>0</v>
      </c>
      <c r="GD159" s="28">
        <v>0</v>
      </c>
      <c r="GE159" s="28">
        <v>0</v>
      </c>
      <c r="GF159" s="28">
        <v>0</v>
      </c>
      <c r="GG159" s="28">
        <v>113.233491531</v>
      </c>
      <c r="GH159" s="28">
        <v>6.5115612677665098</v>
      </c>
      <c r="GI159" s="28">
        <v>6.5488619055699502</v>
      </c>
      <c r="GJ159" s="28">
        <v>0</v>
      </c>
      <c r="GK159" s="28">
        <v>4.8092234197474397</v>
      </c>
      <c r="GL159" s="28">
        <v>0</v>
      </c>
      <c r="GM159" s="28">
        <v>0</v>
      </c>
      <c r="GN159" s="28">
        <v>0</v>
      </c>
      <c r="GO159" s="28">
        <v>0</v>
      </c>
      <c r="GP159" s="28">
        <v>0</v>
      </c>
      <c r="GQ159" s="21">
        <v>3899.4466820793355</v>
      </c>
      <c r="GR159" s="21">
        <v>0</v>
      </c>
      <c r="GS159" s="20">
        <v>0</v>
      </c>
      <c r="GT159" s="20">
        <v>0</v>
      </c>
      <c r="GU159" s="20">
        <v>0</v>
      </c>
      <c r="GV159" s="20">
        <v>0</v>
      </c>
      <c r="GW159" s="20">
        <v>0</v>
      </c>
      <c r="GX159" s="21">
        <v>-11.451630275542859</v>
      </c>
      <c r="GY159" s="20">
        <v>0</v>
      </c>
      <c r="GZ159" s="20">
        <v>-11.451630275542859</v>
      </c>
      <c r="HA159" s="20"/>
      <c r="HB159" s="21">
        <v>1.95230610445621</v>
      </c>
      <c r="HC159" s="21">
        <v>3889.9473579082487</v>
      </c>
    </row>
    <row r="160" spans="2:211" s="7" customFormat="1" ht="17.25" customHeight="1">
      <c r="B160" s="26" t="s">
        <v>607</v>
      </c>
      <c r="C160" s="10" t="s">
        <v>608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0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1.0421419999999999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0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0</v>
      </c>
      <c r="ET160" s="28">
        <v>0</v>
      </c>
      <c r="EU160" s="28">
        <v>0</v>
      </c>
      <c r="EV160" s="28">
        <v>0</v>
      </c>
      <c r="EW160" s="28">
        <v>0</v>
      </c>
      <c r="EX160" s="28">
        <v>0</v>
      </c>
      <c r="EY160" s="28">
        <v>0</v>
      </c>
      <c r="EZ160" s="28">
        <v>0</v>
      </c>
      <c r="FA160" s="28">
        <v>0</v>
      </c>
      <c r="FB160" s="28">
        <v>0</v>
      </c>
      <c r="FC160" s="28">
        <v>0</v>
      </c>
      <c r="FD160" s="28">
        <v>0</v>
      </c>
      <c r="FE160" s="28">
        <v>0</v>
      </c>
      <c r="FF160" s="28">
        <v>0</v>
      </c>
      <c r="FG160" s="28">
        <v>0</v>
      </c>
      <c r="FH160" s="28">
        <v>0</v>
      </c>
      <c r="FI160" s="28">
        <v>0</v>
      </c>
      <c r="FJ160" s="28">
        <v>0</v>
      </c>
      <c r="FK160" s="28">
        <v>0</v>
      </c>
      <c r="FL160" s="28">
        <v>0</v>
      </c>
      <c r="FM160" s="28">
        <v>0</v>
      </c>
      <c r="FN160" s="28">
        <v>0</v>
      </c>
      <c r="FO160" s="28">
        <v>0</v>
      </c>
      <c r="FP160" s="28">
        <v>0</v>
      </c>
      <c r="FQ160" s="28">
        <v>0</v>
      </c>
      <c r="FR160" s="28">
        <v>0</v>
      </c>
      <c r="FS160" s="28">
        <v>0</v>
      </c>
      <c r="FT160" s="28">
        <v>0</v>
      </c>
      <c r="FU160" s="28">
        <v>0</v>
      </c>
      <c r="FV160" s="28">
        <v>0</v>
      </c>
      <c r="FW160" s="28">
        <v>0</v>
      </c>
      <c r="FX160" s="28">
        <v>0</v>
      </c>
      <c r="FY160" s="28">
        <v>0</v>
      </c>
      <c r="FZ160" s="28">
        <v>0</v>
      </c>
      <c r="GA160" s="28">
        <v>0</v>
      </c>
      <c r="GB160" s="28">
        <v>0</v>
      </c>
      <c r="GC160" s="28">
        <v>0</v>
      </c>
      <c r="GD160" s="28">
        <v>0</v>
      </c>
      <c r="GE160" s="28">
        <v>0</v>
      </c>
      <c r="GF160" s="28">
        <v>0</v>
      </c>
      <c r="GG160" s="28">
        <v>0</v>
      </c>
      <c r="GH160" s="28">
        <v>0</v>
      </c>
      <c r="GI160" s="28">
        <v>0</v>
      </c>
      <c r="GJ160" s="28">
        <v>0</v>
      </c>
      <c r="GK160" s="28">
        <v>0</v>
      </c>
      <c r="GL160" s="28">
        <v>0</v>
      </c>
      <c r="GM160" s="28">
        <v>0</v>
      </c>
      <c r="GN160" s="28">
        <v>0</v>
      </c>
      <c r="GO160" s="28">
        <v>0</v>
      </c>
      <c r="GP160" s="28">
        <v>0</v>
      </c>
      <c r="GQ160" s="21">
        <v>1.0421419999999999</v>
      </c>
      <c r="GR160" s="21">
        <v>0</v>
      </c>
      <c r="GS160" s="20">
        <v>0</v>
      </c>
      <c r="GT160" s="20">
        <v>0</v>
      </c>
      <c r="GU160" s="20">
        <v>0</v>
      </c>
      <c r="GV160" s="20">
        <v>0</v>
      </c>
      <c r="GW160" s="20">
        <v>0</v>
      </c>
      <c r="GX160" s="21">
        <v>1.0322283513153092</v>
      </c>
      <c r="GY160" s="20">
        <v>0</v>
      </c>
      <c r="GZ160" s="20">
        <v>1.0322283513153092</v>
      </c>
      <c r="HA160" s="20"/>
      <c r="HB160" s="21">
        <v>71.482495142399998</v>
      </c>
      <c r="HC160" s="21">
        <v>73.556865493715307</v>
      </c>
    </row>
    <row r="161" spans="2:211" s="7" customFormat="1" ht="17.25" customHeight="1">
      <c r="B161" s="26" t="s">
        <v>609</v>
      </c>
      <c r="C161" s="10" t="s">
        <v>610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2.2189723926495E-2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4.3152819192641099E-2</v>
      </c>
      <c r="AO161" s="28">
        <v>0</v>
      </c>
      <c r="AP161" s="28">
        <v>0</v>
      </c>
      <c r="AQ161" s="28">
        <v>4.93051456865524E-2</v>
      </c>
      <c r="AR161" s="28">
        <v>0</v>
      </c>
      <c r="AS161" s="28">
        <v>0</v>
      </c>
      <c r="AT161" s="28">
        <v>9.5402759245024702E-3</v>
      </c>
      <c r="AU161" s="28">
        <v>0</v>
      </c>
      <c r="AV161" s="28">
        <v>1.9860185381755598E-2</v>
      </c>
      <c r="AW161" s="28">
        <v>0</v>
      </c>
      <c r="AX161" s="28">
        <v>54.545065861827098</v>
      </c>
      <c r="AY161" s="28">
        <v>0</v>
      </c>
      <c r="AZ161" s="28">
        <v>5.4775840837940404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8.5883608891360197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3.569</v>
      </c>
      <c r="CX161" s="28">
        <v>0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0</v>
      </c>
      <c r="DN161" s="28">
        <v>0</v>
      </c>
      <c r="DO161" s="28">
        <v>0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3.9635867961766502</v>
      </c>
      <c r="DZ161" s="28">
        <v>1.3148184325269301</v>
      </c>
      <c r="EA161" s="28">
        <v>0</v>
      </c>
      <c r="EB161" s="28">
        <v>0</v>
      </c>
      <c r="EC161" s="28">
        <v>1.9938990407381198E-3</v>
      </c>
      <c r="ED161" s="28">
        <v>11.075044920980901</v>
      </c>
      <c r="EE161" s="28">
        <v>0.13614774191234</v>
      </c>
      <c r="EF161" s="28">
        <v>18.7304035749105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5.8353658432472297</v>
      </c>
      <c r="EP161" s="28">
        <v>0</v>
      </c>
      <c r="EQ161" s="28">
        <v>0</v>
      </c>
      <c r="ER161" s="28">
        <v>0.13222754639987</v>
      </c>
      <c r="ES161" s="28">
        <v>0</v>
      </c>
      <c r="ET161" s="28">
        <v>0.18987317182569299</v>
      </c>
      <c r="EU161" s="28">
        <v>0</v>
      </c>
      <c r="EV161" s="28">
        <v>0</v>
      </c>
      <c r="EW161" s="28">
        <v>0</v>
      </c>
      <c r="EX161" s="28">
        <v>0</v>
      </c>
      <c r="EY161" s="28">
        <v>0</v>
      </c>
      <c r="EZ161" s="28">
        <v>0</v>
      </c>
      <c r="FA161" s="28">
        <v>0</v>
      </c>
      <c r="FB161" s="28">
        <v>0</v>
      </c>
      <c r="FC161" s="28">
        <v>187.78525686703901</v>
      </c>
      <c r="FD161" s="28">
        <v>34.3796405525338</v>
      </c>
      <c r="FE161" s="28">
        <v>9.4155892970156394</v>
      </c>
      <c r="FF161" s="28">
        <v>0</v>
      </c>
      <c r="FG161" s="28">
        <v>2.2544356969011998</v>
      </c>
      <c r="FH161" s="28">
        <v>0.15877561693032399</v>
      </c>
      <c r="FI161" s="28">
        <v>0</v>
      </c>
      <c r="FJ161" s="28">
        <v>0</v>
      </c>
      <c r="FK161" s="28">
        <v>0</v>
      </c>
      <c r="FL161" s="28">
        <v>0</v>
      </c>
      <c r="FM161" s="28">
        <v>0</v>
      </c>
      <c r="FN161" s="28">
        <v>0</v>
      </c>
      <c r="FO161" s="28">
        <v>0</v>
      </c>
      <c r="FP161" s="28">
        <v>0</v>
      </c>
      <c r="FQ161" s="28">
        <v>0</v>
      </c>
      <c r="FR161" s="28">
        <v>0</v>
      </c>
      <c r="FS161" s="28">
        <v>0</v>
      </c>
      <c r="FT161" s="28">
        <v>0</v>
      </c>
      <c r="FU161" s="28">
        <v>0</v>
      </c>
      <c r="FV161" s="28">
        <v>0</v>
      </c>
      <c r="FW161" s="28">
        <v>0</v>
      </c>
      <c r="FX161" s="28">
        <v>0</v>
      </c>
      <c r="FY161" s="28">
        <v>0</v>
      </c>
      <c r="FZ161" s="28">
        <v>0</v>
      </c>
      <c r="GA161" s="28">
        <v>0.184430710068235</v>
      </c>
      <c r="GB161" s="28">
        <v>0</v>
      </c>
      <c r="GC161" s="28">
        <v>0</v>
      </c>
      <c r="GD161" s="28">
        <v>0</v>
      </c>
      <c r="GE161" s="28">
        <v>0</v>
      </c>
      <c r="GF161" s="28">
        <v>0</v>
      </c>
      <c r="GG161" s="28">
        <v>2.2330000000000001</v>
      </c>
      <c r="GH161" s="28">
        <v>1.92150020596102</v>
      </c>
      <c r="GI161" s="28">
        <v>1.13864197157363</v>
      </c>
      <c r="GJ161" s="28">
        <v>0</v>
      </c>
      <c r="GK161" s="28">
        <v>0.760465362626917</v>
      </c>
      <c r="GL161" s="28">
        <v>0</v>
      </c>
      <c r="GM161" s="28">
        <v>0</v>
      </c>
      <c r="GN161" s="28">
        <v>0</v>
      </c>
      <c r="GO161" s="28">
        <v>0</v>
      </c>
      <c r="GP161" s="28">
        <v>0</v>
      </c>
      <c r="GQ161" s="21">
        <v>353.93525719253932</v>
      </c>
      <c r="GR161" s="21">
        <v>0</v>
      </c>
      <c r="GS161" s="20">
        <v>0</v>
      </c>
      <c r="GT161" s="20">
        <v>0</v>
      </c>
      <c r="GU161" s="20">
        <v>0</v>
      </c>
      <c r="GV161" s="20">
        <v>0</v>
      </c>
      <c r="GW161" s="20">
        <v>0</v>
      </c>
      <c r="GX161" s="21">
        <v>-0.69400934612941823</v>
      </c>
      <c r="GY161" s="20">
        <v>0</v>
      </c>
      <c r="GZ161" s="20">
        <v>-0.69400934612941823</v>
      </c>
      <c r="HA161" s="20"/>
      <c r="HB161" s="21">
        <v>0</v>
      </c>
      <c r="HC161" s="21">
        <v>353.24124784640992</v>
      </c>
    </row>
    <row r="162" spans="2:211" s="7" customFormat="1" ht="17.25" customHeight="1">
      <c r="B162" s="26" t="s">
        <v>611</v>
      </c>
      <c r="C162" s="10" t="s">
        <v>612</v>
      </c>
      <c r="D162" s="28">
        <v>0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1.71188753312695E-3</v>
      </c>
      <c r="T162" s="28">
        <v>0</v>
      </c>
      <c r="U162" s="28">
        <v>2.4429151257952699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0.684124275064524</v>
      </c>
      <c r="AE162" s="28">
        <v>4.4287939745665299E-2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1.7381263454111701E-2</v>
      </c>
      <c r="AU162" s="28">
        <v>0</v>
      </c>
      <c r="AV162" s="28">
        <v>3.7523723377068698E-2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1.6873555018748099E-2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4.8245027343877103E-2</v>
      </c>
      <c r="EP162" s="28">
        <v>0</v>
      </c>
      <c r="EQ162" s="28">
        <v>0</v>
      </c>
      <c r="ER162" s="28">
        <v>0</v>
      </c>
      <c r="ES162" s="28">
        <v>0</v>
      </c>
      <c r="ET162" s="28">
        <v>0.242074748168736</v>
      </c>
      <c r="EU162" s="28">
        <v>0</v>
      </c>
      <c r="EV162" s="28">
        <v>0</v>
      </c>
      <c r="EW162" s="28">
        <v>0</v>
      </c>
      <c r="EX162" s="28">
        <v>1.7848668615591301</v>
      </c>
      <c r="EY162" s="28">
        <v>1.8384457454350599E-2</v>
      </c>
      <c r="EZ162" s="28">
        <v>6.1650167979954004E-3</v>
      </c>
      <c r="FA162" s="28">
        <v>0.97195112598876898</v>
      </c>
      <c r="FB162" s="28">
        <v>0.17834498142773</v>
      </c>
      <c r="FC162" s="28">
        <v>538.750550639013</v>
      </c>
      <c r="FD162" s="28">
        <v>196.336128604679</v>
      </c>
      <c r="FE162" s="28">
        <v>1.4112529749848199</v>
      </c>
      <c r="FF162" s="28">
        <v>0</v>
      </c>
      <c r="FG162" s="28">
        <v>1130.7590110446699</v>
      </c>
      <c r="FH162" s="28">
        <v>0.21141178707570399</v>
      </c>
      <c r="FI162" s="28">
        <v>0</v>
      </c>
      <c r="FJ162" s="28">
        <v>0</v>
      </c>
      <c r="FK162" s="28">
        <v>0</v>
      </c>
      <c r="FL162" s="28">
        <v>0</v>
      </c>
      <c r="FM162" s="28">
        <v>0</v>
      </c>
      <c r="FN162" s="28">
        <v>0</v>
      </c>
      <c r="FO162" s="28">
        <v>0</v>
      </c>
      <c r="FP162" s="28">
        <v>0</v>
      </c>
      <c r="FQ162" s="28">
        <v>0.106199054175175</v>
      </c>
      <c r="FR162" s="28">
        <v>0</v>
      </c>
      <c r="FS162" s="28">
        <v>0</v>
      </c>
      <c r="FT162" s="28">
        <v>8.9548979331479508</v>
      </c>
      <c r="FU162" s="28">
        <v>0</v>
      </c>
      <c r="FV162" s="28">
        <v>0</v>
      </c>
      <c r="FW162" s="28">
        <v>1.143402E-2</v>
      </c>
      <c r="FX162" s="28">
        <v>0</v>
      </c>
      <c r="FY162" s="28">
        <v>0</v>
      </c>
      <c r="FZ162" s="28">
        <v>0</v>
      </c>
      <c r="GA162" s="28">
        <v>2.5803504786138801E-2</v>
      </c>
      <c r="GB162" s="28">
        <v>0</v>
      </c>
      <c r="GC162" s="28">
        <v>0</v>
      </c>
      <c r="GD162" s="28">
        <v>0</v>
      </c>
      <c r="GE162" s="28">
        <v>0</v>
      </c>
      <c r="GF162" s="28">
        <v>0</v>
      </c>
      <c r="GG162" s="28">
        <v>0</v>
      </c>
      <c r="GH162" s="28">
        <v>3.9530002916962999</v>
      </c>
      <c r="GI162" s="28">
        <v>0</v>
      </c>
      <c r="GJ162" s="28">
        <v>0</v>
      </c>
      <c r="GK162" s="28">
        <v>0</v>
      </c>
      <c r="GL162" s="28">
        <v>0</v>
      </c>
      <c r="GM162" s="28">
        <v>0</v>
      </c>
      <c r="GN162" s="28">
        <v>0</v>
      </c>
      <c r="GO162" s="28">
        <v>0</v>
      </c>
      <c r="GP162" s="28">
        <v>0</v>
      </c>
      <c r="GQ162" s="21">
        <v>1887.0145398429518</v>
      </c>
      <c r="GR162" s="21">
        <v>0</v>
      </c>
      <c r="GS162" s="20">
        <v>0</v>
      </c>
      <c r="GT162" s="20">
        <v>0</v>
      </c>
      <c r="GU162" s="20">
        <v>0</v>
      </c>
      <c r="GV162" s="20">
        <v>0</v>
      </c>
      <c r="GW162" s="20">
        <v>0</v>
      </c>
      <c r="GX162" s="21">
        <v>-133.73804823345174</v>
      </c>
      <c r="GY162" s="20">
        <v>0</v>
      </c>
      <c r="GZ162" s="20">
        <v>-133.73804823345174</v>
      </c>
      <c r="HA162" s="20"/>
      <c r="HB162" s="21">
        <v>20.084623449599999</v>
      </c>
      <c r="HC162" s="21">
        <v>1773.3611150591</v>
      </c>
    </row>
    <row r="163" spans="2:211" s="7" customFormat="1" ht="17.25" customHeight="1">
      <c r="B163" s="26" t="s">
        <v>141</v>
      </c>
      <c r="C163" s="9" t="s">
        <v>613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6.3493047259533203E-4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1.29865016994897E-2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5.7405409960973201E-2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56.774799749794902</v>
      </c>
      <c r="AU163" s="28">
        <v>38.370712103890497</v>
      </c>
      <c r="AV163" s="28">
        <v>18.7787813588332</v>
      </c>
      <c r="AW163" s="28">
        <v>23.806883517291499</v>
      </c>
      <c r="AX163" s="28">
        <v>614.64100612299205</v>
      </c>
      <c r="AY163" s="28">
        <v>0</v>
      </c>
      <c r="AZ163" s="28">
        <v>1.5076461350614501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22.4517508278491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2.8429450569531198</v>
      </c>
      <c r="CC163" s="28">
        <v>0.155837101859961</v>
      </c>
      <c r="CD163" s="28">
        <v>2.04740843019021</v>
      </c>
      <c r="CE163" s="28">
        <v>0.69617062388298301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14.502678326237699</v>
      </c>
      <c r="CN163" s="28">
        <v>0.99753651701978396</v>
      </c>
      <c r="CO163" s="28">
        <v>0.909454228292226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3.3181401296340201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1.78022363833068</v>
      </c>
      <c r="DI163" s="28">
        <v>1.6231671743789999</v>
      </c>
      <c r="DJ163" s="28">
        <v>0</v>
      </c>
      <c r="DK163" s="28">
        <v>0</v>
      </c>
      <c r="DL163" s="28">
        <v>0</v>
      </c>
      <c r="DM163" s="28">
        <v>0</v>
      </c>
      <c r="DN163" s="28">
        <v>5.7699733449295101</v>
      </c>
      <c r="DO163" s="28">
        <v>0</v>
      </c>
      <c r="DP163" s="28">
        <v>0</v>
      </c>
      <c r="DQ163" s="28">
        <v>3.6210387034221898</v>
      </c>
      <c r="DR163" s="28">
        <v>11.4511996570335</v>
      </c>
      <c r="DS163" s="28">
        <v>0</v>
      </c>
      <c r="DT163" s="28">
        <v>0</v>
      </c>
      <c r="DU163" s="28">
        <v>0</v>
      </c>
      <c r="DV163" s="28">
        <v>12.680719414451101</v>
      </c>
      <c r="DW163" s="28">
        <v>0</v>
      </c>
      <c r="DX163" s="28">
        <v>0</v>
      </c>
      <c r="DY163" s="28">
        <v>11.8159939822547</v>
      </c>
      <c r="DZ163" s="28">
        <v>0</v>
      </c>
      <c r="EA163" s="28">
        <v>0</v>
      </c>
      <c r="EB163" s="28">
        <v>0</v>
      </c>
      <c r="EC163" s="28">
        <v>3.0227096341039199</v>
      </c>
      <c r="ED163" s="28">
        <v>181.819494550223</v>
      </c>
      <c r="EE163" s="28">
        <v>3.1815376830494002</v>
      </c>
      <c r="EF163" s="28">
        <v>9.9739756452430495</v>
      </c>
      <c r="EG163" s="28">
        <v>0</v>
      </c>
      <c r="EH163" s="28">
        <v>0</v>
      </c>
      <c r="EI163" s="28">
        <v>0</v>
      </c>
      <c r="EJ163" s="28">
        <v>592.28717579843396</v>
      </c>
      <c r="EK163" s="28">
        <v>6.7048822985441401</v>
      </c>
      <c r="EL163" s="28">
        <v>52.775142979272204</v>
      </c>
      <c r="EM163" s="28">
        <v>0.537708822991536</v>
      </c>
      <c r="EN163" s="28">
        <v>0</v>
      </c>
      <c r="EO163" s="28">
        <v>0.21000847749755</v>
      </c>
      <c r="EP163" s="28">
        <v>0</v>
      </c>
      <c r="EQ163" s="28">
        <v>0.311889453929942</v>
      </c>
      <c r="ER163" s="28">
        <v>64.770548526286007</v>
      </c>
      <c r="ES163" s="28">
        <v>16.340588055152701</v>
      </c>
      <c r="ET163" s="28">
        <v>5.6414007126747201</v>
      </c>
      <c r="EU163" s="28">
        <v>0</v>
      </c>
      <c r="EV163" s="28">
        <v>18.2573865067741</v>
      </c>
      <c r="EW163" s="28">
        <v>1.0971876804643199</v>
      </c>
      <c r="EX163" s="28">
        <v>6.3772596424046604E-2</v>
      </c>
      <c r="EY163" s="28">
        <v>0</v>
      </c>
      <c r="EZ163" s="28">
        <v>0</v>
      </c>
      <c r="FA163" s="28">
        <v>0</v>
      </c>
      <c r="FB163" s="28">
        <v>0</v>
      </c>
      <c r="FC163" s="28">
        <v>1119.56493121427</v>
      </c>
      <c r="FD163" s="28">
        <v>977.618599655656</v>
      </c>
      <c r="FE163" s="28">
        <v>140.64009955945599</v>
      </c>
      <c r="FF163" s="28">
        <v>0</v>
      </c>
      <c r="FG163" s="28">
        <v>1679.4236976662201</v>
      </c>
      <c r="FH163" s="28">
        <v>39.141662135858901</v>
      </c>
      <c r="FI163" s="28">
        <v>0</v>
      </c>
      <c r="FJ163" s="28">
        <v>0</v>
      </c>
      <c r="FK163" s="28">
        <v>0</v>
      </c>
      <c r="FL163" s="28">
        <v>0</v>
      </c>
      <c r="FM163" s="28">
        <v>0</v>
      </c>
      <c r="FN163" s="28">
        <v>0</v>
      </c>
      <c r="FO163" s="28">
        <v>0</v>
      </c>
      <c r="FP163" s="28">
        <v>0</v>
      </c>
      <c r="FQ163" s="28">
        <v>0</v>
      </c>
      <c r="FR163" s="28">
        <v>0</v>
      </c>
      <c r="FS163" s="28">
        <v>0</v>
      </c>
      <c r="FT163" s="28">
        <v>3.3213265864206498</v>
      </c>
      <c r="FU163" s="28">
        <v>0</v>
      </c>
      <c r="FV163" s="28">
        <v>0</v>
      </c>
      <c r="FW163" s="28">
        <v>0</v>
      </c>
      <c r="FX163" s="28">
        <v>0</v>
      </c>
      <c r="FY163" s="28">
        <v>0</v>
      </c>
      <c r="FZ163" s="28">
        <v>0</v>
      </c>
      <c r="GA163" s="28">
        <v>1.57756146710051</v>
      </c>
      <c r="GB163" s="28">
        <v>0</v>
      </c>
      <c r="GC163" s="28">
        <v>0</v>
      </c>
      <c r="GD163" s="28">
        <v>0</v>
      </c>
      <c r="GE163" s="28">
        <v>0</v>
      </c>
      <c r="GF163" s="28">
        <v>0</v>
      </c>
      <c r="GG163" s="28">
        <v>54.813488999400001</v>
      </c>
      <c r="GH163" s="28">
        <v>1.10711121025922</v>
      </c>
      <c r="GI163" s="28">
        <v>7.0555849768202004</v>
      </c>
      <c r="GJ163" s="28">
        <v>0</v>
      </c>
      <c r="GK163" s="28">
        <v>4.1212423420137396</v>
      </c>
      <c r="GL163" s="28">
        <v>0</v>
      </c>
      <c r="GM163" s="28">
        <v>0</v>
      </c>
      <c r="GN163" s="28">
        <v>0</v>
      </c>
      <c r="GO163" s="28">
        <v>0</v>
      </c>
      <c r="GP163" s="28">
        <v>0</v>
      </c>
      <c r="GQ163" s="21">
        <v>5835.9958082212534</v>
      </c>
      <c r="GR163" s="21">
        <v>0</v>
      </c>
      <c r="GS163" s="20">
        <v>0</v>
      </c>
      <c r="GT163" s="20">
        <v>0</v>
      </c>
      <c r="GU163" s="20">
        <v>0</v>
      </c>
      <c r="GV163" s="20">
        <v>0</v>
      </c>
      <c r="GW163" s="20">
        <v>0</v>
      </c>
      <c r="GX163" s="21">
        <v>103.51547743745563</v>
      </c>
      <c r="GY163" s="20">
        <v>0</v>
      </c>
      <c r="GZ163" s="20">
        <v>103.51547743745563</v>
      </c>
      <c r="HA163" s="20"/>
      <c r="HB163" s="21">
        <v>4.1662273688000004</v>
      </c>
      <c r="HC163" s="21">
        <v>5943.6775130275091</v>
      </c>
    </row>
    <row r="164" spans="2:211" s="7" customFormat="1" ht="17.25" customHeight="1">
      <c r="B164" s="26" t="s">
        <v>142</v>
      </c>
      <c r="C164" s="10" t="s">
        <v>614</v>
      </c>
      <c r="D164" s="28">
        <v>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2.7193565330237699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5.2793330628503403</v>
      </c>
      <c r="EK164" s="28">
        <v>0</v>
      </c>
      <c r="EL164" s="28">
        <v>0</v>
      </c>
      <c r="EM164" s="28">
        <v>0</v>
      </c>
      <c r="EN164" s="28">
        <v>0</v>
      </c>
      <c r="EO164" s="28">
        <v>1.0202453038334101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  <c r="EU164" s="28">
        <v>0</v>
      </c>
      <c r="EV164" s="28">
        <v>3.2565682275653698</v>
      </c>
      <c r="EW164" s="28">
        <v>0</v>
      </c>
      <c r="EX164" s="28">
        <v>0</v>
      </c>
      <c r="EY164" s="28">
        <v>0</v>
      </c>
      <c r="EZ164" s="28">
        <v>0</v>
      </c>
      <c r="FA164" s="28">
        <v>0</v>
      </c>
      <c r="FB164" s="28">
        <v>0</v>
      </c>
      <c r="FC164" s="28">
        <v>0</v>
      </c>
      <c r="FD164" s="28">
        <v>0</v>
      </c>
      <c r="FE164" s="28">
        <v>0</v>
      </c>
      <c r="FF164" s="28">
        <v>0</v>
      </c>
      <c r="FG164" s="28">
        <v>0</v>
      </c>
      <c r="FH164" s="28">
        <v>0</v>
      </c>
      <c r="FI164" s="28">
        <v>0</v>
      </c>
      <c r="FJ164" s="28">
        <v>0</v>
      </c>
      <c r="FK164" s="28">
        <v>0</v>
      </c>
      <c r="FL164" s="28">
        <v>0</v>
      </c>
      <c r="FM164" s="28">
        <v>0</v>
      </c>
      <c r="FN164" s="28">
        <v>0</v>
      </c>
      <c r="FO164" s="28">
        <v>0</v>
      </c>
      <c r="FP164" s="28">
        <v>0</v>
      </c>
      <c r="FQ164" s="28">
        <v>0</v>
      </c>
      <c r="FR164" s="28">
        <v>0</v>
      </c>
      <c r="FS164" s="28">
        <v>0</v>
      </c>
      <c r="FT164" s="28">
        <v>0</v>
      </c>
      <c r="FU164" s="28">
        <v>0</v>
      </c>
      <c r="FV164" s="28">
        <v>0</v>
      </c>
      <c r="FW164" s="28">
        <v>0</v>
      </c>
      <c r="FX164" s="28">
        <v>0</v>
      </c>
      <c r="FY164" s="28">
        <v>0</v>
      </c>
      <c r="FZ164" s="28">
        <v>0</v>
      </c>
      <c r="GA164" s="28">
        <v>0</v>
      </c>
      <c r="GB164" s="28">
        <v>0</v>
      </c>
      <c r="GC164" s="28">
        <v>0</v>
      </c>
      <c r="GD164" s="28">
        <v>0</v>
      </c>
      <c r="GE164" s="28">
        <v>0</v>
      </c>
      <c r="GF164" s="28">
        <v>0</v>
      </c>
      <c r="GG164" s="28">
        <v>0</v>
      </c>
      <c r="GH164" s="28">
        <v>0</v>
      </c>
      <c r="GI164" s="28">
        <v>0</v>
      </c>
      <c r="GJ164" s="28">
        <v>0</v>
      </c>
      <c r="GK164" s="28">
        <v>0</v>
      </c>
      <c r="GL164" s="28">
        <v>0</v>
      </c>
      <c r="GM164" s="28">
        <v>0</v>
      </c>
      <c r="GN164" s="28">
        <v>0</v>
      </c>
      <c r="GO164" s="28">
        <v>0</v>
      </c>
      <c r="GP164" s="28">
        <v>0</v>
      </c>
      <c r="GQ164" s="21">
        <v>12.275503127272891</v>
      </c>
      <c r="GR164" s="21">
        <v>0</v>
      </c>
      <c r="GS164" s="20">
        <v>0</v>
      </c>
      <c r="GT164" s="20">
        <v>0</v>
      </c>
      <c r="GU164" s="20">
        <v>0</v>
      </c>
      <c r="GV164" s="20">
        <v>0</v>
      </c>
      <c r="GW164" s="20">
        <v>0</v>
      </c>
      <c r="GX164" s="21">
        <v>11.1938934880378</v>
      </c>
      <c r="GY164" s="20">
        <v>0</v>
      </c>
      <c r="GZ164" s="20">
        <v>11.1938934880378</v>
      </c>
      <c r="HA164" s="20"/>
      <c r="HB164" s="21">
        <v>2272.54168568352</v>
      </c>
      <c r="HC164" s="21">
        <v>2296.0110822988308</v>
      </c>
    </row>
    <row r="165" spans="2:211" s="7" customFormat="1" ht="17.25" customHeight="1">
      <c r="B165" s="26" t="s">
        <v>615</v>
      </c>
      <c r="C165" s="10" t="s">
        <v>616</v>
      </c>
      <c r="D165" s="28">
        <v>0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868.10192502510301</v>
      </c>
      <c r="EU165" s="28">
        <v>0</v>
      </c>
      <c r="EV165" s="28">
        <v>0</v>
      </c>
      <c r="EW165" s="28">
        <v>0</v>
      </c>
      <c r="EX165" s="28">
        <v>0</v>
      </c>
      <c r="EY165" s="28">
        <v>0</v>
      </c>
      <c r="EZ165" s="28">
        <v>0</v>
      </c>
      <c r="FA165" s="28">
        <v>0</v>
      </c>
      <c r="FB165" s="28">
        <v>0</v>
      </c>
      <c r="FC165" s="28">
        <v>0</v>
      </c>
      <c r="FD165" s="28">
        <v>0</v>
      </c>
      <c r="FE165" s="28">
        <v>0</v>
      </c>
      <c r="FF165" s="28">
        <v>0</v>
      </c>
      <c r="FG165" s="28">
        <v>0</v>
      </c>
      <c r="FH165" s="28">
        <v>0</v>
      </c>
      <c r="FI165" s="28">
        <v>0</v>
      </c>
      <c r="FJ165" s="28">
        <v>0</v>
      </c>
      <c r="FK165" s="28">
        <v>0</v>
      </c>
      <c r="FL165" s="28">
        <v>0</v>
      </c>
      <c r="FM165" s="28">
        <v>0</v>
      </c>
      <c r="FN165" s="28">
        <v>0</v>
      </c>
      <c r="FO165" s="28">
        <v>0</v>
      </c>
      <c r="FP165" s="28">
        <v>0</v>
      </c>
      <c r="FQ165" s="28">
        <v>0</v>
      </c>
      <c r="FR165" s="28">
        <v>0</v>
      </c>
      <c r="FS165" s="28">
        <v>0</v>
      </c>
      <c r="FT165" s="28">
        <v>0</v>
      </c>
      <c r="FU165" s="28">
        <v>0</v>
      </c>
      <c r="FV165" s="28">
        <v>0</v>
      </c>
      <c r="FW165" s="28">
        <v>0</v>
      </c>
      <c r="FX165" s="28">
        <v>0</v>
      </c>
      <c r="FY165" s="28">
        <v>0</v>
      </c>
      <c r="FZ165" s="28">
        <v>0</v>
      </c>
      <c r="GA165" s="28">
        <v>0</v>
      </c>
      <c r="GB165" s="28">
        <v>0</v>
      </c>
      <c r="GC165" s="28">
        <v>0</v>
      </c>
      <c r="GD165" s="28">
        <v>0</v>
      </c>
      <c r="GE165" s="28">
        <v>0</v>
      </c>
      <c r="GF165" s="28">
        <v>0</v>
      </c>
      <c r="GG165" s="28">
        <v>0</v>
      </c>
      <c r="GH165" s="28">
        <v>0</v>
      </c>
      <c r="GI165" s="28">
        <v>0</v>
      </c>
      <c r="GJ165" s="28">
        <v>0</v>
      </c>
      <c r="GK165" s="28">
        <v>0</v>
      </c>
      <c r="GL165" s="28">
        <v>0</v>
      </c>
      <c r="GM165" s="28">
        <v>0</v>
      </c>
      <c r="GN165" s="28">
        <v>0</v>
      </c>
      <c r="GO165" s="28">
        <v>0</v>
      </c>
      <c r="GP165" s="28">
        <v>0</v>
      </c>
      <c r="GQ165" s="21">
        <v>868.10192502510301</v>
      </c>
      <c r="GR165" s="21">
        <v>0</v>
      </c>
      <c r="GS165" s="20">
        <v>0</v>
      </c>
      <c r="GT165" s="20">
        <v>0</v>
      </c>
      <c r="GU165" s="20">
        <v>0</v>
      </c>
      <c r="GV165" s="20">
        <v>0</v>
      </c>
      <c r="GW165" s="20">
        <v>0</v>
      </c>
      <c r="GX165" s="21">
        <v>0</v>
      </c>
      <c r="GY165" s="20">
        <v>0</v>
      </c>
      <c r="GZ165" s="20">
        <v>0</v>
      </c>
      <c r="HA165" s="20"/>
      <c r="HB165" s="21">
        <v>7308.8669422172698</v>
      </c>
      <c r="HC165" s="21">
        <v>8176.9688672423727</v>
      </c>
    </row>
    <row r="166" spans="2:211" s="7" customFormat="1" ht="17.25" customHeight="1">
      <c r="B166" s="26" t="s">
        <v>617</v>
      </c>
      <c r="C166" s="10" t="s">
        <v>618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28.248438750705901</v>
      </c>
      <c r="EU166" s="28">
        <v>0</v>
      </c>
      <c r="EV166" s="28">
        <v>0</v>
      </c>
      <c r="EW166" s="28">
        <v>0</v>
      </c>
      <c r="EX166" s="28">
        <v>0</v>
      </c>
      <c r="EY166" s="28">
        <v>0</v>
      </c>
      <c r="EZ166" s="28">
        <v>0</v>
      </c>
      <c r="FA166" s="28">
        <v>0</v>
      </c>
      <c r="FB166" s="28">
        <v>0</v>
      </c>
      <c r="FC166" s="28">
        <v>0</v>
      </c>
      <c r="FD166" s="28">
        <v>0</v>
      </c>
      <c r="FE166" s="28">
        <v>0</v>
      </c>
      <c r="FF166" s="28">
        <v>0</v>
      </c>
      <c r="FG166" s="28">
        <v>0</v>
      </c>
      <c r="FH166" s="28">
        <v>0</v>
      </c>
      <c r="FI166" s="28">
        <v>0</v>
      </c>
      <c r="FJ166" s="28">
        <v>0</v>
      </c>
      <c r="FK166" s="28">
        <v>0</v>
      </c>
      <c r="FL166" s="28">
        <v>0</v>
      </c>
      <c r="FM166" s="28">
        <v>0</v>
      </c>
      <c r="FN166" s="28">
        <v>0</v>
      </c>
      <c r="FO166" s="28">
        <v>0</v>
      </c>
      <c r="FP166" s="28">
        <v>0</v>
      </c>
      <c r="FQ166" s="28">
        <v>0</v>
      </c>
      <c r="FR166" s="28">
        <v>0</v>
      </c>
      <c r="FS166" s="28">
        <v>0</v>
      </c>
      <c r="FT166" s="28">
        <v>0</v>
      </c>
      <c r="FU166" s="28">
        <v>0</v>
      </c>
      <c r="FV166" s="28">
        <v>0</v>
      </c>
      <c r="FW166" s="28">
        <v>0</v>
      </c>
      <c r="FX166" s="28">
        <v>0</v>
      </c>
      <c r="FY166" s="28">
        <v>0</v>
      </c>
      <c r="FZ166" s="28">
        <v>0</v>
      </c>
      <c r="GA166" s="28">
        <v>0</v>
      </c>
      <c r="GB166" s="28">
        <v>0</v>
      </c>
      <c r="GC166" s="28">
        <v>0</v>
      </c>
      <c r="GD166" s="28">
        <v>0</v>
      </c>
      <c r="GE166" s="28">
        <v>0</v>
      </c>
      <c r="GF166" s="28">
        <v>0</v>
      </c>
      <c r="GG166" s="28">
        <v>0</v>
      </c>
      <c r="GH166" s="28">
        <v>0</v>
      </c>
      <c r="GI166" s="28">
        <v>0</v>
      </c>
      <c r="GJ166" s="28">
        <v>0</v>
      </c>
      <c r="GK166" s="28">
        <v>0</v>
      </c>
      <c r="GL166" s="28">
        <v>0</v>
      </c>
      <c r="GM166" s="28">
        <v>0</v>
      </c>
      <c r="GN166" s="28">
        <v>0</v>
      </c>
      <c r="GO166" s="28">
        <v>0</v>
      </c>
      <c r="GP166" s="28">
        <v>0</v>
      </c>
      <c r="GQ166" s="21">
        <v>28.248438750705901</v>
      </c>
      <c r="GR166" s="21">
        <v>0</v>
      </c>
      <c r="GS166" s="20">
        <v>0</v>
      </c>
      <c r="GT166" s="20">
        <v>0</v>
      </c>
      <c r="GU166" s="20">
        <v>0</v>
      </c>
      <c r="GV166" s="20">
        <v>0</v>
      </c>
      <c r="GW166" s="20">
        <v>0</v>
      </c>
      <c r="GX166" s="21">
        <v>9.5397557938953206</v>
      </c>
      <c r="GY166" s="20">
        <v>0</v>
      </c>
      <c r="GZ166" s="20">
        <v>9.5397557938953206</v>
      </c>
      <c r="HA166" s="20"/>
      <c r="HB166" s="21">
        <v>570.35429688921602</v>
      </c>
      <c r="HC166" s="21">
        <v>608.14249143381721</v>
      </c>
    </row>
    <row r="167" spans="2:211" s="7" customFormat="1" ht="17.25" customHeight="1">
      <c r="B167" s="26" t="s">
        <v>619</v>
      </c>
      <c r="C167" s="9" t="s">
        <v>620</v>
      </c>
      <c r="D167" s="28">
        <v>0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14.3425240121505</v>
      </c>
      <c r="EP167" s="28">
        <v>0</v>
      </c>
      <c r="EQ167" s="28">
        <v>0</v>
      </c>
      <c r="ER167" s="28">
        <v>0</v>
      </c>
      <c r="ES167" s="28">
        <v>0</v>
      </c>
      <c r="ET167" s="28">
        <v>1.14012899509032</v>
      </c>
      <c r="EU167" s="28">
        <v>0</v>
      </c>
      <c r="EV167" s="28">
        <v>0</v>
      </c>
      <c r="EW167" s="28">
        <v>0</v>
      </c>
      <c r="EX167" s="28">
        <v>0</v>
      </c>
      <c r="EY167" s="28">
        <v>0</v>
      </c>
      <c r="EZ167" s="28">
        <v>0</v>
      </c>
      <c r="FA167" s="28">
        <v>0</v>
      </c>
      <c r="FB167" s="28">
        <v>0</v>
      </c>
      <c r="FC167" s="28">
        <v>0</v>
      </c>
      <c r="FD167" s="28">
        <v>0</v>
      </c>
      <c r="FE167" s="28">
        <v>0</v>
      </c>
      <c r="FF167" s="28">
        <v>0</v>
      </c>
      <c r="FG167" s="28">
        <v>0</v>
      </c>
      <c r="FH167" s="28">
        <v>0</v>
      </c>
      <c r="FI167" s="28">
        <v>0</v>
      </c>
      <c r="FJ167" s="28">
        <v>0</v>
      </c>
      <c r="FK167" s="28">
        <v>0</v>
      </c>
      <c r="FL167" s="28">
        <v>0</v>
      </c>
      <c r="FM167" s="28">
        <v>0</v>
      </c>
      <c r="FN167" s="28">
        <v>0</v>
      </c>
      <c r="FO167" s="28">
        <v>0</v>
      </c>
      <c r="FP167" s="28">
        <v>0</v>
      </c>
      <c r="FQ167" s="28">
        <v>0</v>
      </c>
      <c r="FR167" s="28">
        <v>0</v>
      </c>
      <c r="FS167" s="28">
        <v>0</v>
      </c>
      <c r="FT167" s="28">
        <v>0</v>
      </c>
      <c r="FU167" s="28">
        <v>0</v>
      </c>
      <c r="FV167" s="28">
        <v>0</v>
      </c>
      <c r="FW167" s="28">
        <v>0</v>
      </c>
      <c r="FX167" s="28">
        <v>0</v>
      </c>
      <c r="FY167" s="28">
        <v>0</v>
      </c>
      <c r="FZ167" s="28">
        <v>0</v>
      </c>
      <c r="GA167" s="28">
        <v>0</v>
      </c>
      <c r="GB167" s="28">
        <v>0</v>
      </c>
      <c r="GC167" s="28">
        <v>0</v>
      </c>
      <c r="GD167" s="28">
        <v>0</v>
      </c>
      <c r="GE167" s="28">
        <v>0</v>
      </c>
      <c r="GF167" s="28">
        <v>0</v>
      </c>
      <c r="GG167" s="28">
        <v>0</v>
      </c>
      <c r="GH167" s="28">
        <v>0</v>
      </c>
      <c r="GI167" s="28">
        <v>0</v>
      </c>
      <c r="GJ167" s="28">
        <v>0</v>
      </c>
      <c r="GK167" s="28">
        <v>0</v>
      </c>
      <c r="GL167" s="28">
        <v>0</v>
      </c>
      <c r="GM167" s="28">
        <v>0</v>
      </c>
      <c r="GN167" s="28">
        <v>0</v>
      </c>
      <c r="GO167" s="28">
        <v>0</v>
      </c>
      <c r="GP167" s="28">
        <v>0</v>
      </c>
      <c r="GQ167" s="21">
        <v>15.48265300724082</v>
      </c>
      <c r="GR167" s="21">
        <v>0</v>
      </c>
      <c r="GS167" s="20">
        <v>0</v>
      </c>
      <c r="GT167" s="20">
        <v>0</v>
      </c>
      <c r="GU167" s="20">
        <v>0</v>
      </c>
      <c r="GV167" s="20">
        <v>0</v>
      </c>
      <c r="GW167" s="20">
        <v>0</v>
      </c>
      <c r="GX167" s="21">
        <v>-15.8865350842648</v>
      </c>
      <c r="GY167" s="20">
        <v>0</v>
      </c>
      <c r="GZ167" s="20">
        <v>-15.8865350842648</v>
      </c>
      <c r="HA167" s="20"/>
      <c r="HB167" s="21">
        <v>83.695798077023994</v>
      </c>
      <c r="HC167" s="21">
        <v>83.291916000000015</v>
      </c>
    </row>
    <row r="168" spans="2:211" s="7" customFormat="1" ht="17.25" customHeight="1">
      <c r="B168" s="26" t="s">
        <v>621</v>
      </c>
      <c r="C168" s="10" t="s">
        <v>622</v>
      </c>
      <c r="D168" s="28">
        <v>0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0.10968128949101801</v>
      </c>
      <c r="AZ168" s="28">
        <v>0</v>
      </c>
      <c r="BA168" s="28">
        <v>0</v>
      </c>
      <c r="BB168" s="28">
        <v>0.31454066119372398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3.1417948027732998</v>
      </c>
      <c r="DY168" s="28">
        <v>0</v>
      </c>
      <c r="DZ168" s="28">
        <v>0</v>
      </c>
      <c r="EA168" s="28">
        <v>0</v>
      </c>
      <c r="EB168" s="28">
        <v>2.8655406570980699</v>
      </c>
      <c r="EC168" s="28">
        <v>0</v>
      </c>
      <c r="ED168" s="28">
        <v>0</v>
      </c>
      <c r="EE168" s="28">
        <v>0.176321497520776</v>
      </c>
      <c r="EF168" s="28">
        <v>0</v>
      </c>
      <c r="EG168" s="28">
        <v>0</v>
      </c>
      <c r="EH168" s="28">
        <v>0</v>
      </c>
      <c r="EI168" s="28">
        <v>0</v>
      </c>
      <c r="EJ168" s="28">
        <v>19.2752558752642</v>
      </c>
      <c r="EK168" s="28">
        <v>0</v>
      </c>
      <c r="EL168" s="28">
        <v>0</v>
      </c>
      <c r="EM168" s="28">
        <v>0</v>
      </c>
      <c r="EN168" s="28">
        <v>1.8252020223136E-2</v>
      </c>
      <c r="EO168" s="28">
        <v>10.9157765727899</v>
      </c>
      <c r="EP168" s="28">
        <v>0</v>
      </c>
      <c r="EQ168" s="28">
        <v>0</v>
      </c>
      <c r="ER168" s="28">
        <v>0</v>
      </c>
      <c r="ES168" s="28">
        <v>0</v>
      </c>
      <c r="ET168" s="28">
        <v>11.270027244312599</v>
      </c>
      <c r="EU168" s="28">
        <v>0</v>
      </c>
      <c r="EV168" s="28">
        <v>12.2729943256941</v>
      </c>
      <c r="EW168" s="28">
        <v>0.57306483180865098</v>
      </c>
      <c r="EX168" s="28">
        <v>0</v>
      </c>
      <c r="EY168" s="28">
        <v>0</v>
      </c>
      <c r="EZ168" s="28">
        <v>0</v>
      </c>
      <c r="FA168" s="28">
        <v>0</v>
      </c>
      <c r="FB168" s="28">
        <v>0</v>
      </c>
      <c r="FC168" s="28">
        <v>0</v>
      </c>
      <c r="FD168" s="28">
        <v>0</v>
      </c>
      <c r="FE168" s="28">
        <v>0</v>
      </c>
      <c r="FF168" s="28">
        <v>0</v>
      </c>
      <c r="FG168" s="28">
        <v>0</v>
      </c>
      <c r="FH168" s="28">
        <v>0</v>
      </c>
      <c r="FI168" s="28">
        <v>0</v>
      </c>
      <c r="FJ168" s="28">
        <v>0</v>
      </c>
      <c r="FK168" s="28">
        <v>0</v>
      </c>
      <c r="FL168" s="28">
        <v>0</v>
      </c>
      <c r="FM168" s="28">
        <v>0</v>
      </c>
      <c r="FN168" s="28">
        <v>0</v>
      </c>
      <c r="FO168" s="28">
        <v>0</v>
      </c>
      <c r="FP168" s="28">
        <v>0</v>
      </c>
      <c r="FQ168" s="28">
        <v>0.17850033154136299</v>
      </c>
      <c r="FR168" s="28">
        <v>0</v>
      </c>
      <c r="FS168" s="28">
        <v>0</v>
      </c>
      <c r="FT168" s="28">
        <v>0</v>
      </c>
      <c r="FU168" s="28">
        <v>0</v>
      </c>
      <c r="FV168" s="28">
        <v>0</v>
      </c>
      <c r="FW168" s="28">
        <v>0</v>
      </c>
      <c r="FX168" s="28">
        <v>0</v>
      </c>
      <c r="FY168" s="28">
        <v>0</v>
      </c>
      <c r="FZ168" s="28">
        <v>0</v>
      </c>
      <c r="GA168" s="28">
        <v>0</v>
      </c>
      <c r="GB168" s="28">
        <v>0</v>
      </c>
      <c r="GC168" s="28">
        <v>0</v>
      </c>
      <c r="GD168" s="28">
        <v>0</v>
      </c>
      <c r="GE168" s="28">
        <v>0</v>
      </c>
      <c r="GF168" s="28">
        <v>0</v>
      </c>
      <c r="GG168" s="28">
        <v>0</v>
      </c>
      <c r="GH168" s="28">
        <v>0</v>
      </c>
      <c r="GI168" s="28">
        <v>0</v>
      </c>
      <c r="GJ168" s="28">
        <v>0</v>
      </c>
      <c r="GK168" s="28">
        <v>0</v>
      </c>
      <c r="GL168" s="28">
        <v>0</v>
      </c>
      <c r="GM168" s="28">
        <v>0</v>
      </c>
      <c r="GN168" s="28">
        <v>0</v>
      </c>
      <c r="GO168" s="28">
        <v>0</v>
      </c>
      <c r="GP168" s="28">
        <v>0</v>
      </c>
      <c r="GQ168" s="21">
        <v>61.111750109710982</v>
      </c>
      <c r="GR168" s="21">
        <v>0</v>
      </c>
      <c r="GS168" s="20">
        <v>0</v>
      </c>
      <c r="GT168" s="20">
        <v>0</v>
      </c>
      <c r="GU168" s="20">
        <v>0</v>
      </c>
      <c r="GV168" s="20">
        <v>0</v>
      </c>
      <c r="GW168" s="20">
        <v>0</v>
      </c>
      <c r="GX168" s="21">
        <v>24.3588052043931</v>
      </c>
      <c r="GY168" s="20">
        <v>0</v>
      </c>
      <c r="GZ168" s="20">
        <v>24.3588052043931</v>
      </c>
      <c r="HA168" s="20"/>
      <c r="HB168" s="21">
        <v>34.527216685896001</v>
      </c>
      <c r="HC168" s="21">
        <v>119.99777200000008</v>
      </c>
    </row>
    <row r="169" spans="2:211" s="7" customFormat="1" ht="17.25" customHeight="1">
      <c r="B169" s="26" t="s">
        <v>143</v>
      </c>
      <c r="C169" s="10" t="s">
        <v>623</v>
      </c>
      <c r="D169" s="28">
        <v>2.0913171512558799E-2</v>
      </c>
      <c r="E169" s="28">
        <v>0</v>
      </c>
      <c r="F169" s="28">
        <v>10.354986999999999</v>
      </c>
      <c r="G169" s="28">
        <v>5.6549870000000002</v>
      </c>
      <c r="H169" s="28">
        <v>27.059184109706901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2.3997207394740898</v>
      </c>
      <c r="Q169" s="28">
        <v>10.65465</v>
      </c>
      <c r="R169" s="28">
        <v>44.626855903121502</v>
      </c>
      <c r="S169" s="28">
        <v>25.339169727125199</v>
      </c>
      <c r="T169" s="28">
        <v>1.6666055416883101</v>
      </c>
      <c r="U169" s="28">
        <v>0</v>
      </c>
      <c r="V169" s="28">
        <v>2.8772969651383502E-2</v>
      </c>
      <c r="W169" s="28">
        <v>8.0440557891195397</v>
      </c>
      <c r="X169" s="28">
        <v>4.5781408213820196</v>
      </c>
      <c r="Y169" s="28">
        <v>0.50587102205083001</v>
      </c>
      <c r="Z169" s="28">
        <v>17.383642719100301</v>
      </c>
      <c r="AA169" s="28">
        <v>1.8783756004733101</v>
      </c>
      <c r="AB169" s="28">
        <v>0</v>
      </c>
      <c r="AC169" s="28">
        <v>0</v>
      </c>
      <c r="AD169" s="28">
        <v>0.46787771759788899</v>
      </c>
      <c r="AE169" s="28">
        <v>35.275527704502501</v>
      </c>
      <c r="AF169" s="28">
        <v>4.0924703707900401</v>
      </c>
      <c r="AG169" s="28">
        <v>0</v>
      </c>
      <c r="AH169" s="28">
        <v>0.90775721513601904</v>
      </c>
      <c r="AI169" s="28">
        <v>0.21953074369841</v>
      </c>
      <c r="AJ169" s="28">
        <v>0</v>
      </c>
      <c r="AK169" s="28">
        <v>2.99794478828573</v>
      </c>
      <c r="AL169" s="28">
        <v>0.66305696126161495</v>
      </c>
      <c r="AM169" s="28">
        <v>0</v>
      </c>
      <c r="AN169" s="28">
        <v>18.522105904428301</v>
      </c>
      <c r="AO169" s="28">
        <v>0.44539489836031299</v>
      </c>
      <c r="AP169" s="28">
        <v>0</v>
      </c>
      <c r="AQ169" s="28">
        <v>0.29577479410334301</v>
      </c>
      <c r="AR169" s="28">
        <v>10.7558542577537</v>
      </c>
      <c r="AS169" s="28">
        <v>0</v>
      </c>
      <c r="AT169" s="28">
        <v>191.32979199451401</v>
      </c>
      <c r="AU169" s="28">
        <v>15.850840004419499</v>
      </c>
      <c r="AV169" s="28">
        <v>7.7199750171205297</v>
      </c>
      <c r="AW169" s="28">
        <v>9.19337245582782</v>
      </c>
      <c r="AX169" s="28">
        <v>249.212724696847</v>
      </c>
      <c r="AY169" s="28">
        <v>0</v>
      </c>
      <c r="AZ169" s="28">
        <v>0.78404332287600798</v>
      </c>
      <c r="BA169" s="28">
        <v>4.9328529182890701</v>
      </c>
      <c r="BB169" s="28">
        <v>0.83322661644795004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11.734332104235101</v>
      </c>
      <c r="BY169" s="28">
        <v>0</v>
      </c>
      <c r="BZ169" s="28">
        <v>0</v>
      </c>
      <c r="CA169" s="28">
        <v>0</v>
      </c>
      <c r="CB169" s="28">
        <v>2.86172107749604</v>
      </c>
      <c r="CC169" s="28">
        <v>0.15686631648326699</v>
      </c>
      <c r="CD169" s="28">
        <v>2.0609303878696101</v>
      </c>
      <c r="CE169" s="28">
        <v>0.70076843132334599</v>
      </c>
      <c r="CF169" s="28">
        <v>0</v>
      </c>
      <c r="CG169" s="28">
        <v>0</v>
      </c>
      <c r="CH169" s="28">
        <v>0</v>
      </c>
      <c r="CI169" s="28">
        <v>24.8938388824463</v>
      </c>
      <c r="CJ169" s="28">
        <v>0</v>
      </c>
      <c r="CK169" s="28">
        <v>0</v>
      </c>
      <c r="CL169" s="28">
        <v>0</v>
      </c>
      <c r="CM169" s="28">
        <v>46.375048449062099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51.616111367155902</v>
      </c>
      <c r="CU169" s="28">
        <v>0.437497010935394</v>
      </c>
      <c r="CV169" s="28">
        <v>0.35087533369177798</v>
      </c>
      <c r="CW169" s="28">
        <v>0</v>
      </c>
      <c r="CX169" s="28">
        <v>1.0734189574428199</v>
      </c>
      <c r="CY169" s="28">
        <v>2.8081425007929002</v>
      </c>
      <c r="CZ169" s="28">
        <v>4.7139414925843601</v>
      </c>
      <c r="DA169" s="28">
        <v>3.00357537294372</v>
      </c>
      <c r="DB169" s="28">
        <v>45.898585702427098</v>
      </c>
      <c r="DC169" s="28">
        <v>6.6785691461347403</v>
      </c>
      <c r="DD169" s="28">
        <v>1.05152038965865E-2</v>
      </c>
      <c r="DE169" s="28">
        <v>0</v>
      </c>
      <c r="DF169" s="28">
        <v>0</v>
      </c>
      <c r="DG169" s="28">
        <v>0</v>
      </c>
      <c r="DH169" s="28">
        <v>0.43005100066059099</v>
      </c>
      <c r="DI169" s="28">
        <v>0.65053932615557297</v>
      </c>
      <c r="DJ169" s="28">
        <v>0.54775702902924595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16.655163958881499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3.41568153667869E-2</v>
      </c>
      <c r="EF169" s="28">
        <v>0</v>
      </c>
      <c r="EG169" s="28">
        <v>0</v>
      </c>
      <c r="EH169" s="28">
        <v>0</v>
      </c>
      <c r="EI169" s="28">
        <v>0</v>
      </c>
      <c r="EJ169" s="28">
        <v>0.30629223369365999</v>
      </c>
      <c r="EK169" s="28">
        <v>0.246648721224803</v>
      </c>
      <c r="EL169" s="28">
        <v>2.7884211911272301</v>
      </c>
      <c r="EM169" s="28">
        <v>0</v>
      </c>
      <c r="EN169" s="28">
        <v>1.26790514075883E-2</v>
      </c>
      <c r="EO169" s="28">
        <v>3.6263651453537098</v>
      </c>
      <c r="EP169" s="28">
        <v>0</v>
      </c>
      <c r="EQ169" s="28">
        <v>0</v>
      </c>
      <c r="ER169" s="28">
        <v>0.113678259674972</v>
      </c>
      <c r="ES169" s="28">
        <v>5.8673169666451903</v>
      </c>
      <c r="ET169" s="28">
        <v>0</v>
      </c>
      <c r="EU169" s="28">
        <v>0</v>
      </c>
      <c r="EV169" s="28">
        <v>12.842420162213999</v>
      </c>
      <c r="EW169" s="28">
        <v>0.24857725547246201</v>
      </c>
      <c r="EX169" s="28">
        <v>0.49991753662035898</v>
      </c>
      <c r="EY169" s="28">
        <v>1.29385487375471</v>
      </c>
      <c r="EZ169" s="28">
        <v>0.43492338157393601</v>
      </c>
      <c r="FA169" s="28">
        <v>3.8670420763411499</v>
      </c>
      <c r="FB169" s="28">
        <v>0.91267620472536803</v>
      </c>
      <c r="FC169" s="28">
        <v>601.72588118034105</v>
      </c>
      <c r="FD169" s="28">
        <v>448.18526198820399</v>
      </c>
      <c r="FE169" s="28">
        <v>2.0366400457799099</v>
      </c>
      <c r="FF169" s="28">
        <v>26.466783430188901</v>
      </c>
      <c r="FG169" s="28">
        <v>1321.13198710643</v>
      </c>
      <c r="FH169" s="28">
        <v>0.57630970199966602</v>
      </c>
      <c r="FI169" s="28">
        <v>3.2106164255902701</v>
      </c>
      <c r="FJ169" s="28">
        <v>0</v>
      </c>
      <c r="FK169" s="28">
        <v>0</v>
      </c>
      <c r="FL169" s="28">
        <v>0</v>
      </c>
      <c r="FM169" s="28">
        <v>0.10093906</v>
      </c>
      <c r="FN169" s="28">
        <v>1.49572690390122</v>
      </c>
      <c r="FO169" s="28">
        <v>0</v>
      </c>
      <c r="FP169" s="28">
        <v>0.34123218760648699</v>
      </c>
      <c r="FQ169" s="28">
        <v>0.491387894126043</v>
      </c>
      <c r="FR169" s="28">
        <v>6.4491361489641102E-2</v>
      </c>
      <c r="FS169" s="28">
        <v>9.1896120670608692</v>
      </c>
      <c r="FT169" s="28">
        <v>33.895640232759199</v>
      </c>
      <c r="FU169" s="28">
        <v>1.15711202402699E-2</v>
      </c>
      <c r="FV169" s="28">
        <v>0</v>
      </c>
      <c r="FW169" s="28">
        <v>1.83603538</v>
      </c>
      <c r="FX169" s="28">
        <v>3.6900000000000002E-2</v>
      </c>
      <c r="FY169" s="28">
        <v>2.5468000000000001E-3</v>
      </c>
      <c r="FZ169" s="28">
        <v>0</v>
      </c>
      <c r="GA169" s="28">
        <v>2.1497799724359998</v>
      </c>
      <c r="GB169" s="28">
        <v>0</v>
      </c>
      <c r="GC169" s="28">
        <v>0</v>
      </c>
      <c r="GD169" s="28">
        <v>0</v>
      </c>
      <c r="GE169" s="28">
        <v>3.61507245975762</v>
      </c>
      <c r="GF169" s="28">
        <v>16.552010184057998</v>
      </c>
      <c r="GG169" s="28">
        <v>89.436269324037099</v>
      </c>
      <c r="GH169" s="28">
        <v>1.2301132567059001</v>
      </c>
      <c r="GI169" s="28">
        <v>15.1893578580148</v>
      </c>
      <c r="GJ169" s="28">
        <v>5.7681835121455096</v>
      </c>
      <c r="GK169" s="28">
        <v>8.8243988476927608</v>
      </c>
      <c r="GL169" s="28">
        <v>9.8415821912194196E-2</v>
      </c>
      <c r="GM169" s="28">
        <v>0</v>
      </c>
      <c r="GN169" s="28">
        <v>0</v>
      </c>
      <c r="GO169" s="28">
        <v>0</v>
      </c>
      <c r="GP169" s="28">
        <v>0</v>
      </c>
      <c r="GQ169" s="21">
        <v>3565.1124375459849</v>
      </c>
      <c r="GR169" s="21">
        <v>440.62481111534902</v>
      </c>
      <c r="GS169" s="20">
        <v>440.62481111534902</v>
      </c>
      <c r="GT169" s="20">
        <v>0</v>
      </c>
      <c r="GU169" s="20">
        <v>0</v>
      </c>
      <c r="GV169" s="20">
        <v>0</v>
      </c>
      <c r="GW169" s="20">
        <v>0</v>
      </c>
      <c r="GX169" s="21">
        <v>725.24289271832026</v>
      </c>
      <c r="GY169" s="20">
        <v>560.37788307333801</v>
      </c>
      <c r="GZ169" s="20">
        <v>164.86500964498225</v>
      </c>
      <c r="HA169" s="20"/>
      <c r="HB169" s="21">
        <v>17.981169256800001</v>
      </c>
      <c r="HC169" s="21">
        <v>4748.9613106364541</v>
      </c>
    </row>
    <row r="170" spans="2:211" s="7" customFormat="1" ht="17.25" customHeight="1">
      <c r="B170" s="26" t="s">
        <v>149</v>
      </c>
      <c r="C170" s="10" t="s">
        <v>624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2.90971469319725E-2</v>
      </c>
      <c r="AU170" s="28">
        <v>0</v>
      </c>
      <c r="AV170" s="28">
        <v>0</v>
      </c>
      <c r="AW170" s="28">
        <v>17.420958856720901</v>
      </c>
      <c r="AX170" s="28">
        <v>36.539527071224001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6.9864290536354101</v>
      </c>
      <c r="DB170" s="28">
        <v>23.017191742447402</v>
      </c>
      <c r="DC170" s="28">
        <v>8.2914174780458492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3.0594829966365702</v>
      </c>
      <c r="DY170" s="28">
        <v>0</v>
      </c>
      <c r="DZ170" s="28">
        <v>0</v>
      </c>
      <c r="EA170" s="28">
        <v>0</v>
      </c>
      <c r="EB170" s="28">
        <v>2.3280666110305099</v>
      </c>
      <c r="EC170" s="28">
        <v>0</v>
      </c>
      <c r="ED170" s="28">
        <v>0</v>
      </c>
      <c r="EE170" s="28">
        <v>1.21352150294863E-3</v>
      </c>
      <c r="EF170" s="28">
        <v>0</v>
      </c>
      <c r="EG170" s="28">
        <v>0</v>
      </c>
      <c r="EH170" s="28">
        <v>0</v>
      </c>
      <c r="EI170" s="28">
        <v>0</v>
      </c>
      <c r="EJ170" s="28">
        <v>0.38189062324622802</v>
      </c>
      <c r="EK170" s="28">
        <v>0.35366768448251901</v>
      </c>
      <c r="EL170" s="28">
        <v>14.717412528708101</v>
      </c>
      <c r="EM170" s="28">
        <v>1.8854428288623599</v>
      </c>
      <c r="EN170" s="28">
        <v>0</v>
      </c>
      <c r="EO170" s="28">
        <v>0</v>
      </c>
      <c r="EP170" s="28">
        <v>0</v>
      </c>
      <c r="EQ170" s="28">
        <v>0</v>
      </c>
      <c r="ER170" s="28">
        <v>0.84804096365016002</v>
      </c>
      <c r="ES170" s="28">
        <v>0</v>
      </c>
      <c r="ET170" s="28">
        <v>0</v>
      </c>
      <c r="EU170" s="28">
        <v>0</v>
      </c>
      <c r="EV170" s="28">
        <v>0</v>
      </c>
      <c r="EW170" s="28">
        <v>1.36378992254954</v>
      </c>
      <c r="EX170" s="28">
        <v>4.6355293453937598</v>
      </c>
      <c r="EY170" s="28">
        <v>20.9870201543911</v>
      </c>
      <c r="EZ170" s="28">
        <v>5.8989534106496899</v>
      </c>
      <c r="FA170" s="28">
        <v>26.8763651309294</v>
      </c>
      <c r="FB170" s="28">
        <v>18.607734713495201</v>
      </c>
      <c r="FC170" s="28">
        <v>196.72378956335999</v>
      </c>
      <c r="FD170" s="28">
        <v>41.528288020676399</v>
      </c>
      <c r="FE170" s="28">
        <v>0</v>
      </c>
      <c r="FF170" s="28">
        <v>0</v>
      </c>
      <c r="FG170" s="28">
        <v>237.79202557687901</v>
      </c>
      <c r="FH170" s="28">
        <v>0</v>
      </c>
      <c r="FI170" s="28">
        <v>14.568873747831301</v>
      </c>
      <c r="FJ170" s="28">
        <v>0</v>
      </c>
      <c r="FK170" s="28">
        <v>0</v>
      </c>
      <c r="FL170" s="28">
        <v>973.45857771409396</v>
      </c>
      <c r="FM170" s="28">
        <v>3.0568673400000002</v>
      </c>
      <c r="FN170" s="28">
        <v>104.57776175417899</v>
      </c>
      <c r="FO170" s="28">
        <v>0.88953734706449905</v>
      </c>
      <c r="FP170" s="28">
        <v>0.16487391933874601</v>
      </c>
      <c r="FQ170" s="28">
        <v>5.4079166890459103</v>
      </c>
      <c r="FR170" s="28">
        <v>0.135063117782075</v>
      </c>
      <c r="FS170" s="28">
        <v>0</v>
      </c>
      <c r="FT170" s="28">
        <v>0</v>
      </c>
      <c r="FU170" s="28">
        <v>2.3422606603928702</v>
      </c>
      <c r="FV170" s="28">
        <v>0.59104073940883906</v>
      </c>
      <c r="FW170" s="28">
        <v>0</v>
      </c>
      <c r="FX170" s="28">
        <v>0</v>
      </c>
      <c r="FY170" s="28">
        <v>0</v>
      </c>
      <c r="FZ170" s="28">
        <v>0</v>
      </c>
      <c r="GA170" s="28">
        <v>0</v>
      </c>
      <c r="GB170" s="28">
        <v>1.75576307670478</v>
      </c>
      <c r="GC170" s="28">
        <v>1.2607302912712199</v>
      </c>
      <c r="GD170" s="28">
        <v>28.181138471548898</v>
      </c>
      <c r="GE170" s="28">
        <v>1.65482460583476</v>
      </c>
      <c r="GF170" s="28">
        <v>0</v>
      </c>
      <c r="GG170" s="28">
        <v>90.300442338254001</v>
      </c>
      <c r="GH170" s="28">
        <v>0</v>
      </c>
      <c r="GI170" s="28">
        <v>0</v>
      </c>
      <c r="GJ170" s="28">
        <v>0</v>
      </c>
      <c r="GK170" s="28">
        <v>0</v>
      </c>
      <c r="GL170" s="28">
        <v>1.97073416215153</v>
      </c>
      <c r="GM170" s="28">
        <v>0.89576900598187204</v>
      </c>
      <c r="GN170" s="28">
        <v>8.1528451845921897</v>
      </c>
      <c r="GO170" s="28">
        <v>0.76591228851007198</v>
      </c>
      <c r="GP170" s="28">
        <v>0</v>
      </c>
      <c r="GQ170" s="21">
        <v>1910.404267399432</v>
      </c>
      <c r="GR170" s="21">
        <v>115.06191845607</v>
      </c>
      <c r="GS170" s="20">
        <v>115.06191845607</v>
      </c>
      <c r="GT170" s="20">
        <v>0</v>
      </c>
      <c r="GU170" s="20">
        <v>0</v>
      </c>
      <c r="GV170" s="20">
        <v>0</v>
      </c>
      <c r="GW170" s="20">
        <v>0</v>
      </c>
      <c r="GX170" s="21">
        <v>4323.4107883510769</v>
      </c>
      <c r="GY170" s="20">
        <v>4315.7707097066505</v>
      </c>
      <c r="GZ170" s="20">
        <v>7.6400786444263993</v>
      </c>
      <c r="HA170" s="20"/>
      <c r="HB170" s="21">
        <v>157.931725704</v>
      </c>
      <c r="HC170" s="21">
        <v>6506.808699910579</v>
      </c>
    </row>
    <row r="171" spans="2:211" s="7" customFormat="1" ht="17.25" customHeight="1">
      <c r="B171" s="26" t="s">
        <v>150</v>
      </c>
      <c r="C171" s="9" t="s">
        <v>625</v>
      </c>
      <c r="D171" s="28">
        <v>0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6.2546249232844399E-4</v>
      </c>
      <c r="T171" s="28">
        <v>0</v>
      </c>
      <c r="U171" s="28">
        <v>0</v>
      </c>
      <c r="V171" s="28">
        <v>0</v>
      </c>
      <c r="W171" s="28">
        <v>0</v>
      </c>
      <c r="X171" s="28">
        <v>3.7090439650409399</v>
      </c>
      <c r="Y171" s="28">
        <v>1.17664824898322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0.33711828182825498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9.5729330303408808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1.73814932524503</v>
      </c>
      <c r="AU171" s="28">
        <v>19.378558804518899</v>
      </c>
      <c r="AV171" s="28">
        <v>22.136258861746199</v>
      </c>
      <c r="AW171" s="28">
        <v>0</v>
      </c>
      <c r="AX171" s="28">
        <v>14.266026173096099</v>
      </c>
      <c r="AY171" s="28">
        <v>0.14305076762194499</v>
      </c>
      <c r="AZ171" s="28">
        <v>30.814155189177001</v>
      </c>
      <c r="BA171" s="28">
        <v>15.0005037005775</v>
      </c>
      <c r="BB171" s="28">
        <v>1.2439679920609801</v>
      </c>
      <c r="BC171" s="28">
        <v>215.31063148841201</v>
      </c>
      <c r="BD171" s="28">
        <v>2.7751422892909798</v>
      </c>
      <c r="BE171" s="28">
        <v>0</v>
      </c>
      <c r="BF171" s="28">
        <v>0</v>
      </c>
      <c r="BG171" s="28">
        <v>0.35840716542828799</v>
      </c>
      <c r="BH171" s="28">
        <v>15.4150217113711</v>
      </c>
      <c r="BI171" s="28">
        <v>1.0920809238581699</v>
      </c>
      <c r="BJ171" s="28">
        <v>2.8472070089575698</v>
      </c>
      <c r="BK171" s="28">
        <v>0</v>
      </c>
      <c r="BL171" s="28">
        <v>2.6068394047238201</v>
      </c>
      <c r="BM171" s="28">
        <v>0.22035794182239399</v>
      </c>
      <c r="BN171" s="28">
        <v>0.63014873706560304</v>
      </c>
      <c r="BO171" s="28">
        <v>0</v>
      </c>
      <c r="BP171" s="28">
        <v>7.9719318503020699E-3</v>
      </c>
      <c r="BQ171" s="28">
        <v>0.57435144673796701</v>
      </c>
      <c r="BR171" s="28">
        <v>0.99147624926815303</v>
      </c>
      <c r="BS171" s="28">
        <v>0</v>
      </c>
      <c r="BT171" s="28">
        <v>0</v>
      </c>
      <c r="BU171" s="28">
        <v>0.22743074133697699</v>
      </c>
      <c r="BV171" s="28">
        <v>4.3158926293882702</v>
      </c>
      <c r="BW171" s="28">
        <v>0.84607901956933895</v>
      </c>
      <c r="BX171" s="28">
        <v>3.0112571907836201</v>
      </c>
      <c r="BY171" s="28">
        <v>0.97409385154752304</v>
      </c>
      <c r="BZ171" s="28">
        <v>4.0877812281653503</v>
      </c>
      <c r="CA171" s="28">
        <v>2.1332035035112602</v>
      </c>
      <c r="CB171" s="28">
        <v>16.693589593716201</v>
      </c>
      <c r="CC171" s="28">
        <v>0.91506538811286198</v>
      </c>
      <c r="CD171" s="28">
        <v>12.0222499484181</v>
      </c>
      <c r="CE171" s="28">
        <v>4.0878688998510402</v>
      </c>
      <c r="CF171" s="28">
        <v>0</v>
      </c>
      <c r="CG171" s="28">
        <v>1.08937135333727</v>
      </c>
      <c r="CH171" s="28">
        <v>1.16782444591607</v>
      </c>
      <c r="CI171" s="28">
        <v>1.1472241878509499</v>
      </c>
      <c r="CJ171" s="28">
        <v>0</v>
      </c>
      <c r="CK171" s="28">
        <v>0</v>
      </c>
      <c r="CL171" s="28">
        <v>0</v>
      </c>
      <c r="CM171" s="28">
        <v>11.182200007025701</v>
      </c>
      <c r="CN171" s="28">
        <v>1.5781114343553801E-3</v>
      </c>
      <c r="CO171" s="28">
        <v>0.187940565226763</v>
      </c>
      <c r="CP171" s="28">
        <v>9.2197972090321406E-3</v>
      </c>
      <c r="CQ171" s="28">
        <v>0.81959354877471902</v>
      </c>
      <c r="CR171" s="28">
        <v>0.68369244377355598</v>
      </c>
      <c r="CS171" s="28">
        <v>6.0086820588851397E-2</v>
      </c>
      <c r="CT171" s="28">
        <v>22.163737926889201</v>
      </c>
      <c r="CU171" s="28">
        <v>0.79335190793411703</v>
      </c>
      <c r="CV171" s="28">
        <v>2.1531550085357098</v>
      </c>
      <c r="CW171" s="28">
        <v>7.4770464334627604</v>
      </c>
      <c r="CX171" s="28">
        <v>0.57655403932382199</v>
      </c>
      <c r="CY171" s="28">
        <v>2.39485052866244</v>
      </c>
      <c r="CZ171" s="28">
        <v>1.27959315658172</v>
      </c>
      <c r="DA171" s="28">
        <v>89.521054449310796</v>
      </c>
      <c r="DB171" s="28">
        <v>0</v>
      </c>
      <c r="DC171" s="28">
        <v>2.4388814709011002</v>
      </c>
      <c r="DD171" s="28">
        <v>0.17345693000229701</v>
      </c>
      <c r="DE171" s="28">
        <v>0</v>
      </c>
      <c r="DF171" s="28">
        <v>0.24678359327584001</v>
      </c>
      <c r="DG171" s="28">
        <v>7.2053015034250896</v>
      </c>
      <c r="DH171" s="28">
        <v>1.48502087935773</v>
      </c>
      <c r="DI171" s="28">
        <v>0.179815028052251</v>
      </c>
      <c r="DJ171" s="28">
        <v>0</v>
      </c>
      <c r="DK171" s="28">
        <v>0</v>
      </c>
      <c r="DL171" s="28">
        <v>2.6172544958192501</v>
      </c>
      <c r="DM171" s="28">
        <v>0.39509142746393899</v>
      </c>
      <c r="DN171" s="28">
        <v>8.6221140790703803</v>
      </c>
      <c r="DO171" s="28">
        <v>1.92570556910636</v>
      </c>
      <c r="DP171" s="28">
        <v>0</v>
      </c>
      <c r="DQ171" s="28">
        <v>1.5098511960035801</v>
      </c>
      <c r="DR171" s="28">
        <v>25.9626818292422</v>
      </c>
      <c r="DS171" s="28">
        <v>1.1360053206240901</v>
      </c>
      <c r="DT171" s="28">
        <v>0.43585182569766501</v>
      </c>
      <c r="DU171" s="28">
        <v>7.8355783185801897</v>
      </c>
      <c r="DV171" s="28">
        <v>2.89874436163856E-2</v>
      </c>
      <c r="DW171" s="28">
        <v>0</v>
      </c>
      <c r="DX171" s="28">
        <v>3.1680786094749802</v>
      </c>
      <c r="DY171" s="28">
        <v>2.23727072468456</v>
      </c>
      <c r="DZ171" s="28">
        <v>65.240716650232002</v>
      </c>
      <c r="EA171" s="28">
        <v>0.108658802160177</v>
      </c>
      <c r="EB171" s="28">
        <v>1.2642328523983599</v>
      </c>
      <c r="EC171" s="28">
        <v>1.2024376024361001</v>
      </c>
      <c r="ED171" s="28">
        <v>10.3491603272884</v>
      </c>
      <c r="EE171" s="28">
        <v>1.9184767010186901</v>
      </c>
      <c r="EF171" s="28">
        <v>7.2264427673832996</v>
      </c>
      <c r="EG171" s="28">
        <v>9.7256741827549895</v>
      </c>
      <c r="EH171" s="28">
        <v>10.353034479543901</v>
      </c>
      <c r="EI171" s="28">
        <v>4.8836059040563198</v>
      </c>
      <c r="EJ171" s="28">
        <v>0.42213775507284301</v>
      </c>
      <c r="EK171" s="28">
        <v>0</v>
      </c>
      <c r="EL171" s="28">
        <v>25.700442050972999</v>
      </c>
      <c r="EM171" s="28">
        <v>1.32428304622546</v>
      </c>
      <c r="EN171" s="28">
        <v>3.5505173656166199E-3</v>
      </c>
      <c r="EO171" s="28">
        <v>0.94849017012921999</v>
      </c>
      <c r="EP171" s="28">
        <v>0</v>
      </c>
      <c r="EQ171" s="28">
        <v>1.39740446323951</v>
      </c>
      <c r="ER171" s="28">
        <v>17.225852375169801</v>
      </c>
      <c r="ES171" s="28">
        <v>5.5463363189362701E-2</v>
      </c>
      <c r="ET171" s="28">
        <v>0.62316682707813198</v>
      </c>
      <c r="EU171" s="28">
        <v>5.7587320049643197E-3</v>
      </c>
      <c r="EV171" s="28">
        <v>0.932996282742103</v>
      </c>
      <c r="EW171" s="28">
        <v>44.657309575908002</v>
      </c>
      <c r="EX171" s="28">
        <v>0</v>
      </c>
      <c r="EY171" s="28">
        <v>0</v>
      </c>
      <c r="EZ171" s="28">
        <v>0</v>
      </c>
      <c r="FA171" s="28">
        <v>0</v>
      </c>
      <c r="FB171" s="28">
        <v>0</v>
      </c>
      <c r="FC171" s="28">
        <v>2.95029745156533</v>
      </c>
      <c r="FD171" s="28">
        <v>5.4957556074858201E-2</v>
      </c>
      <c r="FE171" s="28">
        <v>3.2609209774021202</v>
      </c>
      <c r="FF171" s="28">
        <v>0</v>
      </c>
      <c r="FG171" s="28">
        <v>7.21826779521707</v>
      </c>
      <c r="FH171" s="28">
        <v>0.144195177561526</v>
      </c>
      <c r="FI171" s="28">
        <v>14.5696455230008</v>
      </c>
      <c r="FJ171" s="28">
        <v>0</v>
      </c>
      <c r="FK171" s="28">
        <v>0</v>
      </c>
      <c r="FL171" s="28">
        <v>0</v>
      </c>
      <c r="FM171" s="28">
        <v>0</v>
      </c>
      <c r="FN171" s="28">
        <v>0</v>
      </c>
      <c r="FO171" s="28">
        <v>0</v>
      </c>
      <c r="FP171" s="28">
        <v>0</v>
      </c>
      <c r="FQ171" s="28">
        <v>0</v>
      </c>
      <c r="FR171" s="28">
        <v>0</v>
      </c>
      <c r="FS171" s="28">
        <v>3.3765164635303502</v>
      </c>
      <c r="FT171" s="28">
        <v>0</v>
      </c>
      <c r="FU171" s="28">
        <v>21.676685985764301</v>
      </c>
      <c r="FV171" s="28">
        <v>0</v>
      </c>
      <c r="FW171" s="28">
        <v>0</v>
      </c>
      <c r="FX171" s="28">
        <v>0</v>
      </c>
      <c r="FY171" s="28">
        <v>0</v>
      </c>
      <c r="FZ171" s="28">
        <v>0</v>
      </c>
      <c r="GA171" s="28">
        <v>0</v>
      </c>
      <c r="GB171" s="28">
        <v>0</v>
      </c>
      <c r="GC171" s="28">
        <v>0</v>
      </c>
      <c r="GD171" s="28">
        <v>0</v>
      </c>
      <c r="GE171" s="28">
        <v>0</v>
      </c>
      <c r="GF171" s="28">
        <v>0</v>
      </c>
      <c r="GG171" s="28">
        <v>94.934743656103194</v>
      </c>
      <c r="GH171" s="28">
        <v>0.67570151389908095</v>
      </c>
      <c r="GI171" s="28">
        <v>0.45405098069236499</v>
      </c>
      <c r="GJ171" s="28">
        <v>0</v>
      </c>
      <c r="GK171" s="28">
        <v>0.50481524108979803</v>
      </c>
      <c r="GL171" s="28">
        <v>0</v>
      </c>
      <c r="GM171" s="28">
        <v>0</v>
      </c>
      <c r="GN171" s="28">
        <v>0</v>
      </c>
      <c r="GO171" s="28">
        <v>0</v>
      </c>
      <c r="GP171" s="28">
        <v>0</v>
      </c>
      <c r="GQ171" s="21">
        <v>977.36308682242316</v>
      </c>
      <c r="GR171" s="21">
        <v>69.61142375</v>
      </c>
      <c r="GS171" s="20">
        <v>69.61142375</v>
      </c>
      <c r="GT171" s="20">
        <v>0</v>
      </c>
      <c r="GU171" s="20">
        <v>0</v>
      </c>
      <c r="GV171" s="20">
        <v>0</v>
      </c>
      <c r="GW171" s="20">
        <v>0</v>
      </c>
      <c r="GX171" s="21">
        <v>5590.4919657981445</v>
      </c>
      <c r="GY171" s="20">
        <v>5519.9277896725598</v>
      </c>
      <c r="GZ171" s="20">
        <v>70.564176125584652</v>
      </c>
      <c r="HA171" s="20"/>
      <c r="HB171" s="21">
        <v>95.258530262400001</v>
      </c>
      <c r="HC171" s="21">
        <v>6732.725006632968</v>
      </c>
    </row>
    <row r="172" spans="2:211" s="7" customFormat="1" ht="17.25" customHeight="1">
      <c r="B172" s="26" t="s">
        <v>151</v>
      </c>
      <c r="C172" s="10" t="s">
        <v>626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0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0</v>
      </c>
      <c r="CY172" s="28">
        <v>0</v>
      </c>
      <c r="CZ172" s="28">
        <v>0</v>
      </c>
      <c r="DA172" s="28">
        <v>0</v>
      </c>
      <c r="DB172" s="28">
        <v>0</v>
      </c>
      <c r="DC172" s="28">
        <v>0</v>
      </c>
      <c r="DD172" s="28">
        <v>0</v>
      </c>
      <c r="DE172" s="28">
        <v>0</v>
      </c>
      <c r="DF172" s="28">
        <v>0</v>
      </c>
      <c r="DG172" s="28">
        <v>0</v>
      </c>
      <c r="DH172" s="28">
        <v>0</v>
      </c>
      <c r="DI172" s="28">
        <v>0</v>
      </c>
      <c r="DJ172" s="28">
        <v>0</v>
      </c>
      <c r="DK172" s="28">
        <v>0</v>
      </c>
      <c r="DL172" s="28">
        <v>0</v>
      </c>
      <c r="DM172" s="28">
        <v>0</v>
      </c>
      <c r="DN172" s="28">
        <v>0</v>
      </c>
      <c r="DO172" s="28">
        <v>0</v>
      </c>
      <c r="DP172" s="28">
        <v>0</v>
      </c>
      <c r="DQ172" s="28">
        <v>0</v>
      </c>
      <c r="DR172" s="28">
        <v>0</v>
      </c>
      <c r="DS172" s="28">
        <v>0</v>
      </c>
      <c r="DT172" s="28">
        <v>0</v>
      </c>
      <c r="DU172" s="28">
        <v>0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0</v>
      </c>
      <c r="EC172" s="28">
        <v>0</v>
      </c>
      <c r="ED172" s="28">
        <v>0</v>
      </c>
      <c r="EE172" s="28">
        <v>0</v>
      </c>
      <c r="EF172" s="28">
        <v>0</v>
      </c>
      <c r="EG172" s="28">
        <v>0</v>
      </c>
      <c r="EH172" s="28">
        <v>0</v>
      </c>
      <c r="EI172" s="28">
        <v>0</v>
      </c>
      <c r="EJ172" s="28">
        <v>9.8978693612796403E-2</v>
      </c>
      <c r="EK172" s="28">
        <v>0</v>
      </c>
      <c r="EL172" s="28">
        <v>0</v>
      </c>
      <c r="EM172" s="28">
        <v>0</v>
      </c>
      <c r="EN172" s="28">
        <v>0</v>
      </c>
      <c r="EO172" s="28">
        <v>0</v>
      </c>
      <c r="EP172" s="28">
        <v>0</v>
      </c>
      <c r="EQ172" s="28">
        <v>0</v>
      </c>
      <c r="ER172" s="28">
        <v>0</v>
      </c>
      <c r="ES172" s="28">
        <v>0</v>
      </c>
      <c r="ET172" s="28">
        <v>0</v>
      </c>
      <c r="EU172" s="28">
        <v>0</v>
      </c>
      <c r="EV172" s="28">
        <v>0</v>
      </c>
      <c r="EW172" s="28">
        <v>0</v>
      </c>
      <c r="EX172" s="28">
        <v>0</v>
      </c>
      <c r="EY172" s="28">
        <v>0</v>
      </c>
      <c r="EZ172" s="28">
        <v>0</v>
      </c>
      <c r="FA172" s="28">
        <v>0</v>
      </c>
      <c r="FB172" s="28">
        <v>0</v>
      </c>
      <c r="FC172" s="28">
        <v>0</v>
      </c>
      <c r="FD172" s="28">
        <v>0.56532535441044296</v>
      </c>
      <c r="FE172" s="28">
        <v>0</v>
      </c>
      <c r="FF172" s="28">
        <v>0</v>
      </c>
      <c r="FG172" s="28">
        <v>0.81456762080270695</v>
      </c>
      <c r="FH172" s="28">
        <v>0</v>
      </c>
      <c r="FI172" s="28">
        <v>0</v>
      </c>
      <c r="FJ172" s="28">
        <v>0</v>
      </c>
      <c r="FK172" s="28">
        <v>0</v>
      </c>
      <c r="FL172" s="28">
        <v>0</v>
      </c>
      <c r="FM172" s="28">
        <v>0</v>
      </c>
      <c r="FN172" s="28">
        <v>0</v>
      </c>
      <c r="FO172" s="28">
        <v>0</v>
      </c>
      <c r="FP172" s="28">
        <v>0</v>
      </c>
      <c r="FQ172" s="28">
        <v>0</v>
      </c>
      <c r="FR172" s="28">
        <v>0</v>
      </c>
      <c r="FS172" s="28">
        <v>0</v>
      </c>
      <c r="FT172" s="28">
        <v>20</v>
      </c>
      <c r="FU172" s="28">
        <v>0</v>
      </c>
      <c r="FV172" s="28">
        <v>0</v>
      </c>
      <c r="FW172" s="28">
        <v>0</v>
      </c>
      <c r="FX172" s="28">
        <v>0</v>
      </c>
      <c r="FY172" s="28">
        <v>0</v>
      </c>
      <c r="FZ172" s="28">
        <v>0</v>
      </c>
      <c r="GA172" s="28">
        <v>0</v>
      </c>
      <c r="GB172" s="28">
        <v>0</v>
      </c>
      <c r="GC172" s="28">
        <v>0</v>
      </c>
      <c r="GD172" s="28">
        <v>0</v>
      </c>
      <c r="GE172" s="28">
        <v>0</v>
      </c>
      <c r="GF172" s="28">
        <v>3.68028286680978</v>
      </c>
      <c r="GG172" s="28">
        <v>2.3643416791999998</v>
      </c>
      <c r="GH172" s="28">
        <v>0</v>
      </c>
      <c r="GI172" s="28">
        <v>0</v>
      </c>
      <c r="GJ172" s="28">
        <v>4.31739860638171</v>
      </c>
      <c r="GK172" s="28">
        <v>0.50080701697834895</v>
      </c>
      <c r="GL172" s="28">
        <v>0</v>
      </c>
      <c r="GM172" s="28">
        <v>0</v>
      </c>
      <c r="GN172" s="28">
        <v>9.2624534300000008</v>
      </c>
      <c r="GO172" s="28">
        <v>0</v>
      </c>
      <c r="GP172" s="28">
        <v>0</v>
      </c>
      <c r="GQ172" s="21">
        <v>41.604155268195782</v>
      </c>
      <c r="GR172" s="21">
        <v>689.20499294278102</v>
      </c>
      <c r="GS172" s="20">
        <v>689.20499294278102</v>
      </c>
      <c r="GT172" s="20">
        <v>0</v>
      </c>
      <c r="GU172" s="20">
        <v>0</v>
      </c>
      <c r="GV172" s="20">
        <v>0</v>
      </c>
      <c r="GW172" s="20">
        <v>0</v>
      </c>
      <c r="GX172" s="21">
        <v>470.35374421700567</v>
      </c>
      <c r="GY172" s="20">
        <v>335.309387301676</v>
      </c>
      <c r="GZ172" s="20">
        <v>135.0443569153297</v>
      </c>
      <c r="HA172" s="20"/>
      <c r="HB172" s="21">
        <v>0.30348996480000001</v>
      </c>
      <c r="HC172" s="21">
        <v>1201.4663823927826</v>
      </c>
    </row>
    <row r="173" spans="2:211" s="7" customFormat="1" ht="17.25" customHeight="1">
      <c r="B173" s="26" t="s">
        <v>152</v>
      </c>
      <c r="C173" s="10" t="s">
        <v>627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2.7572474716150102</v>
      </c>
      <c r="AW173" s="28">
        <v>0</v>
      </c>
      <c r="AX173" s="28">
        <v>0</v>
      </c>
      <c r="AY173" s="28">
        <v>0.16470149205314999</v>
      </c>
      <c r="AZ173" s="28">
        <v>0</v>
      </c>
      <c r="BA173" s="28">
        <v>0</v>
      </c>
      <c r="BB173" s="28">
        <v>0.31450068815028698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28">
        <v>0</v>
      </c>
      <c r="DG173" s="28">
        <v>0</v>
      </c>
      <c r="DH173" s="28">
        <v>0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6.3414467357127996E-2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57.529550349136898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  <c r="EU173" s="28">
        <v>0</v>
      </c>
      <c r="EV173" s="28">
        <v>0</v>
      </c>
      <c r="EW173" s="28">
        <v>80</v>
      </c>
      <c r="EX173" s="28">
        <v>0</v>
      </c>
      <c r="EY173" s="28">
        <v>0</v>
      </c>
      <c r="EZ173" s="28">
        <v>0</v>
      </c>
      <c r="FA173" s="28">
        <v>0</v>
      </c>
      <c r="FB173" s="28">
        <v>0</v>
      </c>
      <c r="FC173" s="28">
        <v>8.7262271321906901</v>
      </c>
      <c r="FD173" s="28">
        <v>0</v>
      </c>
      <c r="FE173" s="28">
        <v>0</v>
      </c>
      <c r="FF173" s="28">
        <v>0</v>
      </c>
      <c r="FG173" s="28">
        <v>0</v>
      </c>
      <c r="FH173" s="28">
        <v>0</v>
      </c>
      <c r="FI173" s="28">
        <v>3.3722527755507103E-2</v>
      </c>
      <c r="FJ173" s="28">
        <v>0</v>
      </c>
      <c r="FK173" s="28">
        <v>0</v>
      </c>
      <c r="FL173" s="28">
        <v>0</v>
      </c>
      <c r="FM173" s="28">
        <v>0</v>
      </c>
      <c r="FN173" s="28">
        <v>0</v>
      </c>
      <c r="FO173" s="28">
        <v>0</v>
      </c>
      <c r="FP173" s="28">
        <v>0</v>
      </c>
      <c r="FQ173" s="28">
        <v>0</v>
      </c>
      <c r="FR173" s="28">
        <v>0</v>
      </c>
      <c r="FS173" s="28">
        <v>0</v>
      </c>
      <c r="FT173" s="28">
        <v>0</v>
      </c>
      <c r="FU173" s="28">
        <v>0</v>
      </c>
      <c r="FV173" s="28">
        <v>0</v>
      </c>
      <c r="FW173" s="28">
        <v>0</v>
      </c>
      <c r="FX173" s="28">
        <v>8.4962972954264409</v>
      </c>
      <c r="FY173" s="28">
        <v>0</v>
      </c>
      <c r="FZ173" s="28">
        <v>0</v>
      </c>
      <c r="GA173" s="28">
        <v>0</v>
      </c>
      <c r="GB173" s="28">
        <v>0</v>
      </c>
      <c r="GC173" s="28">
        <v>0</v>
      </c>
      <c r="GD173" s="28">
        <v>0</v>
      </c>
      <c r="GE173" s="28">
        <v>0</v>
      </c>
      <c r="GF173" s="28">
        <v>0</v>
      </c>
      <c r="GG173" s="28">
        <v>138.86694746437399</v>
      </c>
      <c r="GH173" s="28">
        <v>0</v>
      </c>
      <c r="GI173" s="28">
        <v>0</v>
      </c>
      <c r="GJ173" s="28">
        <v>5.0551024921615999E-2</v>
      </c>
      <c r="GK173" s="28">
        <v>0</v>
      </c>
      <c r="GL173" s="28">
        <v>1.51535691331726</v>
      </c>
      <c r="GM173" s="28">
        <v>0.84648468093316798</v>
      </c>
      <c r="GN173" s="28">
        <v>1.0035774994228099</v>
      </c>
      <c r="GO173" s="28">
        <v>1.09457763579185</v>
      </c>
      <c r="GP173" s="28">
        <v>0</v>
      </c>
      <c r="GQ173" s="21">
        <v>301.46315664244582</v>
      </c>
      <c r="GR173" s="21">
        <v>113.494859144185</v>
      </c>
      <c r="GS173" s="20">
        <v>113.494859144185</v>
      </c>
      <c r="GT173" s="20">
        <v>0</v>
      </c>
      <c r="GU173" s="20">
        <v>0</v>
      </c>
      <c r="GV173" s="20">
        <v>0</v>
      </c>
      <c r="GW173" s="20">
        <v>0</v>
      </c>
      <c r="GX173" s="21">
        <v>796.25123586904363</v>
      </c>
      <c r="GY173" s="20">
        <v>794.40552089246398</v>
      </c>
      <c r="GZ173" s="20">
        <v>1.8457149765796568</v>
      </c>
      <c r="HA173" s="20"/>
      <c r="HB173" s="21">
        <v>11.9272692456</v>
      </c>
      <c r="HC173" s="21">
        <v>1223.1365209012745</v>
      </c>
    </row>
    <row r="174" spans="2:211" s="7" customFormat="1" ht="17.25" customHeight="1">
      <c r="B174" s="26" t="s">
        <v>153</v>
      </c>
      <c r="C174" s="10" t="s">
        <v>628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3.7957956896739202E-3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0.32643561584904301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3.6161923797620301</v>
      </c>
      <c r="AS174" s="28">
        <v>0</v>
      </c>
      <c r="AT174" s="28">
        <v>7.5693602893268004</v>
      </c>
      <c r="AU174" s="28">
        <v>4.8357650607582201</v>
      </c>
      <c r="AV174" s="28">
        <v>12.530380452244501</v>
      </c>
      <c r="AW174" s="28">
        <v>101</v>
      </c>
      <c r="AX174" s="28">
        <v>200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2.4953172909273801E-2</v>
      </c>
      <c r="BK174" s="28">
        <v>0</v>
      </c>
      <c r="BL174" s="28">
        <v>0.342825890680027</v>
      </c>
      <c r="BM174" s="28">
        <v>1.7125448164313301E-2</v>
      </c>
      <c r="BN174" s="28">
        <v>0</v>
      </c>
      <c r="BO174" s="28">
        <v>0</v>
      </c>
      <c r="BP174" s="28">
        <v>3.0740991213512402E-4</v>
      </c>
      <c r="BQ174" s="28">
        <v>0.89638588585713896</v>
      </c>
      <c r="BR174" s="28">
        <v>0</v>
      </c>
      <c r="BS174" s="28">
        <v>0</v>
      </c>
      <c r="BT174" s="28">
        <v>0</v>
      </c>
      <c r="BU174" s="28">
        <v>0</v>
      </c>
      <c r="BV174" s="28">
        <v>0.31113225192301602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0.241007686724348</v>
      </c>
      <c r="CH174" s="28">
        <v>0</v>
      </c>
      <c r="CI174" s="28">
        <v>0.45408824086189298</v>
      </c>
      <c r="CJ174" s="28">
        <v>0</v>
      </c>
      <c r="CK174" s="28">
        <v>0</v>
      </c>
      <c r="CL174" s="28">
        <v>0</v>
      </c>
      <c r="CM174" s="28">
        <v>0</v>
      </c>
      <c r="CN174" s="28">
        <v>5.3247362375259399E-2</v>
      </c>
      <c r="CO174" s="28">
        <v>5.3504763389251003E-2</v>
      </c>
      <c r="CP174" s="28">
        <v>3.01530049182475E-3</v>
      </c>
      <c r="CQ174" s="28">
        <v>0.61226373910903897</v>
      </c>
      <c r="CR174" s="28">
        <v>0</v>
      </c>
      <c r="CS174" s="28">
        <v>1.5417998826071E-2</v>
      </c>
      <c r="CT174" s="28">
        <v>4.5547635705009597</v>
      </c>
      <c r="CU174" s="28">
        <v>2.91577643575976</v>
      </c>
      <c r="CV174" s="28">
        <v>1.82328414533411</v>
      </c>
      <c r="CW174" s="28">
        <v>3.32110938807523</v>
      </c>
      <c r="CX174" s="28">
        <v>0.23657700353125899</v>
      </c>
      <c r="CY174" s="28">
        <v>4.5215138284371202E-2</v>
      </c>
      <c r="CZ174" s="28">
        <v>1.93306618364673</v>
      </c>
      <c r="DA174" s="28">
        <v>0</v>
      </c>
      <c r="DB174" s="28">
        <v>0</v>
      </c>
      <c r="DC174" s="28">
        <v>0</v>
      </c>
      <c r="DD174" s="28">
        <v>0.17182899691159301</v>
      </c>
      <c r="DE174" s="28">
        <v>0</v>
      </c>
      <c r="DF174" s="28">
        <v>3.6056739655440002</v>
      </c>
      <c r="DG174" s="28">
        <v>13.997123448633999</v>
      </c>
      <c r="DH174" s="28">
        <v>4.6072694124494102</v>
      </c>
      <c r="DI174" s="28">
        <v>0.15776167391335499</v>
      </c>
      <c r="DJ174" s="28">
        <v>0</v>
      </c>
      <c r="DK174" s="28">
        <v>0</v>
      </c>
      <c r="DL174" s="28">
        <v>0.97885746175007204</v>
      </c>
      <c r="DM174" s="28">
        <v>1.2480791786438601</v>
      </c>
      <c r="DN174" s="28">
        <v>0</v>
      </c>
      <c r="DO174" s="28">
        <v>0.82379055877428697</v>
      </c>
      <c r="DP174" s="28">
        <v>0</v>
      </c>
      <c r="DQ174" s="28">
        <v>0</v>
      </c>
      <c r="DR174" s="28">
        <v>4.38838987221202</v>
      </c>
      <c r="DS174" s="28">
        <v>2.6458234420197502</v>
      </c>
      <c r="DT174" s="28">
        <v>0.186451462152074</v>
      </c>
      <c r="DU174" s="28">
        <v>11.0785327591214</v>
      </c>
      <c r="DV174" s="28">
        <v>1.24004327334744E-2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3.4268983707639902</v>
      </c>
      <c r="EC174" s="28">
        <v>0</v>
      </c>
      <c r="ED174" s="28">
        <v>0</v>
      </c>
      <c r="EE174" s="28">
        <v>2.28962215191024</v>
      </c>
      <c r="EF174" s="28">
        <v>3.40840825420167</v>
      </c>
      <c r="EG174" s="28">
        <v>0</v>
      </c>
      <c r="EH174" s="28">
        <v>0</v>
      </c>
      <c r="EI174" s="28">
        <v>0</v>
      </c>
      <c r="EJ174" s="28">
        <v>47.036960514239397</v>
      </c>
      <c r="EK174" s="28">
        <v>1.74426696541377E-2</v>
      </c>
      <c r="EL174" s="28">
        <v>8.2241740945616097</v>
      </c>
      <c r="EM174" s="28">
        <v>6.4367741188737604</v>
      </c>
      <c r="EN174" s="28">
        <v>1.9546673081881201</v>
      </c>
      <c r="EO174" s="28">
        <v>13.5041633929669</v>
      </c>
      <c r="EP174" s="28">
        <v>0</v>
      </c>
      <c r="EQ174" s="28">
        <v>0</v>
      </c>
      <c r="ER174" s="28">
        <v>0.41633979751137501</v>
      </c>
      <c r="ES174" s="28">
        <v>0</v>
      </c>
      <c r="ET174" s="28">
        <v>0</v>
      </c>
      <c r="EU174" s="28">
        <v>0</v>
      </c>
      <c r="EV174" s="28">
        <v>0</v>
      </c>
      <c r="EW174" s="28">
        <v>77.739772000000002</v>
      </c>
      <c r="EX174" s="28">
        <v>22.0417020750088</v>
      </c>
      <c r="EY174" s="28">
        <v>0.38049066423288702</v>
      </c>
      <c r="EZ174" s="28">
        <v>87.208791932563898</v>
      </c>
      <c r="FA174" s="28">
        <v>2.7244852642543198</v>
      </c>
      <c r="FB174" s="28">
        <v>0.59971363855165405</v>
      </c>
      <c r="FC174" s="28">
        <v>114.179095264411</v>
      </c>
      <c r="FD174" s="28">
        <v>132.30854777853699</v>
      </c>
      <c r="FE174" s="28">
        <v>8.2873513457225698</v>
      </c>
      <c r="FF174" s="28">
        <v>0</v>
      </c>
      <c r="FG174" s="28">
        <v>292.83148518684902</v>
      </c>
      <c r="FH174" s="28">
        <v>9.8457307560621196E-2</v>
      </c>
      <c r="FI174" s="28">
        <v>1.2881301680317401</v>
      </c>
      <c r="FJ174" s="28">
        <v>0</v>
      </c>
      <c r="FK174" s="28">
        <v>0</v>
      </c>
      <c r="FL174" s="28">
        <v>0</v>
      </c>
      <c r="FM174" s="28">
        <v>148.73165080500399</v>
      </c>
      <c r="FN174" s="28">
        <v>0.34161895288349398</v>
      </c>
      <c r="FO174" s="28">
        <v>0</v>
      </c>
      <c r="FP174" s="28">
        <v>0</v>
      </c>
      <c r="FQ174" s="28">
        <v>3.1774390022432102</v>
      </c>
      <c r="FR174" s="28">
        <v>4.8010699556050099E-2</v>
      </c>
      <c r="FS174" s="28">
        <v>5.4375123078890697</v>
      </c>
      <c r="FT174" s="28">
        <v>31.080020026799801</v>
      </c>
      <c r="FU174" s="28">
        <v>30.039943439029201</v>
      </c>
      <c r="FV174" s="28">
        <v>0</v>
      </c>
      <c r="FW174" s="28">
        <v>0.59758250999999996</v>
      </c>
      <c r="FX174" s="28">
        <v>6.0769999999999999E-3</v>
      </c>
      <c r="FY174" s="28">
        <v>0</v>
      </c>
      <c r="FZ174" s="28">
        <v>0</v>
      </c>
      <c r="GA174" s="28">
        <v>0.27207246703327598</v>
      </c>
      <c r="GB174" s="28">
        <v>0</v>
      </c>
      <c r="GC174" s="28">
        <v>0</v>
      </c>
      <c r="GD174" s="28">
        <v>0</v>
      </c>
      <c r="GE174" s="28">
        <v>0</v>
      </c>
      <c r="GF174" s="28">
        <v>3.2509357329600999</v>
      </c>
      <c r="GG174" s="28">
        <v>204.75420925655999</v>
      </c>
      <c r="GH174" s="28">
        <v>0.63787224733054104</v>
      </c>
      <c r="GI174" s="28">
        <v>14.5977628604498</v>
      </c>
      <c r="GJ174" s="28">
        <v>49.2</v>
      </c>
      <c r="GK174" s="28">
        <v>9.0162674617269793</v>
      </c>
      <c r="GL174" s="28">
        <v>3.31974021090722</v>
      </c>
      <c r="GM174" s="28">
        <v>31.822973258793201</v>
      </c>
      <c r="GN174" s="28">
        <v>54.666346782303997</v>
      </c>
      <c r="GO174" s="28">
        <v>9.7396909479955607</v>
      </c>
      <c r="GP174" s="28">
        <v>0</v>
      </c>
      <c r="GQ174" s="21">
        <v>1818.7801785429065</v>
      </c>
      <c r="GR174" s="21">
        <v>246.68758717033899</v>
      </c>
      <c r="GS174" s="20">
        <v>246.68758717033899</v>
      </c>
      <c r="GT174" s="20">
        <v>0</v>
      </c>
      <c r="GU174" s="20">
        <v>0</v>
      </c>
      <c r="GV174" s="20">
        <v>0</v>
      </c>
      <c r="GW174" s="20">
        <v>0</v>
      </c>
      <c r="GX174" s="21">
        <v>1230.3907549547098</v>
      </c>
      <c r="GY174" s="20">
        <v>1233.2339358219001</v>
      </c>
      <c r="GZ174" s="20">
        <v>-2.8431808671903411</v>
      </c>
      <c r="HA174" s="20"/>
      <c r="HB174" s="21">
        <v>50.615007412799997</v>
      </c>
      <c r="HC174" s="21">
        <v>3346.4735280807554</v>
      </c>
    </row>
    <row r="175" spans="2:211" s="7" customFormat="1" ht="17.25" customHeight="1">
      <c r="B175" s="26" t="s">
        <v>629</v>
      </c>
      <c r="C175" s="9" t="s">
        <v>630</v>
      </c>
      <c r="D175" s="28">
        <v>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3.4102493727007903E-2</v>
      </c>
      <c r="AU175" s="28">
        <v>0</v>
      </c>
      <c r="AV175" s="28">
        <v>0.53530628202571395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9.56030359269152E-2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27.5921484550264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  <c r="EU175" s="28">
        <v>0</v>
      </c>
      <c r="EV175" s="28">
        <v>0</v>
      </c>
      <c r="EW175" s="28">
        <v>81.874713</v>
      </c>
      <c r="EX175" s="28">
        <v>0</v>
      </c>
      <c r="EY175" s="28">
        <v>0</v>
      </c>
      <c r="EZ175" s="28">
        <v>0</v>
      </c>
      <c r="FA175" s="28">
        <v>0</v>
      </c>
      <c r="FB175" s="28">
        <v>0</v>
      </c>
      <c r="FC175" s="28">
        <v>2.6092875332016501</v>
      </c>
      <c r="FD175" s="28">
        <v>2.9001710761069499</v>
      </c>
      <c r="FE175" s="28">
        <v>0</v>
      </c>
      <c r="FF175" s="28">
        <v>0.794919681151393</v>
      </c>
      <c r="FG175" s="28">
        <v>0.17121761604031699</v>
      </c>
      <c r="FH175" s="28">
        <v>0</v>
      </c>
      <c r="FI175" s="28">
        <v>0</v>
      </c>
      <c r="FJ175" s="28">
        <v>0</v>
      </c>
      <c r="FK175" s="28">
        <v>0</v>
      </c>
      <c r="FL175" s="28">
        <v>0</v>
      </c>
      <c r="FM175" s="28">
        <v>0</v>
      </c>
      <c r="FN175" s="28">
        <v>0</v>
      </c>
      <c r="FO175" s="28">
        <v>0</v>
      </c>
      <c r="FP175" s="28">
        <v>0</v>
      </c>
      <c r="FQ175" s="28">
        <v>0</v>
      </c>
      <c r="FR175" s="28">
        <v>0</v>
      </c>
      <c r="FS175" s="28">
        <v>0</v>
      </c>
      <c r="FT175" s="28">
        <v>3.9231051265383701</v>
      </c>
      <c r="FU175" s="28">
        <v>38.5998918854782</v>
      </c>
      <c r="FV175" s="28">
        <v>24.593239384184798</v>
      </c>
      <c r="FW175" s="28">
        <v>0</v>
      </c>
      <c r="FX175" s="28">
        <v>0</v>
      </c>
      <c r="FY175" s="28">
        <v>0</v>
      </c>
      <c r="FZ175" s="28">
        <v>0</v>
      </c>
      <c r="GA175" s="28">
        <v>3.47359934441499E-3</v>
      </c>
      <c r="GB175" s="28">
        <v>0</v>
      </c>
      <c r="GC175" s="28">
        <v>0</v>
      </c>
      <c r="GD175" s="28">
        <v>0</v>
      </c>
      <c r="GE175" s="28">
        <v>18.0753622987881</v>
      </c>
      <c r="GF175" s="28">
        <v>6.5244295303251496</v>
      </c>
      <c r="GG175" s="28">
        <v>72.753913879904701</v>
      </c>
      <c r="GH175" s="28">
        <v>2.32894348458768</v>
      </c>
      <c r="GI175" s="28">
        <v>0</v>
      </c>
      <c r="GJ175" s="28">
        <v>48</v>
      </c>
      <c r="GK175" s="28">
        <v>0.35577733541906098</v>
      </c>
      <c r="GL175" s="28">
        <v>5.2076269967821398</v>
      </c>
      <c r="GM175" s="28">
        <v>16.879636422017501</v>
      </c>
      <c r="GN175" s="28">
        <v>31.451275588049899</v>
      </c>
      <c r="GO175" s="28">
        <v>8.3379929931503796</v>
      </c>
      <c r="GP175" s="28">
        <v>0</v>
      </c>
      <c r="GQ175" s="21">
        <v>393.64213769777689</v>
      </c>
      <c r="GR175" s="21">
        <v>1284.15178226588</v>
      </c>
      <c r="GS175" s="20">
        <v>1284.15178226588</v>
      </c>
      <c r="GT175" s="20">
        <v>0</v>
      </c>
      <c r="GU175" s="20">
        <v>0</v>
      </c>
      <c r="GV175" s="20">
        <v>0</v>
      </c>
      <c r="GW175" s="20">
        <v>0</v>
      </c>
      <c r="GX175" s="21">
        <v>942.55410706217867</v>
      </c>
      <c r="GY175" s="20">
        <v>743.08145512449403</v>
      </c>
      <c r="GZ175" s="20">
        <v>199.4726519376847</v>
      </c>
      <c r="HA175" s="20"/>
      <c r="HB175" s="21">
        <v>50.994317459999998</v>
      </c>
      <c r="HC175" s="21">
        <v>2671.3423444858354</v>
      </c>
    </row>
    <row r="176" spans="2:211" s="7" customFormat="1" ht="17.25" customHeight="1">
      <c r="B176" s="26" t="s">
        <v>631</v>
      </c>
      <c r="C176" s="10" t="s">
        <v>632</v>
      </c>
      <c r="D176" s="28">
        <v>0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77.868028849854994</v>
      </c>
      <c r="DI176" s="28">
        <v>14.4711693840169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11.268562145569801</v>
      </c>
      <c r="ER176" s="28">
        <v>0</v>
      </c>
      <c r="ES176" s="28">
        <v>0</v>
      </c>
      <c r="ET176" s="28">
        <v>0</v>
      </c>
      <c r="EU176" s="28">
        <v>0</v>
      </c>
      <c r="EV176" s="28">
        <v>0</v>
      </c>
      <c r="EW176" s="28">
        <v>23.785143000000001</v>
      </c>
      <c r="EX176" s="28">
        <v>0</v>
      </c>
      <c r="EY176" s="28">
        <v>0</v>
      </c>
      <c r="EZ176" s="28">
        <v>0</v>
      </c>
      <c r="FA176" s="28">
        <v>0</v>
      </c>
      <c r="FB176" s="28">
        <v>0</v>
      </c>
      <c r="FC176" s="28">
        <v>0</v>
      </c>
      <c r="FD176" s="28">
        <v>0</v>
      </c>
      <c r="FE176" s="28">
        <v>0</v>
      </c>
      <c r="FF176" s="28">
        <v>0</v>
      </c>
      <c r="FG176" s="28">
        <v>0</v>
      </c>
      <c r="FH176" s="28">
        <v>0</v>
      </c>
      <c r="FI176" s="28">
        <v>0</v>
      </c>
      <c r="FJ176" s="28">
        <v>0</v>
      </c>
      <c r="FK176" s="28">
        <v>0</v>
      </c>
      <c r="FL176" s="28">
        <v>0</v>
      </c>
      <c r="FM176" s="28">
        <v>0</v>
      </c>
      <c r="FN176" s="28">
        <v>0</v>
      </c>
      <c r="FO176" s="28">
        <v>0</v>
      </c>
      <c r="FP176" s="28">
        <v>0</v>
      </c>
      <c r="FQ176" s="28">
        <v>0</v>
      </c>
      <c r="FR176" s="28">
        <v>0</v>
      </c>
      <c r="FS176" s="28">
        <v>0</v>
      </c>
      <c r="FT176" s="28">
        <v>0</v>
      </c>
      <c r="FU176" s="28">
        <v>0</v>
      </c>
      <c r="FV176" s="28">
        <v>0</v>
      </c>
      <c r="FW176" s="28">
        <v>0</v>
      </c>
      <c r="FX176" s="28">
        <v>0</v>
      </c>
      <c r="FY176" s="28">
        <v>0</v>
      </c>
      <c r="FZ176" s="28">
        <v>0</v>
      </c>
      <c r="GA176" s="28">
        <v>0</v>
      </c>
      <c r="GB176" s="28">
        <v>0</v>
      </c>
      <c r="GC176" s="28">
        <v>0</v>
      </c>
      <c r="GD176" s="28">
        <v>0</v>
      </c>
      <c r="GE176" s="28">
        <v>0</v>
      </c>
      <c r="GF176" s="28">
        <v>0</v>
      </c>
      <c r="GG176" s="28">
        <v>59.024285191895103</v>
      </c>
      <c r="GH176" s="28">
        <v>1.7667803513346899E-2</v>
      </c>
      <c r="GI176" s="28">
        <v>8.6810153242360002</v>
      </c>
      <c r="GJ176" s="28">
        <v>90.748679274914807</v>
      </c>
      <c r="GK176" s="28">
        <v>96.180183530755002</v>
      </c>
      <c r="GL176" s="28">
        <v>0</v>
      </c>
      <c r="GM176" s="28">
        <v>0</v>
      </c>
      <c r="GN176" s="28">
        <v>0</v>
      </c>
      <c r="GO176" s="28">
        <v>0</v>
      </c>
      <c r="GP176" s="28">
        <v>0</v>
      </c>
      <c r="GQ176" s="21">
        <v>382.04473450475598</v>
      </c>
      <c r="GR176" s="21">
        <v>290.44943305709398</v>
      </c>
      <c r="GS176" s="20">
        <v>290.44943305709398</v>
      </c>
      <c r="GT176" s="20">
        <v>0</v>
      </c>
      <c r="GU176" s="20">
        <v>0</v>
      </c>
      <c r="GV176" s="20">
        <v>0</v>
      </c>
      <c r="GW176" s="20">
        <v>0</v>
      </c>
      <c r="GX176" s="21">
        <v>900.31260684790175</v>
      </c>
      <c r="GY176" s="20">
        <v>692.92748149117995</v>
      </c>
      <c r="GZ176" s="20">
        <v>207.3851253567218</v>
      </c>
      <c r="HA176" s="20"/>
      <c r="HB176" s="21">
        <v>28.941762153599999</v>
      </c>
      <c r="HC176" s="21">
        <v>1601.7485365633515</v>
      </c>
    </row>
    <row r="177" spans="2:211" s="7" customFormat="1" ht="17.25" customHeight="1">
      <c r="B177" s="26" t="s">
        <v>633</v>
      </c>
      <c r="C177" s="10" t="s">
        <v>634</v>
      </c>
      <c r="D177" s="28">
        <v>0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2.2075132966425598E-3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0.83109126263108801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3.3973589977939998E-2</v>
      </c>
      <c r="AO177" s="28">
        <v>0</v>
      </c>
      <c r="AP177" s="28">
        <v>0</v>
      </c>
      <c r="AQ177" s="28">
        <v>1.20130070220441</v>
      </c>
      <c r="AR177" s="28">
        <v>2.7816864459707999</v>
      </c>
      <c r="AS177" s="28">
        <v>0</v>
      </c>
      <c r="AT177" s="28">
        <v>97.007360624333998</v>
      </c>
      <c r="AU177" s="28">
        <v>0</v>
      </c>
      <c r="AV177" s="28">
        <v>8.5890889914606099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  <c r="CR177" s="28">
        <v>0</v>
      </c>
      <c r="CS177" s="28">
        <v>0</v>
      </c>
      <c r="CT177" s="28">
        <v>0</v>
      </c>
      <c r="CU177" s="28">
        <v>0</v>
      </c>
      <c r="CV177" s="28">
        <v>0</v>
      </c>
      <c r="CW177" s="28">
        <v>0</v>
      </c>
      <c r="CX177" s="28">
        <v>0</v>
      </c>
      <c r="CY177" s="28">
        <v>0</v>
      </c>
      <c r="CZ177" s="28">
        <v>0</v>
      </c>
      <c r="DA177" s="28">
        <v>0</v>
      </c>
      <c r="DB177" s="28">
        <v>0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0</v>
      </c>
      <c r="DI177" s="28">
        <v>0</v>
      </c>
      <c r="DJ177" s="28">
        <v>0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0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0</v>
      </c>
      <c r="ED177" s="28">
        <v>0.64286906478498196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0</v>
      </c>
      <c r="EK177" s="28">
        <v>7.6116025575566404E-2</v>
      </c>
      <c r="EL177" s="28">
        <v>0</v>
      </c>
      <c r="EM177" s="28">
        <v>0</v>
      </c>
      <c r="EN177" s="28">
        <v>0</v>
      </c>
      <c r="EO177" s="28">
        <v>0</v>
      </c>
      <c r="EP177" s="28">
        <v>0</v>
      </c>
      <c r="EQ177" s="28">
        <v>0</v>
      </c>
      <c r="ER177" s="28">
        <v>3.46393705158843</v>
      </c>
      <c r="ES177" s="28">
        <v>0</v>
      </c>
      <c r="ET177" s="28">
        <v>0</v>
      </c>
      <c r="EU177" s="28">
        <v>0</v>
      </c>
      <c r="EV177" s="28">
        <v>0</v>
      </c>
      <c r="EW177" s="28">
        <v>0</v>
      </c>
      <c r="EX177" s="28">
        <v>7.0617343353477097E-3</v>
      </c>
      <c r="EY177" s="28">
        <v>0</v>
      </c>
      <c r="EZ177" s="28">
        <v>0</v>
      </c>
      <c r="FA177" s="28">
        <v>2.8705019842881798</v>
      </c>
      <c r="FB177" s="28">
        <v>0</v>
      </c>
      <c r="FC177" s="28">
        <v>0.65662822385280994</v>
      </c>
      <c r="FD177" s="28">
        <v>0.50097181721956896</v>
      </c>
      <c r="FE177" s="28">
        <v>2.6948807624825299</v>
      </c>
      <c r="FF177" s="28">
        <v>14.5817344251479</v>
      </c>
      <c r="FG177" s="28">
        <v>3.2152516216442999</v>
      </c>
      <c r="FH177" s="28">
        <v>7.3042591583508199E-3</v>
      </c>
      <c r="FI177" s="28">
        <v>6.4009903868456304</v>
      </c>
      <c r="FJ177" s="28">
        <v>1180.41178828172</v>
      </c>
      <c r="FK177" s="28">
        <v>6.3019999999999996</v>
      </c>
      <c r="FL177" s="28">
        <v>0</v>
      </c>
      <c r="FM177" s="28">
        <v>790.96445236010697</v>
      </c>
      <c r="FN177" s="28">
        <v>0</v>
      </c>
      <c r="FO177" s="28">
        <v>0</v>
      </c>
      <c r="FP177" s="28">
        <v>0</v>
      </c>
      <c r="FQ177" s="28">
        <v>0</v>
      </c>
      <c r="FR177" s="28">
        <v>0</v>
      </c>
      <c r="FS177" s="28">
        <v>0.58165704004749497</v>
      </c>
      <c r="FT177" s="28">
        <v>5.7255025187698303</v>
      </c>
      <c r="FU177" s="28">
        <v>6.8091530307147297</v>
      </c>
      <c r="FV177" s="28">
        <v>0</v>
      </c>
      <c r="FW177" s="28">
        <v>0</v>
      </c>
      <c r="FX177" s="28">
        <v>0</v>
      </c>
      <c r="FY177" s="28">
        <v>0</v>
      </c>
      <c r="FZ177" s="28">
        <v>0</v>
      </c>
      <c r="GA177" s="28">
        <v>2.7788794755319998E-3</v>
      </c>
      <c r="GB177" s="28">
        <v>0</v>
      </c>
      <c r="GC177" s="28">
        <v>0</v>
      </c>
      <c r="GD177" s="28">
        <v>0</v>
      </c>
      <c r="GE177" s="28">
        <v>14.4602898390305</v>
      </c>
      <c r="GF177" s="28">
        <v>33.122545801287998</v>
      </c>
      <c r="GG177" s="28">
        <v>54.423292417101401</v>
      </c>
      <c r="GH177" s="28">
        <v>0.564739790059261</v>
      </c>
      <c r="GI177" s="28">
        <v>13.8152131921512</v>
      </c>
      <c r="GJ177" s="28">
        <v>0</v>
      </c>
      <c r="GK177" s="28">
        <v>42.678143036377598</v>
      </c>
      <c r="GL177" s="28">
        <v>8.7801404789756204E-2</v>
      </c>
      <c r="GM177" s="28">
        <v>1.16650437792105</v>
      </c>
      <c r="GN177" s="28">
        <v>0</v>
      </c>
      <c r="GO177" s="28">
        <v>0</v>
      </c>
      <c r="GP177" s="28">
        <v>0</v>
      </c>
      <c r="GQ177" s="21">
        <v>2296.6808184563565</v>
      </c>
      <c r="GR177" s="21">
        <v>3808.5575386252899</v>
      </c>
      <c r="GS177" s="20">
        <v>3803.9170003852901</v>
      </c>
      <c r="GT177" s="20">
        <v>0</v>
      </c>
      <c r="GU177" s="20">
        <v>4.6405382399999997</v>
      </c>
      <c r="GV177" s="20">
        <v>4.6405382399999997</v>
      </c>
      <c r="GW177" s="20">
        <v>0</v>
      </c>
      <c r="GX177" s="21">
        <v>7241.0259579628373</v>
      </c>
      <c r="GY177" s="20">
        <v>7423.2190507278701</v>
      </c>
      <c r="GZ177" s="20">
        <v>-182.19309276503319</v>
      </c>
      <c r="HA177" s="20"/>
      <c r="HB177" s="21">
        <v>12.2720457216</v>
      </c>
      <c r="HC177" s="21">
        <v>13358.536360766084</v>
      </c>
    </row>
    <row r="178" spans="2:211" s="7" customFormat="1" ht="17.25" customHeight="1">
      <c r="B178" s="26" t="s">
        <v>154</v>
      </c>
      <c r="C178" s="10" t="s">
        <v>346</v>
      </c>
      <c r="D178" s="28">
        <v>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2.3456469441070502E-3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  <c r="EU178" s="28">
        <v>0</v>
      </c>
      <c r="EV178" s="28">
        <v>0</v>
      </c>
      <c r="EW178" s="28">
        <v>0</v>
      </c>
      <c r="EX178" s="28">
        <v>2.0469323889598399E-2</v>
      </c>
      <c r="EY178" s="28">
        <v>0</v>
      </c>
      <c r="EZ178" s="28">
        <v>0</v>
      </c>
      <c r="FA178" s="28">
        <v>0</v>
      </c>
      <c r="FB178" s="28">
        <v>0</v>
      </c>
      <c r="FC178" s="28">
        <v>289.28861893653499</v>
      </c>
      <c r="FD178" s="28">
        <v>233.87879450323601</v>
      </c>
      <c r="FE178" s="28">
        <v>0</v>
      </c>
      <c r="FF178" s="28">
        <v>0</v>
      </c>
      <c r="FG178" s="28">
        <v>121.007757834711</v>
      </c>
      <c r="FH178" s="28">
        <v>0</v>
      </c>
      <c r="FI178" s="28">
        <v>0</v>
      </c>
      <c r="FJ178" s="28">
        <v>0</v>
      </c>
      <c r="FK178" s="28">
        <v>0</v>
      </c>
      <c r="FL178" s="28">
        <v>0</v>
      </c>
      <c r="FM178" s="28">
        <v>0</v>
      </c>
      <c r="FN178" s="28">
        <v>0</v>
      </c>
      <c r="FO178" s="28">
        <v>0</v>
      </c>
      <c r="FP178" s="28">
        <v>0</v>
      </c>
      <c r="FQ178" s="28">
        <v>2.0104156103747499</v>
      </c>
      <c r="FR178" s="28">
        <v>0</v>
      </c>
      <c r="FS178" s="28">
        <v>12.662814511742299</v>
      </c>
      <c r="FT178" s="28">
        <v>0</v>
      </c>
      <c r="FU178" s="28">
        <v>0</v>
      </c>
      <c r="FV178" s="28">
        <v>0</v>
      </c>
      <c r="FW178" s="28">
        <v>0</v>
      </c>
      <c r="FX178" s="28">
        <v>0</v>
      </c>
      <c r="FY178" s="28">
        <v>0</v>
      </c>
      <c r="FZ178" s="28">
        <v>0</v>
      </c>
      <c r="GA178" s="28">
        <v>0</v>
      </c>
      <c r="GB178" s="28">
        <v>0</v>
      </c>
      <c r="GC178" s="28">
        <v>0</v>
      </c>
      <c r="GD178" s="28">
        <v>0</v>
      </c>
      <c r="GE178" s="28">
        <v>0</v>
      </c>
      <c r="GF178" s="28">
        <v>0</v>
      </c>
      <c r="GG178" s="28">
        <v>39.531174687698098</v>
      </c>
      <c r="GH178" s="28">
        <v>4.58359446733391</v>
      </c>
      <c r="GI178" s="28">
        <v>0</v>
      </c>
      <c r="GJ178" s="28">
        <v>0</v>
      </c>
      <c r="GK178" s="28">
        <v>0.67714537964492905</v>
      </c>
      <c r="GL178" s="28">
        <v>0</v>
      </c>
      <c r="GM178" s="28">
        <v>0</v>
      </c>
      <c r="GN178" s="28">
        <v>0</v>
      </c>
      <c r="GO178" s="28">
        <v>0</v>
      </c>
      <c r="GP178" s="28">
        <v>0</v>
      </c>
      <c r="GQ178" s="21">
        <v>703.66313090210974</v>
      </c>
      <c r="GR178" s="21">
        <v>1056.2809455731399</v>
      </c>
      <c r="GS178" s="20">
        <v>1056.2809455731399</v>
      </c>
      <c r="GT178" s="20">
        <v>0</v>
      </c>
      <c r="GU178" s="20">
        <v>0</v>
      </c>
      <c r="GV178" s="20">
        <v>0</v>
      </c>
      <c r="GW178" s="20">
        <v>0</v>
      </c>
      <c r="GX178" s="21">
        <v>1087.7588683295648</v>
      </c>
      <c r="GY178" s="20">
        <v>1018.29725904499</v>
      </c>
      <c r="GZ178" s="20">
        <v>69.461609284574834</v>
      </c>
      <c r="HA178" s="20"/>
      <c r="HB178" s="21">
        <v>55.953656837841997</v>
      </c>
      <c r="HC178" s="21">
        <v>2903.6566016426564</v>
      </c>
    </row>
    <row r="179" spans="2:211" s="7" customFormat="1" ht="17.25" customHeight="1">
      <c r="B179" s="26" t="s">
        <v>157</v>
      </c>
      <c r="C179" s="9" t="s">
        <v>635</v>
      </c>
      <c r="D179" s="28">
        <v>0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  <c r="EU179" s="28">
        <v>0</v>
      </c>
      <c r="EV179" s="28">
        <v>0</v>
      </c>
      <c r="EW179" s="28">
        <v>0</v>
      </c>
      <c r="EX179" s="28">
        <v>0</v>
      </c>
      <c r="EY179" s="28">
        <v>0</v>
      </c>
      <c r="EZ179" s="28">
        <v>0</v>
      </c>
      <c r="FA179" s="28">
        <v>0</v>
      </c>
      <c r="FB179" s="28">
        <v>0</v>
      </c>
      <c r="FC179" s="28">
        <v>0</v>
      </c>
      <c r="FD179" s="28">
        <v>0</v>
      </c>
      <c r="FE179" s="28">
        <v>0</v>
      </c>
      <c r="FF179" s="28">
        <v>0</v>
      </c>
      <c r="FG179" s="28">
        <v>0</v>
      </c>
      <c r="FH179" s="28">
        <v>0</v>
      </c>
      <c r="FI179" s="28">
        <v>0</v>
      </c>
      <c r="FJ179" s="28">
        <v>0</v>
      </c>
      <c r="FK179" s="28">
        <v>0</v>
      </c>
      <c r="FL179" s="28">
        <v>0</v>
      </c>
      <c r="FM179" s="28">
        <v>0</v>
      </c>
      <c r="FN179" s="28">
        <v>0</v>
      </c>
      <c r="FO179" s="28">
        <v>0</v>
      </c>
      <c r="FP179" s="28">
        <v>0</v>
      </c>
      <c r="FQ179" s="28">
        <v>0</v>
      </c>
      <c r="FR179" s="28">
        <v>0</v>
      </c>
      <c r="FS179" s="28">
        <v>0</v>
      </c>
      <c r="FT179" s="28">
        <v>0</v>
      </c>
      <c r="FU179" s="28">
        <v>0</v>
      </c>
      <c r="FV179" s="28">
        <v>0</v>
      </c>
      <c r="FW179" s="28">
        <v>29.803503249999999</v>
      </c>
      <c r="FX179" s="28">
        <v>0</v>
      </c>
      <c r="FY179" s="28">
        <v>0</v>
      </c>
      <c r="FZ179" s="28">
        <v>0</v>
      </c>
      <c r="GA179" s="28">
        <v>0</v>
      </c>
      <c r="GB179" s="28">
        <v>0</v>
      </c>
      <c r="GC179" s="28">
        <v>0</v>
      </c>
      <c r="GD179" s="28">
        <v>0</v>
      </c>
      <c r="GE179" s="28">
        <v>0</v>
      </c>
      <c r="GF179" s="28">
        <v>0</v>
      </c>
      <c r="GG179" s="28">
        <v>0</v>
      </c>
      <c r="GH179" s="28">
        <v>0</v>
      </c>
      <c r="GI179" s="28">
        <v>0</v>
      </c>
      <c r="GJ179" s="28">
        <v>0</v>
      </c>
      <c r="GK179" s="28">
        <v>0</v>
      </c>
      <c r="GL179" s="28">
        <v>0</v>
      </c>
      <c r="GM179" s="28">
        <v>0</v>
      </c>
      <c r="GN179" s="28">
        <v>0</v>
      </c>
      <c r="GO179" s="28">
        <v>0</v>
      </c>
      <c r="GP179" s="28">
        <v>0</v>
      </c>
      <c r="GQ179" s="21">
        <v>29.803503249999999</v>
      </c>
      <c r="GR179" s="21">
        <v>337.91560898981101</v>
      </c>
      <c r="GS179" s="20">
        <v>337.91560898981101</v>
      </c>
      <c r="GT179" s="20">
        <v>0</v>
      </c>
      <c r="GU179" s="20">
        <v>0</v>
      </c>
      <c r="GV179" s="20">
        <v>0</v>
      </c>
      <c r="GW179" s="20">
        <v>0</v>
      </c>
      <c r="GX179" s="21">
        <v>789.76658199016481</v>
      </c>
      <c r="GY179" s="20">
        <v>0</v>
      </c>
      <c r="GZ179" s="20">
        <v>102.07501392897881</v>
      </c>
      <c r="HA179" s="20">
        <v>687.69156806118599</v>
      </c>
      <c r="HB179" s="21">
        <v>1073.75424842853</v>
      </c>
      <c r="HC179" s="21">
        <v>2231.2399426585057</v>
      </c>
    </row>
    <row r="180" spans="2:211" s="7" customFormat="1" ht="17.25" customHeight="1">
      <c r="B180" s="26" t="s">
        <v>158</v>
      </c>
      <c r="C180" s="10" t="s">
        <v>636</v>
      </c>
      <c r="D180" s="28">
        <v>0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8.4894411659182198E-2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  <c r="EU180" s="28">
        <v>0</v>
      </c>
      <c r="EV180" s="28">
        <v>0</v>
      </c>
      <c r="EW180" s="28">
        <v>0</v>
      </c>
      <c r="EX180" s="28">
        <v>0</v>
      </c>
      <c r="EY180" s="28">
        <v>0</v>
      </c>
      <c r="EZ180" s="28">
        <v>0</v>
      </c>
      <c r="FA180" s="28">
        <v>0</v>
      </c>
      <c r="FB180" s="28">
        <v>0</v>
      </c>
      <c r="FC180" s="28">
        <v>0</v>
      </c>
      <c r="FD180" s="28">
        <v>1.2192138366028201E-2</v>
      </c>
      <c r="FE180" s="28">
        <v>0</v>
      </c>
      <c r="FF180" s="28">
        <v>0</v>
      </c>
      <c r="FG180" s="28">
        <v>2.9578431849284499</v>
      </c>
      <c r="FH180" s="28">
        <v>0</v>
      </c>
      <c r="FI180" s="28">
        <v>0</v>
      </c>
      <c r="FJ180" s="28">
        <v>0</v>
      </c>
      <c r="FK180" s="28">
        <v>0</v>
      </c>
      <c r="FL180" s="28">
        <v>0</v>
      </c>
      <c r="FM180" s="28">
        <v>0</v>
      </c>
      <c r="FN180" s="28">
        <v>0</v>
      </c>
      <c r="FO180" s="28">
        <v>0</v>
      </c>
      <c r="FP180" s="28">
        <v>0</v>
      </c>
      <c r="FQ180" s="28">
        <v>0</v>
      </c>
      <c r="FR180" s="28">
        <v>0</v>
      </c>
      <c r="FS180" s="28">
        <v>0</v>
      </c>
      <c r="FT180" s="28">
        <v>0</v>
      </c>
      <c r="FU180" s="28">
        <v>0</v>
      </c>
      <c r="FV180" s="28">
        <v>0</v>
      </c>
      <c r="FW180" s="28">
        <v>0</v>
      </c>
      <c r="FX180" s="28">
        <v>0</v>
      </c>
      <c r="FY180" s="28">
        <v>0</v>
      </c>
      <c r="FZ180" s="28">
        <v>0</v>
      </c>
      <c r="GA180" s="28">
        <v>0</v>
      </c>
      <c r="GB180" s="28">
        <v>0</v>
      </c>
      <c r="GC180" s="28">
        <v>0</v>
      </c>
      <c r="GD180" s="28">
        <v>0</v>
      </c>
      <c r="GE180" s="28">
        <v>0</v>
      </c>
      <c r="GF180" s="28">
        <v>0</v>
      </c>
      <c r="GG180" s="28">
        <v>102.107856995587</v>
      </c>
      <c r="GH180" s="28">
        <v>3.4534670396734399</v>
      </c>
      <c r="GI180" s="28">
        <v>6.5472103755019999</v>
      </c>
      <c r="GJ180" s="28">
        <v>0</v>
      </c>
      <c r="GK180" s="28">
        <v>1.3750470253203999</v>
      </c>
      <c r="GL180" s="28">
        <v>0</v>
      </c>
      <c r="GM180" s="28">
        <v>0</v>
      </c>
      <c r="GN180" s="28">
        <v>0</v>
      </c>
      <c r="GO180" s="28">
        <v>0</v>
      </c>
      <c r="GP180" s="28">
        <v>0</v>
      </c>
      <c r="GQ180" s="21">
        <v>116.5385111710365</v>
      </c>
      <c r="GR180" s="21">
        <v>568.48137301094403</v>
      </c>
      <c r="GS180" s="20">
        <v>548.85246141507503</v>
      </c>
      <c r="GT180" s="20">
        <v>5.3302279822600021</v>
      </c>
      <c r="GU180" s="20">
        <v>14.298683613608958</v>
      </c>
      <c r="GV180" s="20">
        <v>14.298683613608958</v>
      </c>
      <c r="GW180" s="20">
        <v>0</v>
      </c>
      <c r="GX180" s="21">
        <v>68.08804494994088</v>
      </c>
      <c r="GY180" s="20">
        <v>19.6877982741726</v>
      </c>
      <c r="GZ180" s="20">
        <v>48.40024667576828</v>
      </c>
      <c r="HA180" s="20"/>
      <c r="HB180" s="21">
        <v>8.1377744152849303</v>
      </c>
      <c r="HC180" s="21">
        <v>761.2457035472064</v>
      </c>
    </row>
    <row r="181" spans="2:211" s="7" customFormat="1" ht="17.25" customHeight="1">
      <c r="B181" s="26" t="s">
        <v>637</v>
      </c>
      <c r="C181" s="10" t="s">
        <v>638</v>
      </c>
      <c r="D181" s="28">
        <v>6.0780315128154003E-2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3.2542826885233402E-3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1.5048167311865199E-3</v>
      </c>
      <c r="AF181" s="28">
        <v>13.172360778128301</v>
      </c>
      <c r="AG181" s="28">
        <v>0</v>
      </c>
      <c r="AH181" s="28">
        <v>0</v>
      </c>
      <c r="AI181" s="28">
        <v>0</v>
      </c>
      <c r="AJ181" s="28">
        <v>4.8660731759193901E-2</v>
      </c>
      <c r="AK181" s="28">
        <v>0</v>
      </c>
      <c r="AL181" s="28">
        <v>0</v>
      </c>
      <c r="AM181" s="28">
        <v>0.63888615399029702</v>
      </c>
      <c r="AN181" s="28">
        <v>0.37713956042046898</v>
      </c>
      <c r="AO181" s="28">
        <v>0</v>
      </c>
      <c r="AP181" s="28">
        <v>1.2123622975294801</v>
      </c>
      <c r="AQ181" s="28">
        <v>5.9767583256088903</v>
      </c>
      <c r="AR181" s="28">
        <v>0</v>
      </c>
      <c r="AS181" s="28">
        <v>0</v>
      </c>
      <c r="AT181" s="28">
        <v>9.1231559789150101</v>
      </c>
      <c r="AU181" s="28">
        <v>12.994178710179201</v>
      </c>
      <c r="AV181" s="28">
        <v>12.741290722633501</v>
      </c>
      <c r="AW181" s="28">
        <v>3.8366068173288501</v>
      </c>
      <c r="AX181" s="28">
        <v>10.083079440375201</v>
      </c>
      <c r="AY181" s="28">
        <v>1.2424662727444699E-2</v>
      </c>
      <c r="AZ181" s="28">
        <v>0.10987027591602901</v>
      </c>
      <c r="BA181" s="28">
        <v>1.07775171432923E-2</v>
      </c>
      <c r="BB181" s="28">
        <v>4.8278397732867601E-2</v>
      </c>
      <c r="BC181" s="28">
        <v>8.3425862080557902</v>
      </c>
      <c r="BD181" s="28">
        <v>0.44087435971660199</v>
      </c>
      <c r="BE181" s="28">
        <v>0</v>
      </c>
      <c r="BF181" s="28">
        <v>0</v>
      </c>
      <c r="BG181" s="28">
        <v>7.8215683429377195E-2</v>
      </c>
      <c r="BH181" s="28">
        <v>2.5336769328145099</v>
      </c>
      <c r="BI181" s="28">
        <v>0.67745318898664897</v>
      </c>
      <c r="BJ181" s="28">
        <v>0.30193336003953503</v>
      </c>
      <c r="BK181" s="28">
        <v>0</v>
      </c>
      <c r="BL181" s="28">
        <v>0.22326007078236301</v>
      </c>
      <c r="BM181" s="28">
        <v>2.7950023890813198E-2</v>
      </c>
      <c r="BN181" s="28">
        <v>0.14387777268787399</v>
      </c>
      <c r="BO181" s="28">
        <v>0.40020216548617799</v>
      </c>
      <c r="BP181" s="28">
        <v>4.8787941279156599E-4</v>
      </c>
      <c r="BQ181" s="28">
        <v>0.49997216242018</v>
      </c>
      <c r="BR181" s="28">
        <v>9.4739217456644001E-2</v>
      </c>
      <c r="BS181" s="28">
        <v>0</v>
      </c>
      <c r="BT181" s="28">
        <v>0</v>
      </c>
      <c r="BU181" s="28">
        <v>9.63043965692858E-2</v>
      </c>
      <c r="BV181" s="28">
        <v>3.0524306677093498</v>
      </c>
      <c r="BW181" s="28">
        <v>0</v>
      </c>
      <c r="BX181" s="28">
        <v>0.23450374582833999</v>
      </c>
      <c r="BY181" s="28">
        <v>6.8754544157735298E-2</v>
      </c>
      <c r="BZ181" s="28">
        <v>5.8497212320127799E-2</v>
      </c>
      <c r="CA181" s="28">
        <v>0.46442296954766799</v>
      </c>
      <c r="CB181" s="28">
        <v>0.41098793578257398</v>
      </c>
      <c r="CC181" s="28">
        <v>2.2528458175834699E-2</v>
      </c>
      <c r="CD181" s="28">
        <v>0.295981859505064</v>
      </c>
      <c r="CE181" s="28">
        <v>0.100641314527822</v>
      </c>
      <c r="CF181" s="28">
        <v>0</v>
      </c>
      <c r="CG181" s="28">
        <v>0.63596235105607601</v>
      </c>
      <c r="CH181" s="28">
        <v>0.172206403838956</v>
      </c>
      <c r="CI181" s="28">
        <v>0.34388658404350297</v>
      </c>
      <c r="CJ181" s="28">
        <v>8.9114256071494202E-2</v>
      </c>
      <c r="CK181" s="28">
        <v>0.114710010588169</v>
      </c>
      <c r="CL181" s="28">
        <v>6.9548194764326193E-2</v>
      </c>
      <c r="CM181" s="28">
        <v>1.3114881652038901</v>
      </c>
      <c r="CN181" s="28">
        <v>2.4077484384179101E-2</v>
      </c>
      <c r="CO181" s="28">
        <v>5.0504751503467601E-2</v>
      </c>
      <c r="CP181" s="28">
        <v>0.61731928586959794</v>
      </c>
      <c r="CQ181" s="28">
        <v>2.6168742179870601</v>
      </c>
      <c r="CR181" s="28">
        <v>0.219965378064513</v>
      </c>
      <c r="CS181" s="28">
        <v>3.6627392548899298E-3</v>
      </c>
      <c r="CT181" s="28">
        <v>47.854582585779802</v>
      </c>
      <c r="CU181" s="28">
        <v>2.06512838832086</v>
      </c>
      <c r="CV181" s="28">
        <v>0.42462415643530399</v>
      </c>
      <c r="CW181" s="28">
        <v>2.2700912396586799</v>
      </c>
      <c r="CX181" s="28">
        <v>6.6202079317487401</v>
      </c>
      <c r="CY181" s="28">
        <v>1.1956416885280701</v>
      </c>
      <c r="CZ181" s="28">
        <v>0.107218380261613</v>
      </c>
      <c r="DA181" s="28">
        <v>0.97667011230978495</v>
      </c>
      <c r="DB181" s="28">
        <v>3.7093784853181702</v>
      </c>
      <c r="DC181" s="28">
        <v>0.90703013839531899</v>
      </c>
      <c r="DD181" s="28">
        <v>0</v>
      </c>
      <c r="DE181" s="28">
        <v>0</v>
      </c>
      <c r="DF181" s="28">
        <v>0.15977952873179299</v>
      </c>
      <c r="DG181" s="28">
        <v>3.0503332542373598</v>
      </c>
      <c r="DH181" s="28">
        <v>4.9413059139252802</v>
      </c>
      <c r="DI181" s="28">
        <v>0.95209166322345196</v>
      </c>
      <c r="DJ181" s="28">
        <v>1.3432205160041499</v>
      </c>
      <c r="DK181" s="28">
        <v>7.06371827636018E-2</v>
      </c>
      <c r="DL181" s="28">
        <v>1.9282477630925099</v>
      </c>
      <c r="DM181" s="28">
        <v>0.47653466431049901</v>
      </c>
      <c r="DN181" s="28">
        <v>1.3588431551275899</v>
      </c>
      <c r="DO181" s="28">
        <v>5.92388095789146E-2</v>
      </c>
      <c r="DP181" s="28">
        <v>0</v>
      </c>
      <c r="DQ181" s="28">
        <v>2.2006654416044702</v>
      </c>
      <c r="DR181" s="28">
        <v>27.8189317510646</v>
      </c>
      <c r="DS181" s="28">
        <v>0.52161013612428597</v>
      </c>
      <c r="DT181" s="28">
        <v>5.8728653808312499E-2</v>
      </c>
      <c r="DU181" s="28">
        <v>2.5557398403814102</v>
      </c>
      <c r="DV181" s="28">
        <v>0.50323750680382595</v>
      </c>
      <c r="DW181" s="28">
        <v>0</v>
      </c>
      <c r="DX181" s="28">
        <v>0.62371601760213302</v>
      </c>
      <c r="DY181" s="28">
        <v>1.3150178137958799</v>
      </c>
      <c r="DZ181" s="28">
        <v>3.1276313223524599</v>
      </c>
      <c r="EA181" s="28">
        <v>8.7891617728428593E-3</v>
      </c>
      <c r="EB181" s="28">
        <v>1.31371274184904</v>
      </c>
      <c r="EC181" s="28">
        <v>1.3224614852056999</v>
      </c>
      <c r="ED181" s="28">
        <v>12.168715698043901</v>
      </c>
      <c r="EE181" s="28">
        <v>7.5301431787961803</v>
      </c>
      <c r="EF181" s="28">
        <v>0.80044865151569</v>
      </c>
      <c r="EG181" s="28">
        <v>1.09770721883492</v>
      </c>
      <c r="EH181" s="28">
        <v>0.379032093742104</v>
      </c>
      <c r="EI181" s="28">
        <v>0.177470049273629</v>
      </c>
      <c r="EJ181" s="28">
        <v>1.54278409937293</v>
      </c>
      <c r="EK181" s="28">
        <v>5.0983845776248302E-2</v>
      </c>
      <c r="EL181" s="28">
        <v>1.2283840364899801</v>
      </c>
      <c r="EM181" s="28">
        <v>3.1618066678072701E-3</v>
      </c>
      <c r="EN181" s="28">
        <v>0.24293300302832199</v>
      </c>
      <c r="EO181" s="28">
        <v>9.4180896153527591</v>
      </c>
      <c r="EP181" s="28">
        <v>0</v>
      </c>
      <c r="EQ181" s="28">
        <v>0.58812396169315895</v>
      </c>
      <c r="ER181" s="28">
        <v>1.1291417074619601</v>
      </c>
      <c r="ES181" s="28">
        <v>7.7344056619906898E-2</v>
      </c>
      <c r="ET181" s="28">
        <v>0.170213454018352</v>
      </c>
      <c r="EU181" s="28">
        <v>4.1290109525700296E-3</v>
      </c>
      <c r="EV181" s="28">
        <v>1.2038868629824799</v>
      </c>
      <c r="EW181" s="28">
        <v>1.54747991221144</v>
      </c>
      <c r="EX181" s="28">
        <v>7.1350938374174602</v>
      </c>
      <c r="EY181" s="28">
        <v>0.41140931160888</v>
      </c>
      <c r="EZ181" s="28">
        <v>4.1400675189814304</v>
      </c>
      <c r="FA181" s="28">
        <v>3.2199731062214498</v>
      </c>
      <c r="FB181" s="28">
        <v>4.1349360247258602</v>
      </c>
      <c r="FC181" s="28">
        <v>3.2967915431799701</v>
      </c>
      <c r="FD181" s="28">
        <v>54.854526567173501</v>
      </c>
      <c r="FE181" s="28">
        <v>1.02939835874359</v>
      </c>
      <c r="FF181" s="28">
        <v>5.47232729189097</v>
      </c>
      <c r="FG181" s="28">
        <v>105.563579736861</v>
      </c>
      <c r="FH181" s="28">
        <v>0.129507194382046</v>
      </c>
      <c r="FI181" s="28">
        <v>111.449522980532</v>
      </c>
      <c r="FJ181" s="28">
        <v>1.0145347695495699</v>
      </c>
      <c r="FK181" s="28">
        <v>2.3220000000000001</v>
      </c>
      <c r="FL181" s="28">
        <v>10.129506399079901</v>
      </c>
      <c r="FM181" s="28">
        <v>1.02692997226622</v>
      </c>
      <c r="FN181" s="28">
        <v>5.4104998108883002</v>
      </c>
      <c r="FO181" s="28">
        <v>0.36026352792968103</v>
      </c>
      <c r="FP181" s="28">
        <v>2.4074879835897698</v>
      </c>
      <c r="FQ181" s="28">
        <v>14.212129439886599</v>
      </c>
      <c r="FR181" s="28">
        <v>0.79268294602067801</v>
      </c>
      <c r="FS181" s="28">
        <v>17.2654028560599</v>
      </c>
      <c r="FT181" s="28">
        <v>0.293234308168692</v>
      </c>
      <c r="FU181" s="28">
        <v>45.633440152761402</v>
      </c>
      <c r="FV181" s="28">
        <v>5.0877497238899299</v>
      </c>
      <c r="FW181" s="28">
        <v>2.3772737400000001</v>
      </c>
      <c r="FX181" s="28">
        <v>1.1469987188736399</v>
      </c>
      <c r="FY181" s="28">
        <v>51.463662429999999</v>
      </c>
      <c r="FZ181" s="28">
        <v>4.1191129000000002</v>
      </c>
      <c r="GA181" s="28">
        <v>7.9212615762041007E-3</v>
      </c>
      <c r="GB181" s="28">
        <v>7.7532078402539604</v>
      </c>
      <c r="GC181" s="28">
        <v>5.5672112646740803</v>
      </c>
      <c r="GD181" s="28">
        <v>8.66767362786665</v>
      </c>
      <c r="GE181" s="28">
        <v>41.870188184025899</v>
      </c>
      <c r="GF181" s="28">
        <v>38.256234244087601</v>
      </c>
      <c r="GG181" s="28">
        <v>103.366115347329</v>
      </c>
      <c r="GH181" s="28">
        <v>39.256155305261103</v>
      </c>
      <c r="GI181" s="28">
        <v>57.5415910809404</v>
      </c>
      <c r="GJ181" s="28">
        <v>11.8941713085533</v>
      </c>
      <c r="GK181" s="28">
        <v>53.878542069833898</v>
      </c>
      <c r="GL181" s="28">
        <v>32.973503861315002</v>
      </c>
      <c r="GM181" s="28">
        <v>1.04390557821017</v>
      </c>
      <c r="GN181" s="28">
        <v>0.44105954727723601</v>
      </c>
      <c r="GO181" s="28">
        <v>80.365028504532205</v>
      </c>
      <c r="GP181" s="28">
        <v>0</v>
      </c>
      <c r="GQ181" s="21">
        <v>1205.2747436062389</v>
      </c>
      <c r="GR181" s="21">
        <v>540.97777349443299</v>
      </c>
      <c r="GS181" s="20">
        <v>533.43163817480172</v>
      </c>
      <c r="GT181" s="20">
        <v>0</v>
      </c>
      <c r="GU181" s="20">
        <v>7.5461353196313024</v>
      </c>
      <c r="GV181" s="20">
        <v>7.5461353196313024</v>
      </c>
      <c r="GW181" s="20">
        <v>0</v>
      </c>
      <c r="GX181" s="21">
        <v>162.82680256727829</v>
      </c>
      <c r="GY181" s="20">
        <v>160.97811248726799</v>
      </c>
      <c r="GZ181" s="20">
        <v>1.8486900800103001</v>
      </c>
      <c r="HA181" s="20"/>
      <c r="HB181" s="21">
        <v>20.1848474225717</v>
      </c>
      <c r="HC181" s="21">
        <v>1929.2641670905218</v>
      </c>
    </row>
    <row r="182" spans="2:211" s="7" customFormat="1" ht="17.25" customHeight="1">
      <c r="B182" s="26" t="s">
        <v>639</v>
      </c>
      <c r="C182" s="10" t="s">
        <v>640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1.01640372418706</v>
      </c>
      <c r="AF182" s="28">
        <v>116.11051921799201</v>
      </c>
      <c r="AG182" s="28">
        <v>0</v>
      </c>
      <c r="AH182" s="28">
        <v>0</v>
      </c>
      <c r="AI182" s="28">
        <v>0</v>
      </c>
      <c r="AJ182" s="28">
        <v>2.6578224262052199</v>
      </c>
      <c r="AK182" s="28">
        <v>1.1156050266567401</v>
      </c>
      <c r="AL182" s="28">
        <v>18.7892636461001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0.11570994150689499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6.3614949776469203</v>
      </c>
      <c r="CH182" s="28">
        <v>0</v>
      </c>
      <c r="CI182" s="28">
        <v>0</v>
      </c>
      <c r="CJ182" s="28">
        <v>0</v>
      </c>
      <c r="CK182" s="28">
        <v>0.52489185333251998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  <c r="CR182" s="28">
        <v>0</v>
      </c>
      <c r="CS182" s="28">
        <v>0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0</v>
      </c>
      <c r="CZ182" s="28">
        <v>0</v>
      </c>
      <c r="DA182" s="28">
        <v>0</v>
      </c>
      <c r="DB182" s="28">
        <v>0</v>
      </c>
      <c r="DC182" s="28">
        <v>0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0</v>
      </c>
      <c r="DL182" s="28">
        <v>0</v>
      </c>
      <c r="DM182" s="28">
        <v>0</v>
      </c>
      <c r="DN182" s="28">
        <v>0</v>
      </c>
      <c r="DO182" s="28">
        <v>0</v>
      </c>
      <c r="DP182" s="28">
        <v>0</v>
      </c>
      <c r="DQ182" s="28">
        <v>0</v>
      </c>
      <c r="DR182" s="28">
        <v>0</v>
      </c>
      <c r="DS182" s="28">
        <v>0</v>
      </c>
      <c r="DT182" s="28">
        <v>0</v>
      </c>
      <c r="DU182" s="28">
        <v>0</v>
      </c>
      <c r="DV182" s="28">
        <v>0</v>
      </c>
      <c r="DW182" s="28">
        <v>0</v>
      </c>
      <c r="DX182" s="28">
        <v>0</v>
      </c>
      <c r="DY182" s="28">
        <v>0</v>
      </c>
      <c r="DZ182" s="28">
        <v>0</v>
      </c>
      <c r="EA182" s="28">
        <v>0</v>
      </c>
      <c r="EB182" s="28">
        <v>0</v>
      </c>
      <c r="EC182" s="28">
        <v>0</v>
      </c>
      <c r="ED182" s="28">
        <v>0</v>
      </c>
      <c r="EE182" s="28">
        <v>0</v>
      </c>
      <c r="EF182" s="28">
        <v>0</v>
      </c>
      <c r="EG182" s="28">
        <v>0</v>
      </c>
      <c r="EH182" s="28">
        <v>0</v>
      </c>
      <c r="EI182" s="28">
        <v>0</v>
      </c>
      <c r="EJ182" s="28">
        <v>0</v>
      </c>
      <c r="EK182" s="28">
        <v>0</v>
      </c>
      <c r="EL182" s="28">
        <v>0</v>
      </c>
      <c r="EM182" s="28">
        <v>0</v>
      </c>
      <c r="EN182" s="28">
        <v>0</v>
      </c>
      <c r="EO182" s="28">
        <v>0</v>
      </c>
      <c r="EP182" s="28">
        <v>0</v>
      </c>
      <c r="EQ182" s="28">
        <v>0</v>
      </c>
      <c r="ER182" s="28">
        <v>0</v>
      </c>
      <c r="ES182" s="28">
        <v>0</v>
      </c>
      <c r="ET182" s="28">
        <v>0</v>
      </c>
      <c r="EU182" s="28">
        <v>0</v>
      </c>
      <c r="EV182" s="28">
        <v>0.89639540856966704</v>
      </c>
      <c r="EW182" s="28">
        <v>0</v>
      </c>
      <c r="EX182" s="28">
        <v>0</v>
      </c>
      <c r="EY182" s="28">
        <v>0</v>
      </c>
      <c r="EZ182" s="28">
        <v>0</v>
      </c>
      <c r="FA182" s="28">
        <v>0</v>
      </c>
      <c r="FB182" s="28">
        <v>0</v>
      </c>
      <c r="FC182" s="28">
        <v>0</v>
      </c>
      <c r="FD182" s="28">
        <v>0</v>
      </c>
      <c r="FE182" s="28">
        <v>0</v>
      </c>
      <c r="FF182" s="28">
        <v>0</v>
      </c>
      <c r="FG182" s="28">
        <v>0</v>
      </c>
      <c r="FH182" s="28">
        <v>0</v>
      </c>
      <c r="FI182" s="28">
        <v>0</v>
      </c>
      <c r="FJ182" s="28">
        <v>0</v>
      </c>
      <c r="FK182" s="28">
        <v>0</v>
      </c>
      <c r="FL182" s="28">
        <v>0</v>
      </c>
      <c r="FM182" s="28">
        <v>0</v>
      </c>
      <c r="FN182" s="28">
        <v>0</v>
      </c>
      <c r="FO182" s="28">
        <v>0</v>
      </c>
      <c r="FP182" s="28">
        <v>0</v>
      </c>
      <c r="FQ182" s="28">
        <v>0</v>
      </c>
      <c r="FR182" s="28">
        <v>0</v>
      </c>
      <c r="FS182" s="28">
        <v>0</v>
      </c>
      <c r="FT182" s="28">
        <v>0</v>
      </c>
      <c r="FU182" s="28">
        <v>0</v>
      </c>
      <c r="FV182" s="28">
        <v>0</v>
      </c>
      <c r="FW182" s="28">
        <v>0</v>
      </c>
      <c r="FX182" s="28">
        <v>0</v>
      </c>
      <c r="FY182" s="28">
        <v>0</v>
      </c>
      <c r="FZ182" s="28">
        <v>0</v>
      </c>
      <c r="GA182" s="28">
        <v>0</v>
      </c>
      <c r="GB182" s="28">
        <v>0</v>
      </c>
      <c r="GC182" s="28">
        <v>0</v>
      </c>
      <c r="GD182" s="28">
        <v>0</v>
      </c>
      <c r="GE182" s="28">
        <v>0</v>
      </c>
      <c r="GF182" s="28">
        <v>0</v>
      </c>
      <c r="GG182" s="28">
        <v>0</v>
      </c>
      <c r="GH182" s="28">
        <v>5.8662337434106301E-2</v>
      </c>
      <c r="GI182" s="28">
        <v>0</v>
      </c>
      <c r="GJ182" s="28">
        <v>0</v>
      </c>
      <c r="GK182" s="28">
        <v>0</v>
      </c>
      <c r="GL182" s="28">
        <v>0</v>
      </c>
      <c r="GM182" s="28">
        <v>0</v>
      </c>
      <c r="GN182" s="28">
        <v>0</v>
      </c>
      <c r="GO182" s="28">
        <v>0</v>
      </c>
      <c r="GP182" s="28">
        <v>0</v>
      </c>
      <c r="GQ182" s="21">
        <v>147.64676855963117</v>
      </c>
      <c r="GR182" s="21">
        <v>18.570174795029502</v>
      </c>
      <c r="GS182" s="20">
        <v>18.570174795029502</v>
      </c>
      <c r="GT182" s="20">
        <v>0</v>
      </c>
      <c r="GU182" s="20">
        <v>0</v>
      </c>
      <c r="GV182" s="20">
        <v>0</v>
      </c>
      <c r="GW182" s="20">
        <v>0</v>
      </c>
      <c r="GX182" s="21">
        <v>6.430238250615516</v>
      </c>
      <c r="GY182" s="20">
        <v>0</v>
      </c>
      <c r="GZ182" s="20">
        <v>6.430238250615516</v>
      </c>
      <c r="HA182" s="20"/>
      <c r="HB182" s="21">
        <v>5.8156366608000001</v>
      </c>
      <c r="HC182" s="21">
        <v>178.46281826607617</v>
      </c>
    </row>
    <row r="183" spans="2:211" s="7" customFormat="1" ht="17.25" customHeight="1">
      <c r="B183" s="26" t="s">
        <v>641</v>
      </c>
      <c r="C183" s="9" t="s">
        <v>642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  <c r="CR183" s="28">
        <v>0</v>
      </c>
      <c r="CS183" s="28">
        <v>0</v>
      </c>
      <c r="CT183" s="28">
        <v>0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119.78095989258399</v>
      </c>
      <c r="DC183" s="28">
        <v>0</v>
      </c>
      <c r="DD183" s="28">
        <v>1.44765717667741</v>
      </c>
      <c r="DE183" s="28">
        <v>0</v>
      </c>
      <c r="DF183" s="28">
        <v>8.0924695568612606</v>
      </c>
      <c r="DG183" s="28">
        <v>92.167681971410104</v>
      </c>
      <c r="DH183" s="28">
        <v>0</v>
      </c>
      <c r="DI183" s="28">
        <v>0</v>
      </c>
      <c r="DJ183" s="28">
        <v>0</v>
      </c>
      <c r="DK183" s="28">
        <v>0</v>
      </c>
      <c r="DL183" s="28">
        <v>7.3155409275678398</v>
      </c>
      <c r="DM183" s="28">
        <v>0</v>
      </c>
      <c r="DN183" s="28">
        <v>0</v>
      </c>
      <c r="DO183" s="28">
        <v>0</v>
      </c>
      <c r="DP183" s="28">
        <v>0</v>
      </c>
      <c r="DQ183" s="28">
        <v>0</v>
      </c>
      <c r="DR183" s="28">
        <v>0</v>
      </c>
      <c r="DS183" s="28">
        <v>0</v>
      </c>
      <c r="DT183" s="28">
        <v>0.77344166896989897</v>
      </c>
      <c r="DU183" s="28">
        <v>35.332655463883903</v>
      </c>
      <c r="DV183" s="28">
        <v>0</v>
      </c>
      <c r="DW183" s="28">
        <v>0</v>
      </c>
      <c r="DX183" s="28">
        <v>14.279025597816799</v>
      </c>
      <c r="DY183" s="28">
        <v>0</v>
      </c>
      <c r="DZ183" s="28">
        <v>0</v>
      </c>
      <c r="EA183" s="28">
        <v>0</v>
      </c>
      <c r="EB183" s="28">
        <v>0</v>
      </c>
      <c r="EC183" s="28">
        <v>0</v>
      </c>
      <c r="ED183" s="28">
        <v>7.5754137416485996</v>
      </c>
      <c r="EE183" s="28">
        <v>0</v>
      </c>
      <c r="EF183" s="28">
        <v>0</v>
      </c>
      <c r="EG183" s="28">
        <v>0</v>
      </c>
      <c r="EH183" s="28">
        <v>0</v>
      </c>
      <c r="EI183" s="28">
        <v>0</v>
      </c>
      <c r="EJ183" s="28">
        <v>12.3</v>
      </c>
      <c r="EK183" s="28">
        <v>0.36926689772797899</v>
      </c>
      <c r="EL183" s="28">
        <v>17.887774950486001</v>
      </c>
      <c r="EM183" s="28">
        <v>0</v>
      </c>
      <c r="EN183" s="28">
        <v>0</v>
      </c>
      <c r="EO183" s="28">
        <v>0</v>
      </c>
      <c r="EP183" s="28">
        <v>0</v>
      </c>
      <c r="EQ183" s="28">
        <v>0</v>
      </c>
      <c r="ER183" s="28">
        <v>2.3428221880431099</v>
      </c>
      <c r="ES183" s="28">
        <v>4.1274366426507996</v>
      </c>
      <c r="ET183" s="28">
        <v>0</v>
      </c>
      <c r="EU183" s="28">
        <v>0</v>
      </c>
      <c r="EV183" s="28">
        <v>0</v>
      </c>
      <c r="EW183" s="28">
        <v>0</v>
      </c>
      <c r="EX183" s="28">
        <v>0</v>
      </c>
      <c r="EY183" s="28">
        <v>0</v>
      </c>
      <c r="EZ183" s="28">
        <v>0</v>
      </c>
      <c r="FA183" s="28">
        <v>0</v>
      </c>
      <c r="FB183" s="28">
        <v>16.510000000000002</v>
      </c>
      <c r="FC183" s="28">
        <v>0</v>
      </c>
      <c r="FD183" s="28">
        <v>0</v>
      </c>
      <c r="FE183" s="28">
        <v>0</v>
      </c>
      <c r="FF183" s="28">
        <v>0</v>
      </c>
      <c r="FG183" s="28">
        <v>0</v>
      </c>
      <c r="FH183" s="28">
        <v>0</v>
      </c>
      <c r="FI183" s="28">
        <v>0</v>
      </c>
      <c r="FJ183" s="28">
        <v>0</v>
      </c>
      <c r="FK183" s="28">
        <v>0</v>
      </c>
      <c r="FL183" s="28">
        <v>0</v>
      </c>
      <c r="FM183" s="28">
        <v>0</v>
      </c>
      <c r="FN183" s="28">
        <v>0</v>
      </c>
      <c r="FO183" s="28">
        <v>0</v>
      </c>
      <c r="FP183" s="28">
        <v>0</v>
      </c>
      <c r="FQ183" s="28">
        <v>0</v>
      </c>
      <c r="FR183" s="28">
        <v>0</v>
      </c>
      <c r="FS183" s="28">
        <v>0</v>
      </c>
      <c r="FT183" s="28">
        <v>0</v>
      </c>
      <c r="FU183" s="28">
        <v>0</v>
      </c>
      <c r="FV183" s="28">
        <v>0</v>
      </c>
      <c r="FW183" s="28">
        <v>0</v>
      </c>
      <c r="FX183" s="28">
        <v>0</v>
      </c>
      <c r="FY183" s="28">
        <v>0</v>
      </c>
      <c r="FZ183" s="28">
        <v>0</v>
      </c>
      <c r="GA183" s="28">
        <v>0</v>
      </c>
      <c r="GB183" s="28">
        <v>0</v>
      </c>
      <c r="GC183" s="28">
        <v>0</v>
      </c>
      <c r="GD183" s="28">
        <v>0</v>
      </c>
      <c r="GE183" s="28">
        <v>0</v>
      </c>
      <c r="GF183" s="28">
        <v>0</v>
      </c>
      <c r="GG183" s="28">
        <v>0</v>
      </c>
      <c r="GH183" s="28">
        <v>0</v>
      </c>
      <c r="GI183" s="28">
        <v>0</v>
      </c>
      <c r="GJ183" s="28">
        <v>0</v>
      </c>
      <c r="GK183" s="28">
        <v>0</v>
      </c>
      <c r="GL183" s="28">
        <v>0</v>
      </c>
      <c r="GM183" s="28">
        <v>0</v>
      </c>
      <c r="GN183" s="28">
        <v>0</v>
      </c>
      <c r="GO183" s="28">
        <v>0</v>
      </c>
      <c r="GP183" s="28">
        <v>0</v>
      </c>
      <c r="GQ183" s="21">
        <v>340.30214667632686</v>
      </c>
      <c r="GR183" s="21">
        <v>0</v>
      </c>
      <c r="GS183" s="20">
        <v>0</v>
      </c>
      <c r="GT183" s="20">
        <v>0</v>
      </c>
      <c r="GU183" s="20">
        <v>0</v>
      </c>
      <c r="GV183" s="20">
        <v>0</v>
      </c>
      <c r="GW183" s="20">
        <v>0</v>
      </c>
      <c r="GX183" s="21">
        <v>13.2707215449008</v>
      </c>
      <c r="GY183" s="20">
        <v>0</v>
      </c>
      <c r="GZ183" s="20">
        <v>13.2707215449008</v>
      </c>
      <c r="HA183" s="20"/>
      <c r="HB183" s="21">
        <v>130.11645576719999</v>
      </c>
      <c r="HC183" s="21">
        <v>483.68932398842765</v>
      </c>
    </row>
    <row r="184" spans="2:211" s="7" customFormat="1" ht="17.25" customHeight="1">
      <c r="B184" s="26" t="s">
        <v>159</v>
      </c>
      <c r="C184" s="10" t="s">
        <v>643</v>
      </c>
      <c r="D184" s="28">
        <v>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1.47009078826628E-2</v>
      </c>
      <c r="T184" s="28">
        <v>0</v>
      </c>
      <c r="U184" s="28">
        <v>0</v>
      </c>
      <c r="V184" s="28">
        <v>0.36706082898589498</v>
      </c>
      <c r="W184" s="28">
        <v>1.19750554262895E-2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5.9978593907778599</v>
      </c>
      <c r="AD184" s="28">
        <v>0</v>
      </c>
      <c r="AE184" s="28">
        <v>2.3844898818425602</v>
      </c>
      <c r="AF184" s="28">
        <v>12.6017447905529</v>
      </c>
      <c r="AG184" s="28">
        <v>5.0702940784852197</v>
      </c>
      <c r="AH184" s="28">
        <v>0</v>
      </c>
      <c r="AI184" s="28">
        <v>0</v>
      </c>
      <c r="AJ184" s="28">
        <v>1.01272236795846</v>
      </c>
      <c r="AK184" s="28">
        <v>0</v>
      </c>
      <c r="AL184" s="28">
        <v>9.1746512603663195</v>
      </c>
      <c r="AM184" s="28">
        <v>3.9556486491957301</v>
      </c>
      <c r="AN184" s="28">
        <v>0</v>
      </c>
      <c r="AO184" s="28">
        <v>0</v>
      </c>
      <c r="AP184" s="28">
        <v>0.51070177937836603</v>
      </c>
      <c r="AQ184" s="28">
        <v>0.28323067022164</v>
      </c>
      <c r="AR184" s="28">
        <v>0</v>
      </c>
      <c r="AS184" s="28">
        <v>0</v>
      </c>
      <c r="AT184" s="28">
        <v>66.268924339849505</v>
      </c>
      <c r="AU184" s="28">
        <v>8.9186750771945693</v>
      </c>
      <c r="AV184" s="28">
        <v>16.9432300003782</v>
      </c>
      <c r="AW184" s="28">
        <v>3.9734654759744501</v>
      </c>
      <c r="AX184" s="28">
        <v>285.77079937960701</v>
      </c>
      <c r="AY184" s="28">
        <v>3.8176765463340603E-2</v>
      </c>
      <c r="AZ184" s="28">
        <v>7.0724458239633803</v>
      </c>
      <c r="BA184" s="28">
        <v>9.6087029091745606</v>
      </c>
      <c r="BB184" s="28">
        <v>1.32974796331061</v>
      </c>
      <c r="BC184" s="28">
        <v>62.657345914775199</v>
      </c>
      <c r="BD184" s="28">
        <v>0.30793569238255503</v>
      </c>
      <c r="BE184" s="28">
        <v>0</v>
      </c>
      <c r="BF184" s="28">
        <v>0</v>
      </c>
      <c r="BG184" s="28">
        <v>0.72201692144517604</v>
      </c>
      <c r="BH184" s="28">
        <v>32.280852644529197</v>
      </c>
      <c r="BI184" s="28">
        <v>5.48322963205728</v>
      </c>
      <c r="BJ184" s="28">
        <v>3.5132174731772099</v>
      </c>
      <c r="BK184" s="28">
        <v>0</v>
      </c>
      <c r="BL184" s="28">
        <v>4.1174630127657403</v>
      </c>
      <c r="BM184" s="28">
        <v>2.9932833395824798</v>
      </c>
      <c r="BN184" s="28">
        <v>6.4146429564031804</v>
      </c>
      <c r="BO184" s="28">
        <v>0.42242975513632303</v>
      </c>
      <c r="BP184" s="28">
        <v>8.9248878133843395</v>
      </c>
      <c r="BQ184" s="28">
        <v>14.5062184121832</v>
      </c>
      <c r="BR184" s="28">
        <v>4.9348512694087603</v>
      </c>
      <c r="BS184" s="28">
        <v>0</v>
      </c>
      <c r="BT184" s="28">
        <v>0</v>
      </c>
      <c r="BU184" s="28">
        <v>7.2366585231834897</v>
      </c>
      <c r="BV184" s="28">
        <v>23.215480705963799</v>
      </c>
      <c r="BW184" s="28">
        <v>2.30616721818765</v>
      </c>
      <c r="BX184" s="28">
        <v>1.4119355636544999</v>
      </c>
      <c r="BY184" s="28">
        <v>6.0747992423473001</v>
      </c>
      <c r="BZ184" s="28">
        <v>9.0995240520187508</v>
      </c>
      <c r="CA184" s="28">
        <v>21.711111523957101</v>
      </c>
      <c r="CB184" s="28">
        <v>17.9154428994607</v>
      </c>
      <c r="CC184" s="28">
        <v>0.98204173631893399</v>
      </c>
      <c r="CD184" s="28">
        <v>12.902194058670499</v>
      </c>
      <c r="CE184" s="28">
        <v>4.3870721419514096</v>
      </c>
      <c r="CF184" s="28">
        <v>0</v>
      </c>
      <c r="CG184" s="28">
        <v>1.88613862480651</v>
      </c>
      <c r="CH184" s="28">
        <v>2.11980510247363</v>
      </c>
      <c r="CI184" s="28">
        <v>1.9573613405227701</v>
      </c>
      <c r="CJ184" s="28">
        <v>5.3723131459247204</v>
      </c>
      <c r="CK184" s="28">
        <v>0.920610010623932</v>
      </c>
      <c r="CL184" s="28">
        <v>0.53284225561099097</v>
      </c>
      <c r="CM184" s="28">
        <v>6.5203382494152002</v>
      </c>
      <c r="CN184" s="28">
        <v>0.29348972439765902</v>
      </c>
      <c r="CO184" s="28">
        <v>0.52286821603775002</v>
      </c>
      <c r="CP184" s="28">
        <v>7.8839779499103404</v>
      </c>
      <c r="CQ184" s="28">
        <v>0.38412228226661699</v>
      </c>
      <c r="CR184" s="28">
        <v>7.4887375073488798</v>
      </c>
      <c r="CS184" s="28">
        <v>0.240092545902793</v>
      </c>
      <c r="CT184" s="28">
        <v>62.837052174589303</v>
      </c>
      <c r="CU184" s="28">
        <v>2.8800788094065402</v>
      </c>
      <c r="CV184" s="28">
        <v>5.7427319104443297</v>
      </c>
      <c r="CW184" s="28">
        <v>13.916859551304301</v>
      </c>
      <c r="CX184" s="28">
        <v>0.54357663360662301</v>
      </c>
      <c r="CY184" s="28">
        <v>16.8415790522332</v>
      </c>
      <c r="CZ184" s="28">
        <v>1.3664187204691201</v>
      </c>
      <c r="DA184" s="28">
        <v>19.024414284789</v>
      </c>
      <c r="DB184" s="28">
        <v>47.987574973543701</v>
      </c>
      <c r="DC184" s="28">
        <v>0.52</v>
      </c>
      <c r="DD184" s="28">
        <v>0.31156159693589602</v>
      </c>
      <c r="DE184" s="28">
        <v>0</v>
      </c>
      <c r="DF184" s="28">
        <v>3.64681637981999</v>
      </c>
      <c r="DG184" s="28">
        <v>47.1872524699289</v>
      </c>
      <c r="DH184" s="28">
        <v>19.324851800405501</v>
      </c>
      <c r="DI184" s="28">
        <v>7.1768945448150596</v>
      </c>
      <c r="DJ184" s="28">
        <v>2.1</v>
      </c>
      <c r="DK184" s="28">
        <v>4.8087298167773497E-2</v>
      </c>
      <c r="DL184" s="28">
        <v>3.6132843334161802</v>
      </c>
      <c r="DM184" s="28">
        <v>0.77383678992802896</v>
      </c>
      <c r="DN184" s="28">
        <v>0.16469104161654799</v>
      </c>
      <c r="DO184" s="28">
        <v>0.382022412634966</v>
      </c>
      <c r="DP184" s="28">
        <v>0</v>
      </c>
      <c r="DQ184" s="28">
        <v>0.87778823425056196</v>
      </c>
      <c r="DR184" s="28">
        <v>15.731468091888001</v>
      </c>
      <c r="DS184" s="28">
        <v>1.7638186018617601</v>
      </c>
      <c r="DT184" s="28">
        <v>0.80282289508644</v>
      </c>
      <c r="DU184" s="28">
        <v>65.085175400948202</v>
      </c>
      <c r="DV184" s="28">
        <v>1.13999385019524</v>
      </c>
      <c r="DW184" s="28">
        <v>0</v>
      </c>
      <c r="DX184" s="28">
        <v>8.8882264781052207</v>
      </c>
      <c r="DY184" s="28">
        <v>7.8742426963483299</v>
      </c>
      <c r="DZ184" s="28">
        <v>119.41104738192099</v>
      </c>
      <c r="EA184" s="28">
        <v>0.51334011960878101</v>
      </c>
      <c r="EB184" s="28">
        <v>1.59599112360825</v>
      </c>
      <c r="EC184" s="28">
        <v>4.8234355840049803</v>
      </c>
      <c r="ED184" s="28">
        <v>7.1254388739958401</v>
      </c>
      <c r="EE184" s="28">
        <v>0.41223966317234401</v>
      </c>
      <c r="EF184" s="28">
        <v>10.5</v>
      </c>
      <c r="EG184" s="28">
        <v>4.7234376064698598</v>
      </c>
      <c r="EH184" s="28">
        <v>1.6231741606602299</v>
      </c>
      <c r="EI184" s="28">
        <v>0.761479594905493</v>
      </c>
      <c r="EJ184" s="28">
        <v>5.58140916794639</v>
      </c>
      <c r="EK184" s="28">
        <v>0.349585254780308</v>
      </c>
      <c r="EL184" s="28">
        <v>6.6998809898289702</v>
      </c>
      <c r="EM184" s="28">
        <v>0.119991589507079</v>
      </c>
      <c r="EN184" s="28">
        <v>0.75045935360293803</v>
      </c>
      <c r="EO184" s="28">
        <v>0.59407818895644005</v>
      </c>
      <c r="EP184" s="28">
        <v>0</v>
      </c>
      <c r="EQ184" s="28">
        <v>0.56620842940332206</v>
      </c>
      <c r="ER184" s="28">
        <v>0.73171480191464899</v>
      </c>
      <c r="ES184" s="28">
        <v>19.229811995988801</v>
      </c>
      <c r="ET184" s="28">
        <v>2.0241754226794599</v>
      </c>
      <c r="EU184" s="28">
        <v>2.30917682795381E-2</v>
      </c>
      <c r="EV184" s="28">
        <v>1.2298369667572799</v>
      </c>
      <c r="EW184" s="28">
        <v>90.3987194643436</v>
      </c>
      <c r="EX184" s="28">
        <v>3.7032141515446599</v>
      </c>
      <c r="EY184" s="28">
        <v>0</v>
      </c>
      <c r="EZ184" s="28">
        <v>0</v>
      </c>
      <c r="FA184" s="28">
        <v>83.741034368569501</v>
      </c>
      <c r="FB184" s="28">
        <v>10.4364238165277</v>
      </c>
      <c r="FC184" s="28">
        <v>54.639129891479001</v>
      </c>
      <c r="FD184" s="28">
        <v>0.83896247551817604</v>
      </c>
      <c r="FE184" s="28">
        <v>0</v>
      </c>
      <c r="FF184" s="28">
        <v>6.5420039788692899</v>
      </c>
      <c r="FG184" s="28">
        <v>3.50378954373799</v>
      </c>
      <c r="FH184" s="28">
        <v>1.5543161608061001E-2</v>
      </c>
      <c r="FI184" s="28">
        <v>350.20155393594501</v>
      </c>
      <c r="FJ184" s="28">
        <v>109.056626122379</v>
      </c>
      <c r="FK184" s="28">
        <v>1.1762999999999999</v>
      </c>
      <c r="FL184" s="28">
        <v>6.3576867229134901</v>
      </c>
      <c r="FM184" s="28">
        <v>17.9649559</v>
      </c>
      <c r="FN184" s="28">
        <v>10.140659807751099</v>
      </c>
      <c r="FO184" s="28">
        <v>0.20974496484515801</v>
      </c>
      <c r="FP184" s="28">
        <v>2.92174577703322</v>
      </c>
      <c r="FQ184" s="28">
        <v>48.229900689710497</v>
      </c>
      <c r="FR184" s="28">
        <v>2.2727991838594499</v>
      </c>
      <c r="FS184" s="28">
        <v>30.656200476945699</v>
      </c>
      <c r="FT184" s="28">
        <v>51.434350291615303</v>
      </c>
      <c r="FU184" s="28">
        <v>147.71812482854099</v>
      </c>
      <c r="FV184" s="28">
        <v>18.309131032195701</v>
      </c>
      <c r="FW184" s="28">
        <v>2.9069895636071998</v>
      </c>
      <c r="FX184" s="28">
        <v>153.29006555274</v>
      </c>
      <c r="FY184" s="28">
        <v>5.6653154499999996</v>
      </c>
      <c r="FZ184" s="28">
        <v>5.6436754500148103</v>
      </c>
      <c r="GA184" s="28">
        <v>8.8027319003098195E-2</v>
      </c>
      <c r="GB184" s="28">
        <v>9.5147753257637895</v>
      </c>
      <c r="GC184" s="28">
        <v>6.8321094269414102</v>
      </c>
      <c r="GD184" s="28">
        <v>0</v>
      </c>
      <c r="GE184" s="28">
        <v>9.0948266759155292</v>
      </c>
      <c r="GF184" s="28">
        <v>23.0666837337678</v>
      </c>
      <c r="GG184" s="28">
        <v>522.21503917999803</v>
      </c>
      <c r="GH184" s="28">
        <v>59.463116663506902</v>
      </c>
      <c r="GI184" s="28">
        <v>117.63120568063501</v>
      </c>
      <c r="GJ184" s="28">
        <v>52.615258174728503</v>
      </c>
      <c r="GK184" s="28">
        <v>87.825553776060801</v>
      </c>
      <c r="GL184" s="28">
        <v>63.599735852010802</v>
      </c>
      <c r="GM184" s="28">
        <v>29.722861127455801</v>
      </c>
      <c r="GN184" s="28">
        <v>10.9123829123553</v>
      </c>
      <c r="GO184" s="28">
        <v>5.6254035853530304</v>
      </c>
      <c r="GP184" s="28">
        <v>0</v>
      </c>
      <c r="GQ184" s="21">
        <v>3496.0773219546968</v>
      </c>
      <c r="GR184" s="21">
        <v>2575.3007602673206</v>
      </c>
      <c r="GS184" s="20">
        <v>2575.3007602673206</v>
      </c>
      <c r="GT184" s="20">
        <v>0</v>
      </c>
      <c r="GU184" s="20">
        <v>0</v>
      </c>
      <c r="GV184" s="20">
        <v>0</v>
      </c>
      <c r="GW184" s="20">
        <v>0</v>
      </c>
      <c r="GX184" s="21">
        <v>0</v>
      </c>
      <c r="GY184" s="20">
        <v>0</v>
      </c>
      <c r="GZ184" s="20">
        <v>0</v>
      </c>
      <c r="HA184" s="20"/>
      <c r="HB184" s="21">
        <v>0</v>
      </c>
      <c r="HC184" s="21">
        <v>6071.3780822220178</v>
      </c>
    </row>
    <row r="185" spans="2:211" s="7" customFormat="1" ht="17.25" customHeight="1">
      <c r="B185" s="26" t="s">
        <v>162</v>
      </c>
      <c r="C185" s="10" t="s">
        <v>644</v>
      </c>
      <c r="D185" s="28">
        <v>0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1.3124779899891E-2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4.1985015735445002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0</v>
      </c>
      <c r="AT185" s="28">
        <v>0</v>
      </c>
      <c r="AU185" s="28">
        <v>0</v>
      </c>
      <c r="AV185" s="28">
        <v>0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4.8434165423758797</v>
      </c>
      <c r="BI185" s="28">
        <v>0</v>
      </c>
      <c r="BJ185" s="28">
        <v>0</v>
      </c>
      <c r="BK185" s="28">
        <v>0</v>
      </c>
      <c r="BL185" s="28">
        <v>1.4352199237851699</v>
      </c>
      <c r="BM185" s="28">
        <v>0</v>
      </c>
      <c r="BN185" s="28">
        <v>0</v>
      </c>
      <c r="BO185" s="28">
        <v>0</v>
      </c>
      <c r="BP185" s="28">
        <v>0</v>
      </c>
      <c r="BQ185" s="28">
        <v>0.21498775088587899</v>
      </c>
      <c r="BR185" s="28">
        <v>9.2651426477461593E-2</v>
      </c>
      <c r="BS185" s="28">
        <v>0</v>
      </c>
      <c r="BT185" s="28">
        <v>0.40664985634237399</v>
      </c>
      <c r="BU185" s="28">
        <v>1.2106429580498601</v>
      </c>
      <c r="BV185" s="28">
        <v>0.79736856806646295</v>
      </c>
      <c r="BW185" s="28">
        <v>0</v>
      </c>
      <c r="BX185" s="28">
        <v>2.6370926781103199E-2</v>
      </c>
      <c r="BY185" s="28">
        <v>0.45700271860596398</v>
      </c>
      <c r="BZ185" s="28">
        <v>9.8162915542076304E-2</v>
      </c>
      <c r="CA185" s="28">
        <v>2.69240078532723</v>
      </c>
      <c r="CB185" s="28">
        <v>0.87855484562399799</v>
      </c>
      <c r="CC185" s="28">
        <v>4.8158314080752003E-2</v>
      </c>
      <c r="CD185" s="28">
        <v>0.63271029206692597</v>
      </c>
      <c r="CE185" s="28">
        <v>0.21513749395107001</v>
      </c>
      <c r="CF185" s="28">
        <v>0</v>
      </c>
      <c r="CG185" s="28">
        <v>0.32468226528377597</v>
      </c>
      <c r="CH185" s="28">
        <v>9.0111903718268799E-2</v>
      </c>
      <c r="CI185" s="28">
        <v>0.49798478593524598</v>
      </c>
      <c r="CJ185" s="28">
        <v>7.2564611876895502E-2</v>
      </c>
      <c r="CK185" s="28">
        <v>3.2102208861809298E-2</v>
      </c>
      <c r="CL185" s="28">
        <v>4.0419558180566903E-2</v>
      </c>
      <c r="CM185" s="28">
        <v>3.14256676951043</v>
      </c>
      <c r="CN185" s="28">
        <v>3.5718656145036199E-3</v>
      </c>
      <c r="CO185" s="28">
        <v>0.115778461098671</v>
      </c>
      <c r="CP185" s="28">
        <v>7.1989278194378397</v>
      </c>
      <c r="CQ185" s="28">
        <v>6.4183077774941904E-3</v>
      </c>
      <c r="CR185" s="28">
        <v>6.1247916448512602E-2</v>
      </c>
      <c r="CS185" s="28">
        <v>1.74484132683843E-2</v>
      </c>
      <c r="CT185" s="28">
        <v>6.2857881519205998</v>
      </c>
      <c r="CU185" s="28">
        <v>0.239047266393276</v>
      </c>
      <c r="CV185" s="28">
        <v>0.42778193352160199</v>
      </c>
      <c r="CW185" s="28">
        <v>2.2334588457418998</v>
      </c>
      <c r="CX185" s="28">
        <v>4.9516876437337799E-2</v>
      </c>
      <c r="CY185" s="28">
        <v>0.218002962250153</v>
      </c>
      <c r="CZ185" s="28">
        <v>0.17851815409418101</v>
      </c>
      <c r="DA185" s="28">
        <v>8.7338193112394595</v>
      </c>
      <c r="DB185" s="28">
        <v>1.3563437198955299</v>
      </c>
      <c r="DC185" s="28">
        <v>7.0782404265908401</v>
      </c>
      <c r="DD185" s="28">
        <v>0.11683559885096099</v>
      </c>
      <c r="DE185" s="28">
        <v>0</v>
      </c>
      <c r="DF185" s="28">
        <v>9.6787097073988401E-2</v>
      </c>
      <c r="DG185" s="28">
        <v>4.6568685789556499</v>
      </c>
      <c r="DH185" s="28">
        <v>2.0529760434713702</v>
      </c>
      <c r="DI185" s="28">
        <v>0.89596825394245105</v>
      </c>
      <c r="DJ185" s="28">
        <v>0.17154418835919899</v>
      </c>
      <c r="DK185" s="28">
        <v>1.4087103319640699E-2</v>
      </c>
      <c r="DL185" s="28">
        <v>0.33734550522941797</v>
      </c>
      <c r="DM185" s="28">
        <v>0.13031185935631501</v>
      </c>
      <c r="DN185" s="28">
        <v>1.2671584904799801E-2</v>
      </c>
      <c r="DO185" s="28">
        <v>5.39181807189133E-2</v>
      </c>
      <c r="DP185" s="28">
        <v>0</v>
      </c>
      <c r="DQ185" s="28">
        <v>0.45610760565254899</v>
      </c>
      <c r="DR185" s="28">
        <v>1.8735845407565801</v>
      </c>
      <c r="DS185" s="28">
        <v>9.5042188006405098E-2</v>
      </c>
      <c r="DT185" s="28">
        <v>4.78908004936957E-2</v>
      </c>
      <c r="DU185" s="28">
        <v>3.1525110979362299</v>
      </c>
      <c r="DV185" s="28">
        <v>5.0307467277417199</v>
      </c>
      <c r="DW185" s="28">
        <v>0</v>
      </c>
      <c r="DX185" s="28">
        <v>3.3382030027276501E-2</v>
      </c>
      <c r="DY185" s="28">
        <v>1.8778834718322901</v>
      </c>
      <c r="DZ185" s="28">
        <v>0</v>
      </c>
      <c r="EA185" s="28">
        <v>4.9307571839811298E-3</v>
      </c>
      <c r="EB185" s="28">
        <v>0</v>
      </c>
      <c r="EC185" s="28">
        <v>0.42057665700437902</v>
      </c>
      <c r="ED185" s="28">
        <v>1.1339421735881501</v>
      </c>
      <c r="EE185" s="28">
        <v>0.51413885660368097</v>
      </c>
      <c r="EF185" s="28">
        <v>0.39607232936891801</v>
      </c>
      <c r="EG185" s="28">
        <v>0.112015709455209</v>
      </c>
      <c r="EH185" s="28">
        <v>3.86783908844823E-2</v>
      </c>
      <c r="EI185" s="28">
        <v>1.7652759938705201E-2</v>
      </c>
      <c r="EJ185" s="28">
        <v>0.47951173169440298</v>
      </c>
      <c r="EK185" s="28">
        <v>1.28808292919358E-3</v>
      </c>
      <c r="EL185" s="28">
        <v>4.70628067715603E-2</v>
      </c>
      <c r="EM185" s="28">
        <v>1.8728804705267299E-3</v>
      </c>
      <c r="EN185" s="28">
        <v>0.107915725000009</v>
      </c>
      <c r="EO185" s="28">
        <v>8.8732958481743202E-2</v>
      </c>
      <c r="EP185" s="28">
        <v>0</v>
      </c>
      <c r="EQ185" s="28">
        <v>8.0872755904291396E-2</v>
      </c>
      <c r="ER185" s="28">
        <v>0.24996296865543199</v>
      </c>
      <c r="ES185" s="28">
        <v>2.0106036673322902E-2</v>
      </c>
      <c r="ET185" s="28">
        <v>9.5914778036591597E-2</v>
      </c>
      <c r="EU185" s="28">
        <v>0</v>
      </c>
      <c r="EV185" s="28">
        <v>0</v>
      </c>
      <c r="EW185" s="28">
        <v>3.0235530486420799</v>
      </c>
      <c r="EX185" s="28">
        <v>0.45503091212867702</v>
      </c>
      <c r="EY185" s="28">
        <v>0.124201930479464</v>
      </c>
      <c r="EZ185" s="28">
        <v>1.3864656349357001</v>
      </c>
      <c r="FA185" s="28">
        <v>7.4541852496882699</v>
      </c>
      <c r="FB185" s="28">
        <v>1.71512234875811</v>
      </c>
      <c r="FC185" s="28">
        <v>3.95020135692205</v>
      </c>
      <c r="FD185" s="28">
        <v>0.43615103050156001</v>
      </c>
      <c r="FE185" s="28">
        <v>0</v>
      </c>
      <c r="FF185" s="28">
        <v>0</v>
      </c>
      <c r="FG185" s="28">
        <v>0.74489507657890996</v>
      </c>
      <c r="FH185" s="28">
        <v>9.2328464159861304E-3</v>
      </c>
      <c r="FI185" s="28">
        <v>31.4992501514308</v>
      </c>
      <c r="FJ185" s="28">
        <v>4.0616294497537204</v>
      </c>
      <c r="FK185" s="28">
        <v>9.1490000000000002E-2</v>
      </c>
      <c r="FL185" s="28">
        <v>0.78065349323712196</v>
      </c>
      <c r="FM185" s="28">
        <v>0.7301069</v>
      </c>
      <c r="FN185" s="28">
        <v>0.16877680760047001</v>
      </c>
      <c r="FO185" s="28">
        <v>2.8365987324401802E-3</v>
      </c>
      <c r="FP185" s="28">
        <v>1.21113277282292</v>
      </c>
      <c r="FQ185" s="28">
        <v>11.5201599970831</v>
      </c>
      <c r="FR185" s="28">
        <v>0.111586926512212</v>
      </c>
      <c r="FS185" s="28">
        <v>41.780841656615003</v>
      </c>
      <c r="FT185" s="28">
        <v>28.170753536295301</v>
      </c>
      <c r="FU185" s="28">
        <v>20.012980593667301</v>
      </c>
      <c r="FV185" s="28">
        <v>2.03003389319462</v>
      </c>
      <c r="FW185" s="28">
        <v>0.25600803999999999</v>
      </c>
      <c r="FX185" s="28">
        <v>4.3840734314591998</v>
      </c>
      <c r="FY185" s="28">
        <v>0.58960168000000002</v>
      </c>
      <c r="FZ185" s="28">
        <v>8.6375789999999994E-2</v>
      </c>
      <c r="GA185" s="28">
        <v>2.9650170657015199E-2</v>
      </c>
      <c r="GB185" s="28">
        <v>1.6625911843845799E-2</v>
      </c>
      <c r="GC185" s="28">
        <v>1.19382796914038E-2</v>
      </c>
      <c r="GD185" s="28">
        <v>6.9454680944067597</v>
      </c>
      <c r="GE185" s="28">
        <v>7.21433419901724</v>
      </c>
      <c r="GF185" s="28">
        <v>5.7196848854310902</v>
      </c>
      <c r="GG185" s="28">
        <v>66.186844379999997</v>
      </c>
      <c r="GH185" s="28">
        <v>9.7380597186469195</v>
      </c>
      <c r="GI185" s="28">
        <v>27.610219262891999</v>
      </c>
      <c r="GJ185" s="28">
        <v>12.471469038385999</v>
      </c>
      <c r="GK185" s="28">
        <v>12.057962232089601</v>
      </c>
      <c r="GL185" s="28">
        <v>1.6637229893477801</v>
      </c>
      <c r="GM185" s="28">
        <v>2.58679643642785</v>
      </c>
      <c r="GN185" s="28">
        <v>2.3345181942368201</v>
      </c>
      <c r="GO185" s="28">
        <v>1.3225823979543401</v>
      </c>
      <c r="GP185" s="28">
        <v>0</v>
      </c>
      <c r="GQ185" s="21">
        <v>404.28032236626154</v>
      </c>
      <c r="GR185" s="21">
        <v>460.31996155209708</v>
      </c>
      <c r="GS185" s="20">
        <v>315.2736594290418</v>
      </c>
      <c r="GT185" s="20">
        <v>145.04630212305528</v>
      </c>
      <c r="GU185" s="20">
        <v>0</v>
      </c>
      <c r="GV185" s="20">
        <v>0</v>
      </c>
      <c r="GW185" s="20">
        <v>0</v>
      </c>
      <c r="GX185" s="21">
        <v>0</v>
      </c>
      <c r="GY185" s="20">
        <v>0</v>
      </c>
      <c r="GZ185" s="20">
        <v>0</v>
      </c>
      <c r="HA185" s="20"/>
      <c r="HB185" s="21">
        <v>0</v>
      </c>
      <c r="HC185" s="21">
        <v>864.60028391835863</v>
      </c>
    </row>
    <row r="186" spans="2:211" s="7" customFormat="1" ht="17.25" customHeight="1">
      <c r="B186" s="26" t="s">
        <v>163</v>
      </c>
      <c r="C186" s="10" t="s">
        <v>645</v>
      </c>
      <c r="D186" s="28">
        <v>0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0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  <c r="EU186" s="28">
        <v>0</v>
      </c>
      <c r="EV186" s="28">
        <v>0</v>
      </c>
      <c r="EW186" s="28">
        <v>0</v>
      </c>
      <c r="EX186" s="28">
        <v>0</v>
      </c>
      <c r="EY186" s="28">
        <v>0</v>
      </c>
      <c r="EZ186" s="28">
        <v>0</v>
      </c>
      <c r="FA186" s="28">
        <v>0</v>
      </c>
      <c r="FB186" s="28">
        <v>0</v>
      </c>
      <c r="FC186" s="28">
        <v>0</v>
      </c>
      <c r="FD186" s="28">
        <v>0</v>
      </c>
      <c r="FE186" s="28">
        <v>0</v>
      </c>
      <c r="FF186" s="28">
        <v>0</v>
      </c>
      <c r="FG186" s="28">
        <v>0</v>
      </c>
      <c r="FH186" s="28">
        <v>0</v>
      </c>
      <c r="FI186" s="28">
        <v>0</v>
      </c>
      <c r="FJ186" s="28">
        <v>0</v>
      </c>
      <c r="FK186" s="28">
        <v>0</v>
      </c>
      <c r="FL186" s="28">
        <v>0</v>
      </c>
      <c r="FM186" s="28">
        <v>0</v>
      </c>
      <c r="FN186" s="28">
        <v>0</v>
      </c>
      <c r="FO186" s="28">
        <v>0</v>
      </c>
      <c r="FP186" s="28">
        <v>0</v>
      </c>
      <c r="FQ186" s="28">
        <v>0</v>
      </c>
      <c r="FR186" s="28">
        <v>0</v>
      </c>
      <c r="FS186" s="28">
        <v>0</v>
      </c>
      <c r="FT186" s="28">
        <v>0</v>
      </c>
      <c r="FU186" s="28">
        <v>0</v>
      </c>
      <c r="FV186" s="28">
        <v>0</v>
      </c>
      <c r="FW186" s="28">
        <v>0</v>
      </c>
      <c r="FX186" s="28">
        <v>0</v>
      </c>
      <c r="FY186" s="28">
        <v>0</v>
      </c>
      <c r="FZ186" s="28">
        <v>0</v>
      </c>
      <c r="GA186" s="28">
        <v>0</v>
      </c>
      <c r="GB186" s="28">
        <v>0</v>
      </c>
      <c r="GC186" s="28">
        <v>0</v>
      </c>
      <c r="GD186" s="28">
        <v>0</v>
      </c>
      <c r="GE186" s="28">
        <v>0</v>
      </c>
      <c r="GF186" s="28">
        <v>0</v>
      </c>
      <c r="GG186" s="28">
        <v>0</v>
      </c>
      <c r="GH186" s="28">
        <v>0</v>
      </c>
      <c r="GI186" s="28">
        <v>0</v>
      </c>
      <c r="GJ186" s="28">
        <v>0</v>
      </c>
      <c r="GK186" s="28">
        <v>0</v>
      </c>
      <c r="GL186" s="28">
        <v>0</v>
      </c>
      <c r="GM186" s="28">
        <v>0</v>
      </c>
      <c r="GN186" s="28">
        <v>0</v>
      </c>
      <c r="GO186" s="28">
        <v>0</v>
      </c>
      <c r="GP186" s="28">
        <v>0</v>
      </c>
      <c r="GQ186" s="21">
        <v>0</v>
      </c>
      <c r="GR186" s="21">
        <v>0</v>
      </c>
      <c r="GS186" s="20">
        <v>0</v>
      </c>
      <c r="GT186" s="20">
        <v>0</v>
      </c>
      <c r="GU186" s="20">
        <v>0</v>
      </c>
      <c r="GV186" s="20">
        <v>0</v>
      </c>
      <c r="GW186" s="20">
        <v>0</v>
      </c>
      <c r="GX186" s="21">
        <v>15186.89162104028</v>
      </c>
      <c r="GY186" s="20">
        <v>14795.013077506201</v>
      </c>
      <c r="GZ186" s="20">
        <v>391.87854353407954</v>
      </c>
      <c r="HA186" s="20"/>
      <c r="HB186" s="21">
        <v>0</v>
      </c>
      <c r="HC186" s="21">
        <v>15186.89162104028</v>
      </c>
    </row>
    <row r="187" spans="2:211" s="7" customFormat="1" ht="17.25" customHeight="1">
      <c r="B187" s="26" t="s">
        <v>646</v>
      </c>
      <c r="C187" s="9" t="s">
        <v>647</v>
      </c>
      <c r="D187" s="28">
        <v>0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  <c r="EU187" s="28">
        <v>0</v>
      </c>
      <c r="EV187" s="28">
        <v>0</v>
      </c>
      <c r="EW187" s="28">
        <v>0</v>
      </c>
      <c r="EX187" s="28">
        <v>0</v>
      </c>
      <c r="EY187" s="28">
        <v>0</v>
      </c>
      <c r="EZ187" s="28">
        <v>0</v>
      </c>
      <c r="FA187" s="28">
        <v>0</v>
      </c>
      <c r="FB187" s="28">
        <v>0</v>
      </c>
      <c r="FC187" s="28">
        <v>0</v>
      </c>
      <c r="FD187" s="28">
        <v>0</v>
      </c>
      <c r="FE187" s="28">
        <v>0</v>
      </c>
      <c r="FF187" s="28">
        <v>0</v>
      </c>
      <c r="FG187" s="28">
        <v>0</v>
      </c>
      <c r="FH187" s="28">
        <v>0</v>
      </c>
      <c r="FI187" s="28">
        <v>0</v>
      </c>
      <c r="FJ187" s="28">
        <v>0</v>
      </c>
      <c r="FK187" s="28">
        <v>0</v>
      </c>
      <c r="FL187" s="28">
        <v>0</v>
      </c>
      <c r="FM187" s="28">
        <v>0</v>
      </c>
      <c r="FN187" s="28">
        <v>0</v>
      </c>
      <c r="FO187" s="28">
        <v>0</v>
      </c>
      <c r="FP187" s="28">
        <v>0</v>
      </c>
      <c r="FQ187" s="28">
        <v>0</v>
      </c>
      <c r="FR187" s="28">
        <v>0</v>
      </c>
      <c r="FS187" s="28">
        <v>0</v>
      </c>
      <c r="FT187" s="28">
        <v>0</v>
      </c>
      <c r="FU187" s="28">
        <v>0</v>
      </c>
      <c r="FV187" s="28">
        <v>0</v>
      </c>
      <c r="FW187" s="28">
        <v>0</v>
      </c>
      <c r="FX187" s="28">
        <v>0</v>
      </c>
      <c r="FY187" s="28">
        <v>0</v>
      </c>
      <c r="FZ187" s="28">
        <v>0</v>
      </c>
      <c r="GA187" s="28">
        <v>0</v>
      </c>
      <c r="GB187" s="28">
        <v>0</v>
      </c>
      <c r="GC187" s="28">
        <v>0</v>
      </c>
      <c r="GD187" s="28">
        <v>0</v>
      </c>
      <c r="GE187" s="28">
        <v>0</v>
      </c>
      <c r="GF187" s="28">
        <v>0</v>
      </c>
      <c r="GG187" s="28">
        <v>0</v>
      </c>
      <c r="GH187" s="28">
        <v>0</v>
      </c>
      <c r="GI187" s="28">
        <v>0</v>
      </c>
      <c r="GJ187" s="28">
        <v>0</v>
      </c>
      <c r="GK187" s="28">
        <v>0</v>
      </c>
      <c r="GL187" s="28">
        <v>0</v>
      </c>
      <c r="GM187" s="28">
        <v>0</v>
      </c>
      <c r="GN187" s="28">
        <v>0</v>
      </c>
      <c r="GO187" s="28">
        <v>0</v>
      </c>
      <c r="GP187" s="28">
        <v>0</v>
      </c>
      <c r="GQ187" s="21">
        <v>0</v>
      </c>
      <c r="GR187" s="21">
        <v>0</v>
      </c>
      <c r="GS187" s="20">
        <v>0</v>
      </c>
      <c r="GT187" s="20">
        <v>0</v>
      </c>
      <c r="GU187" s="20">
        <v>0</v>
      </c>
      <c r="GV187" s="20">
        <v>0</v>
      </c>
      <c r="GW187" s="20">
        <v>0</v>
      </c>
      <c r="GX187" s="21">
        <v>9508.6593791063206</v>
      </c>
      <c r="GY187" s="20">
        <v>9508.6593791063206</v>
      </c>
      <c r="GZ187" s="20">
        <v>0</v>
      </c>
      <c r="HA187" s="20"/>
      <c r="HB187" s="21">
        <v>0</v>
      </c>
      <c r="HC187" s="21">
        <v>9508.6593791063206</v>
      </c>
    </row>
    <row r="188" spans="2:211" s="7" customFormat="1" ht="17.25" customHeight="1">
      <c r="B188" s="26" t="s">
        <v>648</v>
      </c>
      <c r="C188" s="10" t="s">
        <v>649</v>
      </c>
      <c r="D188" s="28">
        <v>0.158416739947599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2.5124747973243301E-2</v>
      </c>
      <c r="T188" s="28">
        <v>0</v>
      </c>
      <c r="U188" s="28">
        <v>0</v>
      </c>
      <c r="V188" s="28">
        <v>0</v>
      </c>
      <c r="W188" s="28">
        <v>1.5992867223877199E-2</v>
      </c>
      <c r="X188" s="28">
        <v>0</v>
      </c>
      <c r="Y188" s="28">
        <v>0</v>
      </c>
      <c r="Z188" s="28">
        <v>1.08743475436453</v>
      </c>
      <c r="AA188" s="28">
        <v>0</v>
      </c>
      <c r="AB188" s="28">
        <v>0</v>
      </c>
      <c r="AC188" s="28">
        <v>0</v>
      </c>
      <c r="AD188" s="28">
        <v>0</v>
      </c>
      <c r="AE188" s="28">
        <v>3.2003985801209701E-2</v>
      </c>
      <c r="AF188" s="28">
        <v>126.663832399641</v>
      </c>
      <c r="AG188" s="28">
        <v>27.3845522968222</v>
      </c>
      <c r="AH188" s="28">
        <v>10.516710426047</v>
      </c>
      <c r="AI188" s="28">
        <v>52.7811684638244</v>
      </c>
      <c r="AJ188" s="28">
        <v>4.0038057271408896</v>
      </c>
      <c r="AK188" s="28">
        <v>0.88817071297111105</v>
      </c>
      <c r="AL188" s="28">
        <v>51.7124039085313</v>
      </c>
      <c r="AM188" s="28">
        <v>0</v>
      </c>
      <c r="AN188" s="28">
        <v>0.16175273531662401</v>
      </c>
      <c r="AO188" s="28">
        <v>4.9970909636671896</v>
      </c>
      <c r="AP188" s="28">
        <v>1.3665939939445999</v>
      </c>
      <c r="AQ188" s="28">
        <v>0.27302288686465798</v>
      </c>
      <c r="AR188" s="28">
        <v>0.69542161149269899</v>
      </c>
      <c r="AS188" s="28">
        <v>8.1153539372092794E-3</v>
      </c>
      <c r="AT188" s="28">
        <v>33.076135539617901</v>
      </c>
      <c r="AU188" s="28">
        <v>0</v>
      </c>
      <c r="AV188" s="28">
        <v>21.426159325966498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7.9302379553495799</v>
      </c>
      <c r="BD188" s="28">
        <v>0</v>
      </c>
      <c r="BE188" s="28">
        <v>0</v>
      </c>
      <c r="BF188" s="28">
        <v>0</v>
      </c>
      <c r="BG188" s="28">
        <v>0</v>
      </c>
      <c r="BH188" s="28">
        <v>8.3895226696569805E-2</v>
      </c>
      <c r="BI188" s="28">
        <v>0.15291575944419</v>
      </c>
      <c r="BJ188" s="28">
        <v>8.3209474364884503E-2</v>
      </c>
      <c r="BK188" s="28">
        <v>0</v>
      </c>
      <c r="BL188" s="28">
        <v>0.25140565316535302</v>
      </c>
      <c r="BM188" s="28">
        <v>0.133287686184514</v>
      </c>
      <c r="BN188" s="28">
        <v>0.13198754147322</v>
      </c>
      <c r="BO188" s="28">
        <v>0.163071387870631</v>
      </c>
      <c r="BP188" s="28">
        <v>6.4387847268103197E-4</v>
      </c>
      <c r="BQ188" s="28">
        <v>0.13062171531761399</v>
      </c>
      <c r="BR188" s="28">
        <v>0.15838106024880699</v>
      </c>
      <c r="BS188" s="28">
        <v>0</v>
      </c>
      <c r="BT188" s="28">
        <v>0</v>
      </c>
      <c r="BU188" s="28">
        <v>0.121194572824877</v>
      </c>
      <c r="BV188" s="28">
        <v>1.14358085576195</v>
      </c>
      <c r="BW188" s="28">
        <v>0</v>
      </c>
      <c r="BX188" s="28">
        <v>2.7505149956491299E-2</v>
      </c>
      <c r="BY188" s="28">
        <v>0.25270999271537298</v>
      </c>
      <c r="BZ188" s="28">
        <v>8.4580684349038607E-2</v>
      </c>
      <c r="CA188" s="28">
        <v>0</v>
      </c>
      <c r="CB188" s="28">
        <v>11.6335769059857</v>
      </c>
      <c r="CC188" s="28">
        <v>0.63769889075407704</v>
      </c>
      <c r="CD188" s="28">
        <v>8.3781722662303508</v>
      </c>
      <c r="CE188" s="28">
        <v>2.8487903671661798</v>
      </c>
      <c r="CF188" s="28">
        <v>0</v>
      </c>
      <c r="CG188" s="28">
        <v>6.8124895277140798</v>
      </c>
      <c r="CH188" s="28">
        <v>0</v>
      </c>
      <c r="CI188" s="28">
        <v>0.20594881474971799</v>
      </c>
      <c r="CJ188" s="28">
        <v>9.2143166955970894</v>
      </c>
      <c r="CK188" s="28">
        <v>0.78217768669128396</v>
      </c>
      <c r="CL188" s="28">
        <v>0</v>
      </c>
      <c r="CM188" s="28">
        <v>0.14384867162644999</v>
      </c>
      <c r="CN188" s="28">
        <v>0.23082922399044001</v>
      </c>
      <c r="CO188" s="28">
        <v>8.1803485751151997E-2</v>
      </c>
      <c r="CP188" s="28">
        <v>7.9623276190723997</v>
      </c>
      <c r="CQ188" s="28">
        <v>0.20584374666214</v>
      </c>
      <c r="CR188" s="28">
        <v>0</v>
      </c>
      <c r="CS188" s="28">
        <v>8.7534873029361193E-2</v>
      </c>
      <c r="CT188" s="28">
        <v>49.624656604241899</v>
      </c>
      <c r="CU188" s="28">
        <v>0.15344097841679899</v>
      </c>
      <c r="CV188" s="28">
        <v>0.36192052969344601</v>
      </c>
      <c r="CW188" s="28">
        <v>0.72574745231445503</v>
      </c>
      <c r="CX188" s="28">
        <v>0.190654973148767</v>
      </c>
      <c r="CY188" s="28">
        <v>32.949456596044897</v>
      </c>
      <c r="CZ188" s="28">
        <v>2.5629644966825502</v>
      </c>
      <c r="DA188" s="28">
        <v>5.84435007867976</v>
      </c>
      <c r="DB188" s="28">
        <v>6.8810206971168801</v>
      </c>
      <c r="DC188" s="28">
        <v>4.9822073442465302E-2</v>
      </c>
      <c r="DD188" s="28">
        <v>0</v>
      </c>
      <c r="DE188" s="28">
        <v>0</v>
      </c>
      <c r="DF188" s="28">
        <v>1.5146958121745699</v>
      </c>
      <c r="DG188" s="28">
        <v>16.102727074173298</v>
      </c>
      <c r="DH188" s="28">
        <v>25.042801678659899</v>
      </c>
      <c r="DI188" s="28">
        <v>1.1058249672578899</v>
      </c>
      <c r="DJ188" s="28">
        <v>0</v>
      </c>
      <c r="DK188" s="28">
        <v>0.138422544268863</v>
      </c>
      <c r="DL188" s="28">
        <v>2.4384780110684501</v>
      </c>
      <c r="DM188" s="28">
        <v>4.80735134852645E-2</v>
      </c>
      <c r="DN188" s="28">
        <v>0</v>
      </c>
      <c r="DO188" s="28">
        <v>0.73867709153776695</v>
      </c>
      <c r="DP188" s="28">
        <v>0</v>
      </c>
      <c r="DQ188" s="28">
        <v>3.4652275152027299</v>
      </c>
      <c r="DR188" s="28">
        <v>18.435199040559901</v>
      </c>
      <c r="DS188" s="28">
        <v>8.6963924750499704</v>
      </c>
      <c r="DT188" s="28">
        <v>8.4941004324164099E-2</v>
      </c>
      <c r="DU188" s="28">
        <v>5.5367214841747101</v>
      </c>
      <c r="DV188" s="28">
        <v>1.26684533169182</v>
      </c>
      <c r="DW188" s="28">
        <v>0</v>
      </c>
      <c r="DX188" s="28">
        <v>0.50016018045984501</v>
      </c>
      <c r="DY188" s="28">
        <v>0</v>
      </c>
      <c r="DZ188" s="28">
        <v>0</v>
      </c>
      <c r="EA188" s="28">
        <v>0</v>
      </c>
      <c r="EB188" s="28">
        <v>0</v>
      </c>
      <c r="EC188" s="28">
        <v>0</v>
      </c>
      <c r="ED188" s="28">
        <v>2.2373019698557801</v>
      </c>
      <c r="EE188" s="28">
        <v>0.55569734755443601</v>
      </c>
      <c r="EF188" s="28">
        <v>0.37519752291849601</v>
      </c>
      <c r="EG188" s="28">
        <v>8.6740867378039502E-2</v>
      </c>
      <c r="EH188" s="28">
        <v>2.9951130876409798E-2</v>
      </c>
      <c r="EI188" s="28">
        <v>1.4399336625312099E-2</v>
      </c>
      <c r="EJ188" s="28">
        <v>0.23005692978474099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0</v>
      </c>
      <c r="EQ188" s="28">
        <v>0</v>
      </c>
      <c r="ER188" s="28">
        <v>0</v>
      </c>
      <c r="ES188" s="28">
        <v>0</v>
      </c>
      <c r="ET188" s="28">
        <v>0</v>
      </c>
      <c r="EU188" s="28">
        <v>0</v>
      </c>
      <c r="EV188" s="28">
        <v>0</v>
      </c>
      <c r="EW188" s="28">
        <v>0</v>
      </c>
      <c r="EX188" s="28">
        <v>0.49651705056849499</v>
      </c>
      <c r="EY188" s="28">
        <v>0.75771938542585004</v>
      </c>
      <c r="EZ188" s="28">
        <v>9.4649174415885398</v>
      </c>
      <c r="FA188" s="28">
        <v>22.355799272908701</v>
      </c>
      <c r="FB188" s="28">
        <v>1.5039775480294399</v>
      </c>
      <c r="FC188" s="28">
        <v>292.383690364176</v>
      </c>
      <c r="FD188" s="28">
        <v>222.294238436602</v>
      </c>
      <c r="FE188" s="28">
        <v>7.0725170751801896</v>
      </c>
      <c r="FF188" s="28">
        <v>0</v>
      </c>
      <c r="FG188" s="28">
        <v>1219.8588038099799</v>
      </c>
      <c r="FH188" s="28">
        <v>72.379220404119295</v>
      </c>
      <c r="FI188" s="28">
        <v>160.568921332081</v>
      </c>
      <c r="FJ188" s="28">
        <v>1.1213873837107999</v>
      </c>
      <c r="FK188" s="28">
        <v>0</v>
      </c>
      <c r="FL188" s="28">
        <v>5.3375761742823897</v>
      </c>
      <c r="FM188" s="28">
        <v>1.94613441</v>
      </c>
      <c r="FN188" s="28">
        <v>2.75510944965208</v>
      </c>
      <c r="FO188" s="28">
        <v>0.31901091351656002</v>
      </c>
      <c r="FP188" s="28">
        <v>4.3962838365201202</v>
      </c>
      <c r="FQ188" s="28">
        <v>22.538226079790601</v>
      </c>
      <c r="FR188" s="28">
        <v>0.46033752597882899</v>
      </c>
      <c r="FS188" s="28">
        <v>90.938057754151004</v>
      </c>
      <c r="FT188" s="28">
        <v>43.309998412296302</v>
      </c>
      <c r="FU188" s="28">
        <v>3.9476527020143002</v>
      </c>
      <c r="FV188" s="28">
        <v>6.9215100274758203</v>
      </c>
      <c r="FW188" s="28">
        <v>3.7642896499999998</v>
      </c>
      <c r="FX188" s="28">
        <v>104.56562266570801</v>
      </c>
      <c r="FY188" s="28">
        <v>1.9775261799999999</v>
      </c>
      <c r="FZ188" s="28">
        <v>6.3163788529869498</v>
      </c>
      <c r="GA188" s="28">
        <v>643.75607787802403</v>
      </c>
      <c r="GB188" s="28">
        <v>196.19882901514401</v>
      </c>
      <c r="GC188" s="28">
        <v>33.173190582162903</v>
      </c>
      <c r="GD188" s="28">
        <v>0</v>
      </c>
      <c r="GE188" s="28">
        <v>9.4232210966958494</v>
      </c>
      <c r="GF188" s="28">
        <v>2.15512306493157</v>
      </c>
      <c r="GG188" s="28">
        <v>59.671817342959997</v>
      </c>
      <c r="GH188" s="28">
        <v>19.323303994132601</v>
      </c>
      <c r="GI188" s="28">
        <v>93.003223256614106</v>
      </c>
      <c r="GJ188" s="28">
        <v>23.9260313928655</v>
      </c>
      <c r="GK188" s="28">
        <v>36.473754136211298</v>
      </c>
      <c r="GL188" s="28">
        <v>123.803370700553</v>
      </c>
      <c r="GM188" s="28">
        <v>12.4312868859773</v>
      </c>
      <c r="GN188" s="28">
        <v>0.34519214033416801</v>
      </c>
      <c r="GO188" s="28">
        <v>0</v>
      </c>
      <c r="GP188" s="28">
        <v>0</v>
      </c>
      <c r="GQ188" s="21">
        <v>4148.7729097445254</v>
      </c>
      <c r="GR188" s="21">
        <v>965.677142568519</v>
      </c>
      <c r="GS188" s="20">
        <v>965.677142568519</v>
      </c>
      <c r="GT188" s="20">
        <v>0</v>
      </c>
      <c r="GU188" s="20">
        <v>0</v>
      </c>
      <c r="GV188" s="20">
        <v>0</v>
      </c>
      <c r="GW188" s="20">
        <v>0</v>
      </c>
      <c r="GX188" s="21">
        <v>369.35902128076776</v>
      </c>
      <c r="GY188" s="20">
        <v>362.35006618546703</v>
      </c>
      <c r="GZ188" s="20">
        <v>7.0089550953007347</v>
      </c>
      <c r="HA188" s="20"/>
      <c r="HB188" s="21">
        <v>3.1570837801999998</v>
      </c>
      <c r="HC188" s="21">
        <v>5486.9661573740123</v>
      </c>
    </row>
    <row r="189" spans="2:211" s="7" customFormat="1" ht="17.25" customHeight="1">
      <c r="B189" s="26" t="s">
        <v>165</v>
      </c>
      <c r="C189" s="10" t="s">
        <v>650</v>
      </c>
      <c r="D189" s="28">
        <v>0</v>
      </c>
      <c r="E189" s="28">
        <v>0</v>
      </c>
      <c r="F189" s="28">
        <v>0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0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0</v>
      </c>
      <c r="CJ189" s="28">
        <v>0</v>
      </c>
      <c r="CK189" s="28">
        <v>0</v>
      </c>
      <c r="CL189" s="28">
        <v>0</v>
      </c>
      <c r="CM189" s="28">
        <v>0</v>
      </c>
      <c r="CN189" s="28">
        <v>0</v>
      </c>
      <c r="CO189" s="28">
        <v>0</v>
      </c>
      <c r="CP189" s="28">
        <v>0</v>
      </c>
      <c r="CQ189" s="28">
        <v>0</v>
      </c>
      <c r="CR189" s="28">
        <v>0</v>
      </c>
      <c r="CS189" s="28">
        <v>0</v>
      </c>
      <c r="CT189" s="28">
        <v>0</v>
      </c>
      <c r="CU189" s="28">
        <v>0</v>
      </c>
      <c r="CV189" s="28">
        <v>0</v>
      </c>
      <c r="CW189" s="28">
        <v>0</v>
      </c>
      <c r="CX189" s="28">
        <v>0</v>
      </c>
      <c r="CY189" s="28">
        <v>0</v>
      </c>
      <c r="CZ189" s="28">
        <v>0</v>
      </c>
      <c r="DA189" s="28">
        <v>0</v>
      </c>
      <c r="DB189" s="28">
        <v>0</v>
      </c>
      <c r="DC189" s="28">
        <v>0</v>
      </c>
      <c r="DD189" s="28">
        <v>0</v>
      </c>
      <c r="DE189" s="28">
        <v>0</v>
      </c>
      <c r="DF189" s="28">
        <v>0</v>
      </c>
      <c r="DG189" s="28">
        <v>0</v>
      </c>
      <c r="DH189" s="28">
        <v>0</v>
      </c>
      <c r="DI189" s="28">
        <v>0</v>
      </c>
      <c r="DJ189" s="28">
        <v>0</v>
      </c>
      <c r="DK189" s="28">
        <v>0</v>
      </c>
      <c r="DL189" s="28">
        <v>0</v>
      </c>
      <c r="DM189" s="28">
        <v>0</v>
      </c>
      <c r="DN189" s="28">
        <v>0</v>
      </c>
      <c r="DO189" s="28">
        <v>0</v>
      </c>
      <c r="DP189" s="28">
        <v>0</v>
      </c>
      <c r="DQ189" s="28">
        <v>0</v>
      </c>
      <c r="DR189" s="28">
        <v>0</v>
      </c>
      <c r="DS189" s="28">
        <v>0</v>
      </c>
      <c r="DT189" s="28">
        <v>0</v>
      </c>
      <c r="DU189" s="28">
        <v>0</v>
      </c>
      <c r="DV189" s="28">
        <v>0</v>
      </c>
      <c r="DW189" s="28">
        <v>0</v>
      </c>
      <c r="DX189" s="28">
        <v>0</v>
      </c>
      <c r="DY189" s="28">
        <v>0</v>
      </c>
      <c r="DZ189" s="28">
        <v>0</v>
      </c>
      <c r="EA189" s="28">
        <v>0</v>
      </c>
      <c r="EB189" s="28">
        <v>0</v>
      </c>
      <c r="EC189" s="28">
        <v>0</v>
      </c>
      <c r="ED189" s="28">
        <v>0</v>
      </c>
      <c r="EE189" s="28">
        <v>0</v>
      </c>
      <c r="EF189" s="28">
        <v>0</v>
      </c>
      <c r="EG189" s="28">
        <v>0</v>
      </c>
      <c r="EH189" s="28">
        <v>0</v>
      </c>
      <c r="EI189" s="28">
        <v>0</v>
      </c>
      <c r="EJ189" s="28">
        <v>0</v>
      </c>
      <c r="EK189" s="28">
        <v>0</v>
      </c>
      <c r="EL189" s="28">
        <v>0</v>
      </c>
      <c r="EM189" s="28">
        <v>0</v>
      </c>
      <c r="EN189" s="28">
        <v>0</v>
      </c>
      <c r="EO189" s="28">
        <v>0</v>
      </c>
      <c r="EP189" s="28">
        <v>0</v>
      </c>
      <c r="EQ189" s="28">
        <v>0</v>
      </c>
      <c r="ER189" s="28">
        <v>0</v>
      </c>
      <c r="ES189" s="28">
        <v>0</v>
      </c>
      <c r="ET189" s="28">
        <v>0</v>
      </c>
      <c r="EU189" s="28">
        <v>0</v>
      </c>
      <c r="EV189" s="28">
        <v>0</v>
      </c>
      <c r="EW189" s="28">
        <v>0</v>
      </c>
      <c r="EX189" s="28">
        <v>0</v>
      </c>
      <c r="EY189" s="28">
        <v>0</v>
      </c>
      <c r="EZ189" s="28">
        <v>0</v>
      </c>
      <c r="FA189" s="28">
        <v>0</v>
      </c>
      <c r="FB189" s="28">
        <v>0</v>
      </c>
      <c r="FC189" s="28">
        <v>0</v>
      </c>
      <c r="FD189" s="28">
        <v>0</v>
      </c>
      <c r="FE189" s="28">
        <v>0</v>
      </c>
      <c r="FF189" s="28">
        <v>0</v>
      </c>
      <c r="FG189" s="28">
        <v>0</v>
      </c>
      <c r="FH189" s="28">
        <v>0</v>
      </c>
      <c r="FI189" s="28">
        <v>0</v>
      </c>
      <c r="FJ189" s="28">
        <v>0</v>
      </c>
      <c r="FK189" s="28">
        <v>0</v>
      </c>
      <c r="FL189" s="28">
        <v>0</v>
      </c>
      <c r="FM189" s="28">
        <v>0</v>
      </c>
      <c r="FN189" s="28">
        <v>0</v>
      </c>
      <c r="FO189" s="28">
        <v>0</v>
      </c>
      <c r="FP189" s="28">
        <v>0</v>
      </c>
      <c r="FQ189" s="28">
        <v>0</v>
      </c>
      <c r="FR189" s="28">
        <v>0</v>
      </c>
      <c r="FS189" s="28">
        <v>0</v>
      </c>
      <c r="FT189" s="28">
        <v>0</v>
      </c>
      <c r="FU189" s="28">
        <v>0</v>
      </c>
      <c r="FV189" s="28">
        <v>0</v>
      </c>
      <c r="FW189" s="28">
        <v>0</v>
      </c>
      <c r="FX189" s="28">
        <v>0</v>
      </c>
      <c r="FY189" s="28">
        <v>0</v>
      </c>
      <c r="FZ189" s="28">
        <v>0</v>
      </c>
      <c r="GA189" s="28">
        <v>0</v>
      </c>
      <c r="GB189" s="28">
        <v>0</v>
      </c>
      <c r="GC189" s="28">
        <v>0</v>
      </c>
      <c r="GD189" s="28">
        <v>0</v>
      </c>
      <c r="GE189" s="28">
        <v>0</v>
      </c>
      <c r="GF189" s="28">
        <v>0</v>
      </c>
      <c r="GG189" s="28">
        <v>0</v>
      </c>
      <c r="GH189" s="28">
        <v>0</v>
      </c>
      <c r="GI189" s="28">
        <v>0</v>
      </c>
      <c r="GJ189" s="28">
        <v>0</v>
      </c>
      <c r="GK189" s="28">
        <v>0</v>
      </c>
      <c r="GL189" s="28">
        <v>0</v>
      </c>
      <c r="GM189" s="28">
        <v>0</v>
      </c>
      <c r="GN189" s="28">
        <v>0</v>
      </c>
      <c r="GO189" s="28">
        <v>0</v>
      </c>
      <c r="GP189" s="28">
        <v>0</v>
      </c>
      <c r="GQ189" s="21">
        <v>0</v>
      </c>
      <c r="GR189" s="21">
        <v>0</v>
      </c>
      <c r="GS189" s="20">
        <v>0</v>
      </c>
      <c r="GT189" s="20">
        <v>0</v>
      </c>
      <c r="GU189" s="20">
        <v>0</v>
      </c>
      <c r="GV189" s="20">
        <v>0</v>
      </c>
      <c r="GW189" s="20">
        <v>0</v>
      </c>
      <c r="GX189" s="21">
        <v>21041.828189339867</v>
      </c>
      <c r="GY189" s="20">
        <v>21041.828189339867</v>
      </c>
      <c r="GZ189" s="20">
        <v>0</v>
      </c>
      <c r="HA189" s="20"/>
      <c r="HB189" s="21">
        <v>0</v>
      </c>
      <c r="HC189" s="21">
        <v>21041.828189339867</v>
      </c>
    </row>
    <row r="190" spans="2:211" s="7" customFormat="1" ht="17.25" customHeight="1">
      <c r="B190" s="26" t="s">
        <v>651</v>
      </c>
      <c r="C190" s="10" t="s">
        <v>652</v>
      </c>
      <c r="D190" s="28">
        <v>0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0.80651892345643506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  <c r="EU190" s="28">
        <v>0</v>
      </c>
      <c r="EV190" s="28">
        <v>0</v>
      </c>
      <c r="EW190" s="28">
        <v>0</v>
      </c>
      <c r="EX190" s="28">
        <v>8.80601714721222</v>
      </c>
      <c r="EY190" s="28">
        <v>40.202274152878203</v>
      </c>
      <c r="EZ190" s="28">
        <v>12.887305</v>
      </c>
      <c r="FA190" s="28">
        <v>50.594256363148602</v>
      </c>
      <c r="FB190" s="28">
        <v>0</v>
      </c>
      <c r="FC190" s="28">
        <v>0</v>
      </c>
      <c r="FD190" s="28">
        <v>0</v>
      </c>
      <c r="FE190" s="28">
        <v>0</v>
      </c>
      <c r="FF190" s="28">
        <v>0</v>
      </c>
      <c r="FG190" s="28">
        <v>0</v>
      </c>
      <c r="FH190" s="28">
        <v>0</v>
      </c>
      <c r="FI190" s="28">
        <v>0</v>
      </c>
      <c r="FJ190" s="28">
        <v>0</v>
      </c>
      <c r="FK190" s="28">
        <v>5.0304325322305896</v>
      </c>
      <c r="FL190" s="28">
        <v>0</v>
      </c>
      <c r="FM190" s="28">
        <v>0</v>
      </c>
      <c r="FN190" s="28">
        <v>0</v>
      </c>
      <c r="FO190" s="28">
        <v>0</v>
      </c>
      <c r="FP190" s="28">
        <v>75.667363736941695</v>
      </c>
      <c r="FQ190" s="28">
        <v>0</v>
      </c>
      <c r="FR190" s="28">
        <v>0</v>
      </c>
      <c r="FS190" s="28">
        <v>0</v>
      </c>
      <c r="FT190" s="28">
        <v>0</v>
      </c>
      <c r="FU190" s="28">
        <v>0</v>
      </c>
      <c r="FV190" s="28">
        <v>0</v>
      </c>
      <c r="FW190" s="28">
        <v>0</v>
      </c>
      <c r="FX190" s="28">
        <v>0</v>
      </c>
      <c r="FY190" s="28">
        <v>0</v>
      </c>
      <c r="FZ190" s="28">
        <v>0</v>
      </c>
      <c r="GA190" s="28">
        <v>0</v>
      </c>
      <c r="GB190" s="28">
        <v>0</v>
      </c>
      <c r="GC190" s="28">
        <v>0</v>
      </c>
      <c r="GD190" s="28">
        <v>0</v>
      </c>
      <c r="GE190" s="28">
        <v>0</v>
      </c>
      <c r="GF190" s="28">
        <v>0</v>
      </c>
      <c r="GG190" s="28">
        <v>0</v>
      </c>
      <c r="GH190" s="28">
        <v>0</v>
      </c>
      <c r="GI190" s="28">
        <v>0</v>
      </c>
      <c r="GJ190" s="28">
        <v>0</v>
      </c>
      <c r="GK190" s="28">
        <v>0</v>
      </c>
      <c r="GL190" s="28">
        <v>0</v>
      </c>
      <c r="GM190" s="28">
        <v>0</v>
      </c>
      <c r="GN190" s="28">
        <v>0</v>
      </c>
      <c r="GO190" s="28">
        <v>0</v>
      </c>
      <c r="GP190" s="28">
        <v>0</v>
      </c>
      <c r="GQ190" s="21">
        <v>193.99416785586774</v>
      </c>
      <c r="GR190" s="21">
        <v>0</v>
      </c>
      <c r="GS190" s="20">
        <v>0</v>
      </c>
      <c r="GT190" s="20">
        <v>0</v>
      </c>
      <c r="GU190" s="20">
        <v>0</v>
      </c>
      <c r="GV190" s="20">
        <v>0</v>
      </c>
      <c r="GW190" s="20">
        <v>0</v>
      </c>
      <c r="GX190" s="21">
        <v>1003.4151879265593</v>
      </c>
      <c r="GY190" s="20">
        <v>1003.4151879265593</v>
      </c>
      <c r="GZ190" s="20">
        <v>0</v>
      </c>
      <c r="HA190" s="20"/>
      <c r="HB190" s="21">
        <v>0</v>
      </c>
      <c r="HC190" s="21">
        <v>1197.4093557824269</v>
      </c>
    </row>
    <row r="191" spans="2:211" s="7" customFormat="1" ht="17.25" customHeight="1">
      <c r="B191" s="26" t="s">
        <v>167</v>
      </c>
      <c r="C191" s="9" t="s">
        <v>653</v>
      </c>
      <c r="D191" s="28">
        <v>0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  <c r="EU191" s="28">
        <v>0</v>
      </c>
      <c r="EV191" s="28">
        <v>0</v>
      </c>
      <c r="EW191" s="28">
        <v>0</v>
      </c>
      <c r="EX191" s="28">
        <v>0</v>
      </c>
      <c r="EY191" s="28">
        <v>0</v>
      </c>
      <c r="EZ191" s="28">
        <v>0</v>
      </c>
      <c r="FA191" s="28">
        <v>0</v>
      </c>
      <c r="FB191" s="28">
        <v>0</v>
      </c>
      <c r="FC191" s="28">
        <v>0</v>
      </c>
      <c r="FD191" s="28">
        <v>0</v>
      </c>
      <c r="FE191" s="28">
        <v>0</v>
      </c>
      <c r="FF191" s="28">
        <v>0</v>
      </c>
      <c r="FG191" s="28">
        <v>0</v>
      </c>
      <c r="FH191" s="28">
        <v>0</v>
      </c>
      <c r="FI191" s="28">
        <v>0</v>
      </c>
      <c r="FJ191" s="28">
        <v>0</v>
      </c>
      <c r="FK191" s="28">
        <v>0</v>
      </c>
      <c r="FL191" s="28">
        <v>0</v>
      </c>
      <c r="FM191" s="28">
        <v>0</v>
      </c>
      <c r="FN191" s="28">
        <v>0</v>
      </c>
      <c r="FO191" s="28">
        <v>0</v>
      </c>
      <c r="FP191" s="28">
        <v>0</v>
      </c>
      <c r="FQ191" s="28">
        <v>0</v>
      </c>
      <c r="FR191" s="28">
        <v>0</v>
      </c>
      <c r="FS191" s="28">
        <v>0</v>
      </c>
      <c r="FT191" s="28">
        <v>0</v>
      </c>
      <c r="FU191" s="28">
        <v>0</v>
      </c>
      <c r="FV191" s="28">
        <v>0</v>
      </c>
      <c r="FW191" s="28">
        <v>0</v>
      </c>
      <c r="FX191" s="28">
        <v>0</v>
      </c>
      <c r="FY191" s="28">
        <v>0</v>
      </c>
      <c r="FZ191" s="28">
        <v>0</v>
      </c>
      <c r="GA191" s="28">
        <v>0</v>
      </c>
      <c r="GB191" s="28">
        <v>0</v>
      </c>
      <c r="GC191" s="28">
        <v>0</v>
      </c>
      <c r="GD191" s="28">
        <v>0</v>
      </c>
      <c r="GE191" s="28">
        <v>0</v>
      </c>
      <c r="GF191" s="28">
        <v>0</v>
      </c>
      <c r="GG191" s="28">
        <v>0</v>
      </c>
      <c r="GH191" s="28">
        <v>0</v>
      </c>
      <c r="GI191" s="28">
        <v>0</v>
      </c>
      <c r="GJ191" s="28">
        <v>0</v>
      </c>
      <c r="GK191" s="28">
        <v>0</v>
      </c>
      <c r="GL191" s="28">
        <v>0</v>
      </c>
      <c r="GM191" s="28">
        <v>0</v>
      </c>
      <c r="GN191" s="28">
        <v>0</v>
      </c>
      <c r="GO191" s="28">
        <v>0</v>
      </c>
      <c r="GP191" s="28">
        <v>0</v>
      </c>
      <c r="GQ191" s="21">
        <v>0</v>
      </c>
      <c r="GR191" s="21">
        <v>0</v>
      </c>
      <c r="GS191" s="20">
        <v>0</v>
      </c>
      <c r="GT191" s="20">
        <v>0</v>
      </c>
      <c r="GU191" s="20">
        <v>0</v>
      </c>
      <c r="GV191" s="20">
        <v>0</v>
      </c>
      <c r="GW191" s="20">
        <v>0</v>
      </c>
      <c r="GX191" s="21">
        <v>0</v>
      </c>
      <c r="GY191" s="20">
        <v>0</v>
      </c>
      <c r="GZ191" s="20">
        <v>0</v>
      </c>
      <c r="HA191" s="20"/>
      <c r="HB191" s="21">
        <v>0</v>
      </c>
      <c r="HC191" s="21">
        <v>0</v>
      </c>
    </row>
    <row r="192" spans="2:211" s="7" customFormat="1" ht="17.25" customHeight="1">
      <c r="B192" s="26" t="s">
        <v>175</v>
      </c>
      <c r="C192" s="10" t="s">
        <v>654</v>
      </c>
      <c r="D192" s="28">
        <v>0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0.59141124741278905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1.1849074614430299</v>
      </c>
      <c r="AM192" s="28">
        <v>0</v>
      </c>
      <c r="AN192" s="28">
        <v>0</v>
      </c>
      <c r="AO192" s="28">
        <v>0</v>
      </c>
      <c r="AP192" s="28">
        <v>20.644539955869</v>
      </c>
      <c r="AQ192" s="28">
        <v>0</v>
      </c>
      <c r="AR192" s="28">
        <v>0</v>
      </c>
      <c r="AS192" s="28">
        <v>0</v>
      </c>
      <c r="AT192" s="28">
        <v>3.5208240312316499</v>
      </c>
      <c r="AU192" s="28">
        <v>0.22113424093856501</v>
      </c>
      <c r="AV192" s="28">
        <v>2.46461427260168</v>
      </c>
      <c r="AW192" s="28">
        <v>11.651220241164401</v>
      </c>
      <c r="AX192" s="28">
        <v>11.2218053450521</v>
      </c>
      <c r="AY192" s="28">
        <v>1.5786275862583601E-2</v>
      </c>
      <c r="AZ192" s="28">
        <v>2.6984709272778602</v>
      </c>
      <c r="BA192" s="28">
        <v>5.4800195673038697E-2</v>
      </c>
      <c r="BB192" s="28">
        <v>4.5084551990565998E-2</v>
      </c>
      <c r="BC192" s="28">
        <v>1.05137441371954</v>
      </c>
      <c r="BD192" s="28">
        <v>2.8102803986992601E-2</v>
      </c>
      <c r="BE192" s="28">
        <v>0</v>
      </c>
      <c r="BF192" s="28">
        <v>0</v>
      </c>
      <c r="BG192" s="28">
        <v>0</v>
      </c>
      <c r="BH192" s="28">
        <v>4.5531153278615397</v>
      </c>
      <c r="BI192" s="28">
        <v>3.0976760903176598E-2</v>
      </c>
      <c r="BJ192" s="28">
        <v>0.10888936694469201</v>
      </c>
      <c r="BK192" s="28">
        <v>0</v>
      </c>
      <c r="BL192" s="28">
        <v>0.40927485961430399</v>
      </c>
      <c r="BM192" s="28">
        <v>0.112607899721947</v>
      </c>
      <c r="BN192" s="28">
        <v>0.38186164669775902</v>
      </c>
      <c r="BO192" s="28">
        <v>0.65853046439450802</v>
      </c>
      <c r="BP192" s="28">
        <v>2.08304627028875E-3</v>
      </c>
      <c r="BQ192" s="28">
        <v>0.114560354644326</v>
      </c>
      <c r="BR192" s="28">
        <v>6.3617148497462001E-2</v>
      </c>
      <c r="BS192" s="28">
        <v>0</v>
      </c>
      <c r="BT192" s="28">
        <v>0</v>
      </c>
      <c r="BU192" s="28">
        <v>0.21418189036245899</v>
      </c>
      <c r="BV192" s="28">
        <v>2.1906863063380699</v>
      </c>
      <c r="BW192" s="28">
        <v>0</v>
      </c>
      <c r="BX192" s="28">
        <v>0.19165731818641399</v>
      </c>
      <c r="BY192" s="28">
        <v>0.40381189609914397</v>
      </c>
      <c r="BZ192" s="28">
        <v>1.35404982447162E-2</v>
      </c>
      <c r="CA192" s="28">
        <v>6.4145999999999995E-2</v>
      </c>
      <c r="CB192" s="28">
        <v>0.14163131245847899</v>
      </c>
      <c r="CC192" s="28">
        <v>7.7635736266414802E-3</v>
      </c>
      <c r="CD192" s="28">
        <v>0.101998855868559</v>
      </c>
      <c r="CE192" s="28">
        <v>3.46821894832035E-2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3.4486070623740699</v>
      </c>
      <c r="CU192" s="28">
        <v>0.21008865289491699</v>
      </c>
      <c r="CV192" s="28">
        <v>0</v>
      </c>
      <c r="CW192" s="28">
        <v>8.6304613578895193</v>
      </c>
      <c r="CX192" s="28">
        <v>0</v>
      </c>
      <c r="CY192" s="28">
        <v>0</v>
      </c>
      <c r="CZ192" s="28">
        <v>0</v>
      </c>
      <c r="DA192" s="28">
        <v>0.89349170707252001</v>
      </c>
      <c r="DB192" s="28">
        <v>9.29117804400083</v>
      </c>
      <c r="DC192" s="28">
        <v>3.2944263594771002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1.21313116850689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0.53321636818486096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3.3056352488090299</v>
      </c>
      <c r="EE192" s="28">
        <v>0.75454096770315804</v>
      </c>
      <c r="EF192" s="28">
        <v>1.3045939306538401</v>
      </c>
      <c r="EG192" s="28">
        <v>0.38182862284983798</v>
      </c>
      <c r="EH192" s="28">
        <v>0.13184326374663599</v>
      </c>
      <c r="EI192" s="28">
        <v>6.1283340905108903E-2</v>
      </c>
      <c r="EJ192" s="28">
        <v>3.1530179897351398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4.6628841702257298E-2</v>
      </c>
      <c r="ET192" s="28">
        <v>0.21774927561274299</v>
      </c>
      <c r="EU192" s="28">
        <v>0</v>
      </c>
      <c r="EV192" s="28">
        <v>0</v>
      </c>
      <c r="EW192" s="28">
        <v>0</v>
      </c>
      <c r="EX192" s="28">
        <v>2.1251253560134802</v>
      </c>
      <c r="EY192" s="28">
        <v>0.97284008843611702</v>
      </c>
      <c r="EZ192" s="28">
        <v>2.3048534174997899</v>
      </c>
      <c r="FA192" s="28">
        <v>9.2318575991896292</v>
      </c>
      <c r="FB192" s="28">
        <v>2.2348090905835098</v>
      </c>
      <c r="FC192" s="28">
        <v>3.7567209166581299</v>
      </c>
      <c r="FD192" s="28">
        <v>0.319546365202246</v>
      </c>
      <c r="FE192" s="28">
        <v>0</v>
      </c>
      <c r="FF192" s="28">
        <v>0</v>
      </c>
      <c r="FG192" s="28">
        <v>3.7026641920068202</v>
      </c>
      <c r="FH192" s="28">
        <v>0.11735784744365101</v>
      </c>
      <c r="FI192" s="28">
        <v>247.58304245834501</v>
      </c>
      <c r="FJ192" s="28">
        <v>7.5257392943305099</v>
      </c>
      <c r="FK192" s="28">
        <v>0</v>
      </c>
      <c r="FL192" s="28">
        <v>0</v>
      </c>
      <c r="FM192" s="28">
        <v>0.76194633000000001</v>
      </c>
      <c r="FN192" s="28">
        <v>10.312292168072799</v>
      </c>
      <c r="FO192" s="28">
        <v>0</v>
      </c>
      <c r="FP192" s="28">
        <v>0</v>
      </c>
      <c r="FQ192" s="28">
        <v>3.75312419308346</v>
      </c>
      <c r="FR192" s="28">
        <v>9.4451239054319291</v>
      </c>
      <c r="FS192" s="28">
        <v>4.40279057436417</v>
      </c>
      <c r="FT192" s="28">
        <v>2.71234492415378</v>
      </c>
      <c r="FU192" s="28">
        <v>3.9835350541346499</v>
      </c>
      <c r="FV192" s="28">
        <v>18.142529949545299</v>
      </c>
      <c r="FW192" s="28">
        <v>0.21033926250000001</v>
      </c>
      <c r="FX192" s="28">
        <v>11.140037473739801</v>
      </c>
      <c r="FY192" s="28">
        <v>4.9598031300000001</v>
      </c>
      <c r="FZ192" s="28">
        <v>1.69420948</v>
      </c>
      <c r="GA192" s="28">
        <v>0</v>
      </c>
      <c r="GB192" s="28">
        <v>5.83559189183224</v>
      </c>
      <c r="GC192" s="28">
        <v>4.1902620935265604</v>
      </c>
      <c r="GD192" s="28">
        <v>30.405221839323399</v>
      </c>
      <c r="GE192" s="28">
        <v>32.115260759658</v>
      </c>
      <c r="GF192" s="28">
        <v>32.134659989369297</v>
      </c>
      <c r="GG192" s="28">
        <v>34.292601765294002</v>
      </c>
      <c r="GH192" s="28">
        <v>17.641378949406199</v>
      </c>
      <c r="GI192" s="28">
        <v>17.073657720936399</v>
      </c>
      <c r="GJ192" s="28">
        <v>3.8597377883683999</v>
      </c>
      <c r="GK192" s="28">
        <v>24.226063373610199</v>
      </c>
      <c r="GL192" s="28">
        <v>13.773008504989599</v>
      </c>
      <c r="GM192" s="28">
        <v>226.77409796987499</v>
      </c>
      <c r="GN192" s="28">
        <v>4.23064532407348</v>
      </c>
      <c r="GO192" s="28">
        <v>0</v>
      </c>
      <c r="GP192" s="28">
        <v>0</v>
      </c>
      <c r="GQ192" s="21">
        <v>900.01023592355784</v>
      </c>
      <c r="GR192" s="21">
        <v>11258.133147988077</v>
      </c>
      <c r="GS192" s="20">
        <v>11258.133147988077</v>
      </c>
      <c r="GT192" s="20">
        <v>0</v>
      </c>
      <c r="GU192" s="20">
        <v>0</v>
      </c>
      <c r="GV192" s="20">
        <v>0</v>
      </c>
      <c r="GW192" s="20">
        <v>0</v>
      </c>
      <c r="GX192" s="21">
        <v>0</v>
      </c>
      <c r="GY192" s="20">
        <v>0</v>
      </c>
      <c r="GZ192" s="20">
        <v>0</v>
      </c>
      <c r="HA192" s="20"/>
      <c r="HB192" s="21">
        <v>0</v>
      </c>
      <c r="HC192" s="21">
        <v>12158.143383911634</v>
      </c>
    </row>
    <row r="193" spans="2:211" s="7" customFormat="1" ht="17.25" customHeight="1">
      <c r="B193" s="26" t="s">
        <v>655</v>
      </c>
      <c r="C193" s="10" t="s">
        <v>656</v>
      </c>
      <c r="D193" s="28">
        <v>0</v>
      </c>
      <c r="E193" s="28">
        <v>38.403803241924798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3.9411222799636998</v>
      </c>
      <c r="U193" s="28">
        <v>10.4626809619611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6.0552023463403402E-2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141.94839300000001</v>
      </c>
      <c r="AY193" s="28">
        <v>0</v>
      </c>
      <c r="AZ193" s="28">
        <v>0.26579490262453398</v>
      </c>
      <c r="BA193" s="28">
        <v>1.7550767123264598E-2</v>
      </c>
      <c r="BB193" s="28">
        <v>2.6206934391058301E-2</v>
      </c>
      <c r="BC193" s="28">
        <v>1.01675460303931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6.9846714234428697</v>
      </c>
      <c r="CC193" s="28">
        <v>0.38286738936839598</v>
      </c>
      <c r="CD193" s="28">
        <v>5.0301623379918201</v>
      </c>
      <c r="CE193" s="28">
        <v>1.7103823552915201</v>
      </c>
      <c r="CF193" s="28">
        <v>0</v>
      </c>
      <c r="CG193" s="28">
        <v>0</v>
      </c>
      <c r="CH193" s="28">
        <v>0</v>
      </c>
      <c r="CI193" s="28">
        <v>29.228906631469702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12.8094369816918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1.5378688706677801</v>
      </c>
      <c r="DY193" s="28">
        <v>0</v>
      </c>
      <c r="DZ193" s="28">
        <v>28.4663341273647</v>
      </c>
      <c r="EA193" s="28">
        <v>0</v>
      </c>
      <c r="EB193" s="28">
        <v>0</v>
      </c>
      <c r="EC193" s="28">
        <v>0</v>
      </c>
      <c r="ED193" s="28">
        <v>0</v>
      </c>
      <c r="EE193" s="28">
        <v>0.34627950338878399</v>
      </c>
      <c r="EF193" s="28">
        <v>6.6200519595016003E-5</v>
      </c>
      <c r="EG193" s="28">
        <v>0</v>
      </c>
      <c r="EH193" s="28">
        <v>0</v>
      </c>
      <c r="EI193" s="28">
        <v>0</v>
      </c>
      <c r="EJ193" s="28">
        <v>1.05362963485425</v>
      </c>
      <c r="EK193" s="28">
        <v>0</v>
      </c>
      <c r="EL193" s="28">
        <v>0</v>
      </c>
      <c r="EM193" s="28">
        <v>0</v>
      </c>
      <c r="EN193" s="28">
        <v>0</v>
      </c>
      <c r="EO193" s="28">
        <v>1.1230399911125599</v>
      </c>
      <c r="EP193" s="28">
        <v>0</v>
      </c>
      <c r="EQ193" s="28">
        <v>1.1409424121439599E-2</v>
      </c>
      <c r="ER193" s="28">
        <v>1.32684500174214E-2</v>
      </c>
      <c r="ES193" s="28">
        <v>0</v>
      </c>
      <c r="ET193" s="28">
        <v>0.26199523460220298</v>
      </c>
      <c r="EU193" s="28">
        <v>0</v>
      </c>
      <c r="EV193" s="28">
        <v>0</v>
      </c>
      <c r="EW193" s="28">
        <v>0</v>
      </c>
      <c r="EX193" s="28">
        <v>0</v>
      </c>
      <c r="EY193" s="28">
        <v>0</v>
      </c>
      <c r="EZ193" s="28">
        <v>0</v>
      </c>
      <c r="FA193" s="28">
        <v>0</v>
      </c>
      <c r="FB193" s="28">
        <v>0</v>
      </c>
      <c r="FC193" s="28">
        <v>1.32411896596489E-2</v>
      </c>
      <c r="FD193" s="28">
        <v>2.45513037892565E-4</v>
      </c>
      <c r="FE193" s="28">
        <v>0</v>
      </c>
      <c r="FF193" s="28">
        <v>0</v>
      </c>
      <c r="FG193" s="28">
        <v>2.6072932858716001E-2</v>
      </c>
      <c r="FH193" s="28">
        <v>0</v>
      </c>
      <c r="FI193" s="28">
        <v>227.57976050271299</v>
      </c>
      <c r="FJ193" s="28">
        <v>0</v>
      </c>
      <c r="FK193" s="28">
        <v>0</v>
      </c>
      <c r="FL193" s="28">
        <v>0</v>
      </c>
      <c r="FM193" s="28">
        <v>0</v>
      </c>
      <c r="FN193" s="28">
        <v>0</v>
      </c>
      <c r="FO193" s="28">
        <v>0</v>
      </c>
      <c r="FP193" s="28">
        <v>9.4862017541388302E-2</v>
      </c>
      <c r="FQ193" s="28">
        <v>0</v>
      </c>
      <c r="FR193" s="28">
        <v>0</v>
      </c>
      <c r="FS193" s="28">
        <v>0</v>
      </c>
      <c r="FT193" s="28">
        <v>0</v>
      </c>
      <c r="FU193" s="28">
        <v>0</v>
      </c>
      <c r="FV193" s="28">
        <v>0</v>
      </c>
      <c r="FW193" s="28">
        <v>0</v>
      </c>
      <c r="FX193" s="28">
        <v>0</v>
      </c>
      <c r="FY193" s="28">
        <v>0</v>
      </c>
      <c r="FZ193" s="28">
        <v>0</v>
      </c>
      <c r="GA193" s="28">
        <v>0</v>
      </c>
      <c r="GB193" s="28">
        <v>0</v>
      </c>
      <c r="GC193" s="28">
        <v>0</v>
      </c>
      <c r="GD193" s="28">
        <v>0</v>
      </c>
      <c r="GE193" s="28">
        <v>0</v>
      </c>
      <c r="GF193" s="28">
        <v>3.5732398222434698</v>
      </c>
      <c r="GG193" s="28">
        <v>0</v>
      </c>
      <c r="GH193" s="28">
        <v>0</v>
      </c>
      <c r="GI193" s="28">
        <v>0</v>
      </c>
      <c r="GJ193" s="28">
        <v>0</v>
      </c>
      <c r="GK193" s="28">
        <v>0</v>
      </c>
      <c r="GL193" s="28">
        <v>0</v>
      </c>
      <c r="GM193" s="28">
        <v>0</v>
      </c>
      <c r="GN193" s="28">
        <v>0</v>
      </c>
      <c r="GO193" s="28">
        <v>0</v>
      </c>
      <c r="GP193" s="28">
        <v>0</v>
      </c>
      <c r="GQ193" s="21">
        <v>516.39059924844992</v>
      </c>
      <c r="GR193" s="21">
        <v>14.244912018258086</v>
      </c>
      <c r="GS193" s="20">
        <v>14.244912018258086</v>
      </c>
      <c r="GT193" s="20">
        <v>0</v>
      </c>
      <c r="GU193" s="20">
        <v>0</v>
      </c>
      <c r="GV193" s="20">
        <v>0</v>
      </c>
      <c r="GW193" s="20">
        <v>0</v>
      </c>
      <c r="GX193" s="21">
        <v>0</v>
      </c>
      <c r="GY193" s="20">
        <v>0</v>
      </c>
      <c r="GZ193" s="20">
        <v>0</v>
      </c>
      <c r="HA193" s="20"/>
      <c r="HB193" s="21">
        <v>0</v>
      </c>
      <c r="HC193" s="21">
        <v>530.63551126670802</v>
      </c>
    </row>
    <row r="194" spans="2:211" s="7" customFormat="1" ht="17.25" customHeight="1">
      <c r="B194" s="26" t="s">
        <v>657</v>
      </c>
      <c r="C194" s="10" t="s">
        <v>658</v>
      </c>
      <c r="D194" s="28">
        <v>27.3758451170523</v>
      </c>
      <c r="E194" s="28">
        <v>54.185056009750802</v>
      </c>
      <c r="F194" s="28">
        <v>232.636615866715</v>
      </c>
      <c r="G194" s="28">
        <v>22.942938575075999</v>
      </c>
      <c r="H194" s="28">
        <v>64.372925229731905</v>
      </c>
      <c r="I194" s="28">
        <v>64.685964550033404</v>
      </c>
      <c r="J194" s="28">
        <v>21.882630061871499</v>
      </c>
      <c r="K194" s="28">
        <v>5.5810839287866303</v>
      </c>
      <c r="L194" s="28">
        <v>17.387432766273498</v>
      </c>
      <c r="M194" s="28">
        <v>124.32850999207901</v>
      </c>
      <c r="N194" s="28">
        <v>40.110066237845402</v>
      </c>
      <c r="O194" s="28">
        <v>49.754334203329599</v>
      </c>
      <c r="P194" s="28">
        <v>7.1108995487784004</v>
      </c>
      <c r="Q194" s="28">
        <v>157.205186389614</v>
      </c>
      <c r="R194" s="28">
        <v>34.857565244041503</v>
      </c>
      <c r="S194" s="28">
        <v>53.875638593119398</v>
      </c>
      <c r="T194" s="28">
        <v>19.408292457021499</v>
      </c>
      <c r="U194" s="28">
        <v>29.548247366115199</v>
      </c>
      <c r="V194" s="28">
        <v>1.0426612453357</v>
      </c>
      <c r="W194" s="28">
        <v>19.654400289209601</v>
      </c>
      <c r="X194" s="28">
        <v>10.1168798</v>
      </c>
      <c r="Y194" s="28">
        <v>3.01654987</v>
      </c>
      <c r="Z194" s="28">
        <v>50.859263248547201</v>
      </c>
      <c r="AA194" s="28">
        <v>1.47077957507039</v>
      </c>
      <c r="AB194" s="28">
        <v>2.0116879000000001</v>
      </c>
      <c r="AC194" s="28">
        <v>108.279269639871</v>
      </c>
      <c r="AD194" s="28">
        <v>8.5597337230834195E-2</v>
      </c>
      <c r="AE194" s="28">
        <v>212.58289475467799</v>
      </c>
      <c r="AF194" s="28">
        <v>131.321127788795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93.691709659984895</v>
      </c>
      <c r="AM194" s="28">
        <v>0</v>
      </c>
      <c r="AN194" s="28">
        <v>131.73117688255201</v>
      </c>
      <c r="AO194" s="28">
        <v>2.2579648467679001</v>
      </c>
      <c r="AP194" s="28">
        <v>0</v>
      </c>
      <c r="AQ194" s="28">
        <v>6.9165798005721896E-2</v>
      </c>
      <c r="AR194" s="28">
        <v>0</v>
      </c>
      <c r="AS194" s="28">
        <v>0</v>
      </c>
      <c r="AT194" s="28">
        <v>648.63774269843202</v>
      </c>
      <c r="AU194" s="28">
        <v>29.0400000168929</v>
      </c>
      <c r="AV194" s="28">
        <v>40.670070611749601</v>
      </c>
      <c r="AW194" s="28">
        <v>31.9484348277722</v>
      </c>
      <c r="AX194" s="28">
        <v>266.27868087830001</v>
      </c>
      <c r="AY194" s="28">
        <v>0.21493236483608899</v>
      </c>
      <c r="AZ194" s="28">
        <v>6.8089752898632403</v>
      </c>
      <c r="BA194" s="28">
        <v>13.941911156897101</v>
      </c>
      <c r="BB194" s="28">
        <v>4.2983919188863098</v>
      </c>
      <c r="BC194" s="28">
        <v>95.328652021639897</v>
      </c>
      <c r="BD194" s="28">
        <v>0.99423935637416805</v>
      </c>
      <c r="BE194" s="28">
        <v>17.3001589316817</v>
      </c>
      <c r="BF194" s="28">
        <v>0</v>
      </c>
      <c r="BG194" s="28">
        <v>0.35743528801573099</v>
      </c>
      <c r="BH194" s="28">
        <v>64.153300087257804</v>
      </c>
      <c r="BI194" s="28">
        <v>0.185950810002452</v>
      </c>
      <c r="BJ194" s="28">
        <v>3.3589094236296799</v>
      </c>
      <c r="BK194" s="28">
        <v>0</v>
      </c>
      <c r="BL194" s="28">
        <v>0.32093859365590599</v>
      </c>
      <c r="BM194" s="28">
        <v>0.27911054196573298</v>
      </c>
      <c r="BN194" s="28">
        <v>0.88200348500701398</v>
      </c>
      <c r="BO194" s="28">
        <v>0.44748652844849401</v>
      </c>
      <c r="BP194" s="28">
        <v>7.2568634082136301E-3</v>
      </c>
      <c r="BQ194" s="28">
        <v>0.69943300702158995</v>
      </c>
      <c r="BR194" s="28">
        <v>5.55147725066655</v>
      </c>
      <c r="BS194" s="28">
        <v>0</v>
      </c>
      <c r="BT194" s="28">
        <v>11.915347069999999</v>
      </c>
      <c r="BU194" s="28">
        <v>0.27645586445917097</v>
      </c>
      <c r="BV194" s="28">
        <v>19.312966371701901</v>
      </c>
      <c r="BW194" s="28">
        <v>0</v>
      </c>
      <c r="BX194" s="28">
        <v>1.2575275066048699</v>
      </c>
      <c r="BY194" s="28">
        <v>2.79518642398304</v>
      </c>
      <c r="BZ194" s="28">
        <v>25.9175453596376</v>
      </c>
      <c r="CA194" s="28">
        <v>0.21291455004736401</v>
      </c>
      <c r="CB194" s="28">
        <v>3.6973690791399099</v>
      </c>
      <c r="CC194" s="28">
        <v>0.202672675784075</v>
      </c>
      <c r="CD194" s="28">
        <v>2.6627403873463198</v>
      </c>
      <c r="CE194" s="28">
        <v>0.90539904464742704</v>
      </c>
      <c r="CF194" s="28">
        <v>0</v>
      </c>
      <c r="CG194" s="28">
        <v>2.3286407566228</v>
      </c>
      <c r="CH194" s="28">
        <v>6.3361061103786406E-2</v>
      </c>
      <c r="CI194" s="28">
        <v>15.7084445953369</v>
      </c>
      <c r="CJ194" s="28">
        <v>0.143063209772508</v>
      </c>
      <c r="CK194" s="28">
        <v>0.121767483651638</v>
      </c>
      <c r="CL194" s="28">
        <v>1.30818550910257</v>
      </c>
      <c r="CM194" s="28">
        <v>49.836857704870198</v>
      </c>
      <c r="CN194" s="28">
        <v>0.51723802089691195</v>
      </c>
      <c r="CO194" s="28">
        <v>5.3616738319396999</v>
      </c>
      <c r="CP194" s="28">
        <v>2.5019388198852499</v>
      </c>
      <c r="CQ194" s="28">
        <v>1.17994296550751</v>
      </c>
      <c r="CR194" s="28">
        <v>3.3457690093115902E-2</v>
      </c>
      <c r="CS194" s="28">
        <v>2.3509093903199998E-3</v>
      </c>
      <c r="CT194" s="28">
        <v>24.3326461543937</v>
      </c>
      <c r="CU194" s="28">
        <v>2.5568244941067202</v>
      </c>
      <c r="CV194" s="28">
        <v>1.5885154409947999</v>
      </c>
      <c r="CW194" s="28">
        <v>18.891120545458101</v>
      </c>
      <c r="CX194" s="28">
        <v>0.32731624503721701</v>
      </c>
      <c r="CY194" s="28">
        <v>2.45882291596739</v>
      </c>
      <c r="CZ194" s="28">
        <v>0</v>
      </c>
      <c r="DA194" s="28">
        <v>24.6319348708716</v>
      </c>
      <c r="DB194" s="28">
        <v>14.5567027017293</v>
      </c>
      <c r="DC194" s="28">
        <v>5.1577865816241601</v>
      </c>
      <c r="DD194" s="28">
        <v>2.24369990871037</v>
      </c>
      <c r="DE194" s="28">
        <v>0</v>
      </c>
      <c r="DF194" s="28">
        <v>0.48993532333217799</v>
      </c>
      <c r="DG194" s="28">
        <v>19.076246664209499</v>
      </c>
      <c r="DH194" s="28">
        <v>9.9989470147574107</v>
      </c>
      <c r="DI194" s="28">
        <v>0.31566951378538899</v>
      </c>
      <c r="DJ194" s="28">
        <v>145.722626495691</v>
      </c>
      <c r="DK194" s="28">
        <v>0.190440083696996</v>
      </c>
      <c r="DL194" s="28">
        <v>0.99816423418669697</v>
      </c>
      <c r="DM194" s="28">
        <v>0.28721950302620902</v>
      </c>
      <c r="DN194" s="28">
        <v>4.4242535459286803</v>
      </c>
      <c r="DO194" s="28">
        <v>9.2437636948101698</v>
      </c>
      <c r="DP194" s="28">
        <v>0</v>
      </c>
      <c r="DQ194" s="28">
        <v>8.2846548543067797</v>
      </c>
      <c r="DR194" s="28">
        <v>15.9359964890004</v>
      </c>
      <c r="DS194" s="28">
        <v>13.274712220185799</v>
      </c>
      <c r="DT194" s="28">
        <v>0.87670695900366902</v>
      </c>
      <c r="DU194" s="28">
        <v>40.188716720279302</v>
      </c>
      <c r="DV194" s="28">
        <v>6.8458670404824904</v>
      </c>
      <c r="DW194" s="28">
        <v>0</v>
      </c>
      <c r="DX194" s="28">
        <v>0.23455865753647501</v>
      </c>
      <c r="DY194" s="28">
        <v>1.50307470044282</v>
      </c>
      <c r="DZ194" s="28">
        <v>4.3266946138576898</v>
      </c>
      <c r="EA194" s="28">
        <v>0</v>
      </c>
      <c r="EB194" s="28">
        <v>0.48572290606540303</v>
      </c>
      <c r="EC194" s="28">
        <v>13.410331028710299</v>
      </c>
      <c r="ED194" s="28">
        <v>5.3034089257230104</v>
      </c>
      <c r="EE194" s="28">
        <v>9.3727441541877408</v>
      </c>
      <c r="EF194" s="28">
        <v>3.0254252314806799E-4</v>
      </c>
      <c r="EG194" s="28">
        <v>1.5986503815400099</v>
      </c>
      <c r="EH194" s="28">
        <v>0.55200493435749898</v>
      </c>
      <c r="EI194" s="28">
        <v>0.26056147010636399</v>
      </c>
      <c r="EJ194" s="28">
        <v>9.2123636815595606</v>
      </c>
      <c r="EK194" s="28">
        <v>9.7074848192940599E-2</v>
      </c>
      <c r="EL194" s="28">
        <v>0.10165506390859901</v>
      </c>
      <c r="EM194" s="28">
        <v>0</v>
      </c>
      <c r="EN194" s="28">
        <v>0</v>
      </c>
      <c r="EO194" s="28">
        <v>0</v>
      </c>
      <c r="EP194" s="28">
        <v>0</v>
      </c>
      <c r="EQ194" s="28">
        <v>0.32056472286104898</v>
      </c>
      <c r="ER194" s="28">
        <v>0.21281116399636801</v>
      </c>
      <c r="ES194" s="28">
        <v>9.0557373498441898</v>
      </c>
      <c r="ET194" s="28">
        <v>0.82563337918953095</v>
      </c>
      <c r="EU194" s="28">
        <v>8.4357079919171393E-2</v>
      </c>
      <c r="EV194" s="28">
        <v>0.168968089683423</v>
      </c>
      <c r="EW194" s="28">
        <v>0</v>
      </c>
      <c r="EX194" s="28">
        <v>20.4709947048899</v>
      </c>
      <c r="EY194" s="28">
        <v>3.82986790504222</v>
      </c>
      <c r="EZ194" s="28">
        <v>2.46938259522604</v>
      </c>
      <c r="FA194" s="28">
        <v>1.82221427773714</v>
      </c>
      <c r="FB194" s="28">
        <v>3.0273525161701</v>
      </c>
      <c r="FC194" s="28">
        <v>4.6622188425242204</v>
      </c>
      <c r="FD194" s="28">
        <v>0.248627609618148</v>
      </c>
      <c r="FE194" s="28">
        <v>0</v>
      </c>
      <c r="FF194" s="28">
        <v>20.4014025595927</v>
      </c>
      <c r="FG194" s="28">
        <v>2.1889345265945099</v>
      </c>
      <c r="FH194" s="28">
        <v>4.3333205724791199E-2</v>
      </c>
      <c r="FI194" s="28">
        <v>2939.77552371716</v>
      </c>
      <c r="FJ194" s="28">
        <v>0</v>
      </c>
      <c r="FK194" s="28">
        <v>0</v>
      </c>
      <c r="FL194" s="28">
        <v>16.700923472267601</v>
      </c>
      <c r="FM194" s="28">
        <v>2.94107827065044E-2</v>
      </c>
      <c r="FN194" s="28">
        <v>23.103360289004598</v>
      </c>
      <c r="FO194" s="28">
        <v>0.19041187969270901</v>
      </c>
      <c r="FP194" s="28">
        <v>0.222013450464974</v>
      </c>
      <c r="FQ194" s="28">
        <v>103.63718281527601</v>
      </c>
      <c r="FR194" s="28">
        <v>7.2633756908000597</v>
      </c>
      <c r="FS194" s="28">
        <v>3.57916160778767</v>
      </c>
      <c r="FT194" s="28">
        <v>10.3644366362646</v>
      </c>
      <c r="FU194" s="28">
        <v>47.718577845547401</v>
      </c>
      <c r="FV194" s="28">
        <v>16.8450103740748</v>
      </c>
      <c r="FW194" s="28">
        <v>0.61126053999999996</v>
      </c>
      <c r="FX194" s="28">
        <v>0</v>
      </c>
      <c r="FY194" s="28">
        <v>0</v>
      </c>
      <c r="FZ194" s="28">
        <v>0</v>
      </c>
      <c r="GA194" s="28">
        <v>2.4753385436616301E-2</v>
      </c>
      <c r="GB194" s="28">
        <v>10.114451326955599</v>
      </c>
      <c r="GC194" s="28">
        <v>14.106937206997999</v>
      </c>
      <c r="GD194" s="28">
        <v>24.929802825759399</v>
      </c>
      <c r="GE194" s="28">
        <v>4.4309309013462697</v>
      </c>
      <c r="GF194" s="28">
        <v>6.5060608736063701</v>
      </c>
      <c r="GG194" s="28">
        <v>36.026138157516897</v>
      </c>
      <c r="GH194" s="28">
        <v>7.2240177113441204</v>
      </c>
      <c r="GI194" s="28">
        <v>34.840155981983003</v>
      </c>
      <c r="GJ194" s="28">
        <v>6.0260805135834401</v>
      </c>
      <c r="GK194" s="28">
        <v>26.848198953538699</v>
      </c>
      <c r="GL194" s="28">
        <v>3.1365485170676299</v>
      </c>
      <c r="GM194" s="28">
        <v>0</v>
      </c>
      <c r="GN194" s="28">
        <v>0</v>
      </c>
      <c r="GO194" s="28">
        <v>0</v>
      </c>
      <c r="GP194" s="28">
        <v>0</v>
      </c>
      <c r="GQ194" s="21">
        <v>7008.8544637262976</v>
      </c>
      <c r="GR194" s="21">
        <v>3808.7683284497448</v>
      </c>
      <c r="GS194" s="20">
        <v>3808.7683284497448</v>
      </c>
      <c r="GT194" s="20">
        <v>0</v>
      </c>
      <c r="GU194" s="20">
        <v>0</v>
      </c>
      <c r="GV194" s="20">
        <v>0</v>
      </c>
      <c r="GW194" s="20">
        <v>0</v>
      </c>
      <c r="GX194" s="21">
        <v>0</v>
      </c>
      <c r="GY194" s="20">
        <v>0</v>
      </c>
      <c r="GZ194" s="20">
        <v>0</v>
      </c>
      <c r="HA194" s="20"/>
      <c r="HB194" s="21">
        <v>1723.88376817465</v>
      </c>
      <c r="HC194" s="21">
        <v>12541.506560350692</v>
      </c>
    </row>
    <row r="195" spans="2:211" s="7" customFormat="1" ht="17.25" customHeight="1">
      <c r="B195" s="26" t="s">
        <v>659</v>
      </c>
      <c r="C195" s="9" t="s">
        <v>660</v>
      </c>
      <c r="D195" s="28">
        <v>0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4.4977437202075903</v>
      </c>
      <c r="T195" s="28">
        <v>2.42147863186623</v>
      </c>
      <c r="U195" s="28">
        <v>1.16390082118214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8.3648896798252603E-2</v>
      </c>
      <c r="AF195" s="28">
        <v>0.79252152454151004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7.5667979082372696</v>
      </c>
      <c r="AO195" s="28">
        <v>0</v>
      </c>
      <c r="AP195" s="28">
        <v>0.13665939939446001</v>
      </c>
      <c r="AQ195" s="28">
        <v>0.36403051581951601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4.1759798681829103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11.488388555576799</v>
      </c>
      <c r="CC195" s="28">
        <v>0.62974033675521501</v>
      </c>
      <c r="CD195" s="28">
        <v>8.2736117324748104</v>
      </c>
      <c r="CE195" s="28">
        <v>2.8132371424432701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0</v>
      </c>
      <c r="CY195" s="28">
        <v>0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0.5</v>
      </c>
      <c r="DH195" s="28">
        <v>0</v>
      </c>
      <c r="DI195" s="28">
        <v>0</v>
      </c>
      <c r="DJ195" s="28">
        <v>9.5563920994009006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1.3340208556442701</v>
      </c>
      <c r="DZ195" s="28">
        <v>2.1263411443391398</v>
      </c>
      <c r="EA195" s="28">
        <v>1.94107610106018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  <c r="EU195" s="28">
        <v>0</v>
      </c>
      <c r="EV195" s="28">
        <v>0</v>
      </c>
      <c r="EW195" s="28">
        <v>0</v>
      </c>
      <c r="EX195" s="28">
        <v>0</v>
      </c>
      <c r="EY195" s="28">
        <v>0</v>
      </c>
      <c r="EZ195" s="28">
        <v>0</v>
      </c>
      <c r="FA195" s="28">
        <v>0</v>
      </c>
      <c r="FB195" s="28">
        <v>0</v>
      </c>
      <c r="FC195" s="28">
        <v>0</v>
      </c>
      <c r="FD195" s="28">
        <v>0</v>
      </c>
      <c r="FE195" s="28">
        <v>0</v>
      </c>
      <c r="FF195" s="28">
        <v>0</v>
      </c>
      <c r="FG195" s="28">
        <v>0</v>
      </c>
      <c r="FH195" s="28">
        <v>0</v>
      </c>
      <c r="FI195" s="28">
        <v>25.9953285163126</v>
      </c>
      <c r="FJ195" s="28">
        <v>0</v>
      </c>
      <c r="FK195" s="28">
        <v>0</v>
      </c>
      <c r="FL195" s="28">
        <v>0</v>
      </c>
      <c r="FM195" s="28">
        <v>0</v>
      </c>
      <c r="FN195" s="28">
        <v>0</v>
      </c>
      <c r="FO195" s="28">
        <v>0</v>
      </c>
      <c r="FP195" s="28">
        <v>0</v>
      </c>
      <c r="FQ195" s="28">
        <v>0</v>
      </c>
      <c r="FR195" s="28">
        <v>0</v>
      </c>
      <c r="FS195" s="28">
        <v>0</v>
      </c>
      <c r="FT195" s="28">
        <v>0</v>
      </c>
      <c r="FU195" s="28">
        <v>0</v>
      </c>
      <c r="FV195" s="28">
        <v>0</v>
      </c>
      <c r="FW195" s="28">
        <v>0</v>
      </c>
      <c r="FX195" s="28">
        <v>0</v>
      </c>
      <c r="FY195" s="28">
        <v>0</v>
      </c>
      <c r="FZ195" s="28">
        <v>0</v>
      </c>
      <c r="GA195" s="28">
        <v>0</v>
      </c>
      <c r="GB195" s="28">
        <v>0</v>
      </c>
      <c r="GC195" s="28">
        <v>0</v>
      </c>
      <c r="GD195" s="28">
        <v>0</v>
      </c>
      <c r="GE195" s="28">
        <v>0</v>
      </c>
      <c r="GF195" s="28">
        <v>0</v>
      </c>
      <c r="GG195" s="28">
        <v>0</v>
      </c>
      <c r="GH195" s="28">
        <v>0</v>
      </c>
      <c r="GI195" s="28">
        <v>0</v>
      </c>
      <c r="GJ195" s="28">
        <v>0</v>
      </c>
      <c r="GK195" s="28">
        <v>0</v>
      </c>
      <c r="GL195" s="28">
        <v>0</v>
      </c>
      <c r="GM195" s="28">
        <v>0</v>
      </c>
      <c r="GN195" s="28">
        <v>0</v>
      </c>
      <c r="GO195" s="28">
        <v>0</v>
      </c>
      <c r="GP195" s="28">
        <v>0</v>
      </c>
      <c r="GQ195" s="21">
        <v>85.860897770237074</v>
      </c>
      <c r="GR195" s="21">
        <v>20.013841935506548</v>
      </c>
      <c r="GS195" s="20">
        <v>20.013841935506548</v>
      </c>
      <c r="GT195" s="20">
        <v>0</v>
      </c>
      <c r="GU195" s="20">
        <v>0</v>
      </c>
      <c r="GV195" s="20">
        <v>0</v>
      </c>
      <c r="GW195" s="20">
        <v>0</v>
      </c>
      <c r="GX195" s="21">
        <v>0</v>
      </c>
      <c r="GY195" s="20">
        <v>0</v>
      </c>
      <c r="GZ195" s="20">
        <v>0</v>
      </c>
      <c r="HA195" s="20"/>
      <c r="HB195" s="21">
        <v>0</v>
      </c>
      <c r="HC195" s="21">
        <v>105.87473970574362</v>
      </c>
    </row>
    <row r="196" spans="2:211" s="7" customFormat="1" ht="17.25" customHeight="1">
      <c r="B196" s="26" t="s">
        <v>661</v>
      </c>
      <c r="C196" s="10" t="s">
        <v>662</v>
      </c>
      <c r="D196" s="28">
        <v>0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0.31407245999654798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173.68253861707399</v>
      </c>
      <c r="AU196" s="28">
        <v>0.913905575173388</v>
      </c>
      <c r="AV196" s="28">
        <v>0.94502172895950998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0.275235830372145</v>
      </c>
      <c r="BI196" s="28">
        <v>7.1896672738344797E-2</v>
      </c>
      <c r="BJ196" s="28">
        <v>0.22745443352960901</v>
      </c>
      <c r="BK196" s="28">
        <v>0</v>
      </c>
      <c r="BL196" s="28">
        <v>0.217682233582011</v>
      </c>
      <c r="BM196" s="28">
        <v>0.15542152013273</v>
      </c>
      <c r="BN196" s="28">
        <v>0.203920032852899</v>
      </c>
      <c r="BO196" s="28">
        <v>0.45089793649913601</v>
      </c>
      <c r="BP196" s="28">
        <v>1.4070503441010701E-3</v>
      </c>
      <c r="BQ196" s="28">
        <v>1.04427445537559</v>
      </c>
      <c r="BR196" s="28">
        <v>0.184621123468101</v>
      </c>
      <c r="BS196" s="28">
        <v>0</v>
      </c>
      <c r="BT196" s="28">
        <v>0</v>
      </c>
      <c r="BU196" s="28">
        <v>0.197149883222804</v>
      </c>
      <c r="BV196" s="28">
        <v>1.18241057426185</v>
      </c>
      <c r="BW196" s="28">
        <v>0</v>
      </c>
      <c r="BX196" s="28">
        <v>4.8727285528449897E-2</v>
      </c>
      <c r="BY196" s="28">
        <v>0</v>
      </c>
      <c r="BZ196" s="28">
        <v>0</v>
      </c>
      <c r="CA196" s="28">
        <v>3.2767740298542798E-2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5.3545862020225897E-2</v>
      </c>
      <c r="CM196" s="28">
        <v>0.154823603408281</v>
      </c>
      <c r="CN196" s="28">
        <v>0</v>
      </c>
      <c r="CO196" s="28">
        <v>0</v>
      </c>
      <c r="CP196" s="28">
        <v>0</v>
      </c>
      <c r="CQ196" s="28">
        <v>0</v>
      </c>
      <c r="CR196" s="28">
        <v>9.1732560544616395E-3</v>
      </c>
      <c r="CS196" s="28">
        <v>0</v>
      </c>
      <c r="CT196" s="28">
        <v>4.6349131025665402</v>
      </c>
      <c r="CU196" s="28">
        <v>4.5462984428899398E-3</v>
      </c>
      <c r="CV196" s="28">
        <v>0.22628602531242201</v>
      </c>
      <c r="CW196" s="28">
        <v>3.5215804463263898</v>
      </c>
      <c r="CX196" s="28">
        <v>6.0841711062132996E-3</v>
      </c>
      <c r="CY196" s="28">
        <v>2.2742553877273202</v>
      </c>
      <c r="CZ196" s="28">
        <v>0.85927961319945501</v>
      </c>
      <c r="DA196" s="28">
        <v>0.61253220374030404</v>
      </c>
      <c r="DB196" s="28">
        <v>1.34400697431644</v>
      </c>
      <c r="DC196" s="28">
        <v>0.56424697768986798</v>
      </c>
      <c r="DD196" s="28">
        <v>0</v>
      </c>
      <c r="DE196" s="28">
        <v>0</v>
      </c>
      <c r="DF196" s="28">
        <v>0</v>
      </c>
      <c r="DG196" s="28">
        <v>0.75856261162796201</v>
      </c>
      <c r="DH196" s="28">
        <v>1.4E-2</v>
      </c>
      <c r="DI196" s="28">
        <v>0</v>
      </c>
      <c r="DJ196" s="28">
        <v>0</v>
      </c>
      <c r="DK196" s="28">
        <v>0</v>
      </c>
      <c r="DL196" s="28">
        <v>0</v>
      </c>
      <c r="DM196" s="28">
        <v>1.0058719132813899E-2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0.54502378029999998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0.18082648393859099</v>
      </c>
      <c r="EE196" s="28">
        <v>2.3858243328915198E-2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  <c r="EU196" s="28">
        <v>0</v>
      </c>
      <c r="EV196" s="28">
        <v>0</v>
      </c>
      <c r="EW196" s="28">
        <v>0</v>
      </c>
      <c r="EX196" s="28">
        <v>0.37773313432549999</v>
      </c>
      <c r="EY196" s="28">
        <v>0.28204117190026701</v>
      </c>
      <c r="EZ196" s="28">
        <v>1.2797727377172601</v>
      </c>
      <c r="FA196" s="28">
        <v>0.17810739687476601</v>
      </c>
      <c r="FB196" s="28">
        <v>0.28709798862269298</v>
      </c>
      <c r="FC196" s="28">
        <v>0</v>
      </c>
      <c r="FD196" s="28">
        <v>0</v>
      </c>
      <c r="FE196" s="28">
        <v>0</v>
      </c>
      <c r="FF196" s="28">
        <v>0</v>
      </c>
      <c r="FG196" s="28">
        <v>6.2252283258440603E-3</v>
      </c>
      <c r="FH196" s="28">
        <v>0</v>
      </c>
      <c r="FI196" s="28">
        <v>64.794053224856299</v>
      </c>
      <c r="FJ196" s="28">
        <v>0</v>
      </c>
      <c r="FK196" s="28">
        <v>0</v>
      </c>
      <c r="FL196" s="28">
        <v>3.3210020384288699</v>
      </c>
      <c r="FM196" s="28">
        <v>0</v>
      </c>
      <c r="FN196" s="28">
        <v>2.96024222832011</v>
      </c>
      <c r="FO196" s="28">
        <v>0.30679158057912798</v>
      </c>
      <c r="FP196" s="28">
        <v>11.6674345966166</v>
      </c>
      <c r="FQ196" s="28">
        <v>3.5058116240908301</v>
      </c>
      <c r="FR196" s="28">
        <v>0.185650563928311</v>
      </c>
      <c r="FS196" s="28">
        <v>8.0919342695309808</v>
      </c>
      <c r="FT196" s="28">
        <v>0</v>
      </c>
      <c r="FU196" s="28">
        <v>34.911159316716201</v>
      </c>
      <c r="FV196" s="28">
        <v>4.83235987319354</v>
      </c>
      <c r="FW196" s="28">
        <v>1.36300369</v>
      </c>
      <c r="FX196" s="28">
        <v>14.955560598507599</v>
      </c>
      <c r="FY196" s="28">
        <v>6.0874884299999996</v>
      </c>
      <c r="FZ196" s="28">
        <v>7.8729327528258901</v>
      </c>
      <c r="GA196" s="28">
        <v>0</v>
      </c>
      <c r="GB196" s="28">
        <v>2.6511504904769598</v>
      </c>
      <c r="GC196" s="28">
        <v>1.71941890540075</v>
      </c>
      <c r="GD196" s="28">
        <v>33.833653127707002</v>
      </c>
      <c r="GE196" s="28">
        <v>3.0673078155950502</v>
      </c>
      <c r="GF196" s="28">
        <v>8.1207120683463696</v>
      </c>
      <c r="GG196" s="28">
        <v>60.349501189017701</v>
      </c>
      <c r="GH196" s="28">
        <v>2.5945036702994102</v>
      </c>
      <c r="GI196" s="28">
        <v>17.492460395383699</v>
      </c>
      <c r="GJ196" s="28">
        <v>0.170644375091104</v>
      </c>
      <c r="GK196" s="28">
        <v>30.460660301682999</v>
      </c>
      <c r="GL196" s="28">
        <v>60.860764586010497</v>
      </c>
      <c r="GM196" s="28">
        <v>0</v>
      </c>
      <c r="GN196" s="28">
        <v>0</v>
      </c>
      <c r="GO196" s="28">
        <v>0</v>
      </c>
      <c r="GP196" s="28">
        <v>0</v>
      </c>
      <c r="GQ196" s="21">
        <v>584.53418828402175</v>
      </c>
      <c r="GR196" s="21">
        <v>1883.5634029508069</v>
      </c>
      <c r="GS196" s="20">
        <v>1883.5634029508069</v>
      </c>
      <c r="GT196" s="20">
        <v>0</v>
      </c>
      <c r="GU196" s="20">
        <v>0</v>
      </c>
      <c r="GV196" s="20">
        <v>0</v>
      </c>
      <c r="GW196" s="20">
        <v>0</v>
      </c>
      <c r="GX196" s="21">
        <v>0</v>
      </c>
      <c r="GY196" s="20">
        <v>0</v>
      </c>
      <c r="GZ196" s="20">
        <v>0</v>
      </c>
      <c r="HA196" s="20"/>
      <c r="HB196" s="21">
        <v>1495.0413010519001</v>
      </c>
      <c r="HC196" s="21">
        <v>3963.1388922867286</v>
      </c>
    </row>
    <row r="197" spans="2:211" s="7" customFormat="1" ht="17.25" customHeight="1">
      <c r="B197" s="26" t="s">
        <v>663</v>
      </c>
      <c r="C197" s="10" t="s">
        <v>664</v>
      </c>
      <c r="D197" s="28">
        <v>0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2781.7876932127301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77.992668606537507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  <c r="EU197" s="28">
        <v>0</v>
      </c>
      <c r="EV197" s="28">
        <v>0</v>
      </c>
      <c r="EW197" s="28">
        <v>0</v>
      </c>
      <c r="EX197" s="28">
        <v>0</v>
      </c>
      <c r="EY197" s="28">
        <v>0</v>
      </c>
      <c r="EZ197" s="28">
        <v>0</v>
      </c>
      <c r="FA197" s="28">
        <v>0</v>
      </c>
      <c r="FB197" s="28">
        <v>0</v>
      </c>
      <c r="FC197" s="28">
        <v>0</v>
      </c>
      <c r="FD197" s="28">
        <v>0</v>
      </c>
      <c r="FE197" s="28">
        <v>0</v>
      </c>
      <c r="FF197" s="28">
        <v>0</v>
      </c>
      <c r="FG197" s="28">
        <v>0</v>
      </c>
      <c r="FH197" s="28">
        <v>0</v>
      </c>
      <c r="FI197" s="28">
        <v>0</v>
      </c>
      <c r="FJ197" s="28">
        <v>0</v>
      </c>
      <c r="FK197" s="28">
        <v>0</v>
      </c>
      <c r="FL197" s="28">
        <v>0</v>
      </c>
      <c r="FM197" s="28">
        <v>0</v>
      </c>
      <c r="FN197" s="28">
        <v>0</v>
      </c>
      <c r="FO197" s="28">
        <v>0</v>
      </c>
      <c r="FP197" s="28">
        <v>0</v>
      </c>
      <c r="FQ197" s="28">
        <v>0</v>
      </c>
      <c r="FR197" s="28">
        <v>0</v>
      </c>
      <c r="FS197" s="28">
        <v>0</v>
      </c>
      <c r="FT197" s="28">
        <v>0</v>
      </c>
      <c r="FU197" s="28">
        <v>0</v>
      </c>
      <c r="FV197" s="28">
        <v>0</v>
      </c>
      <c r="FW197" s="28">
        <v>0</v>
      </c>
      <c r="FX197" s="28">
        <v>0</v>
      </c>
      <c r="FY197" s="28">
        <v>0</v>
      </c>
      <c r="FZ197" s="28">
        <v>0</v>
      </c>
      <c r="GA197" s="28">
        <v>0</v>
      </c>
      <c r="GB197" s="28">
        <v>0</v>
      </c>
      <c r="GC197" s="28">
        <v>0</v>
      </c>
      <c r="GD197" s="28">
        <v>0</v>
      </c>
      <c r="GE197" s="28">
        <v>0</v>
      </c>
      <c r="GF197" s="28">
        <v>0</v>
      </c>
      <c r="GG197" s="28">
        <v>0</v>
      </c>
      <c r="GH197" s="28">
        <v>0</v>
      </c>
      <c r="GI197" s="28">
        <v>0</v>
      </c>
      <c r="GJ197" s="28">
        <v>0</v>
      </c>
      <c r="GK197" s="28">
        <v>0</v>
      </c>
      <c r="GL197" s="28">
        <v>0</v>
      </c>
      <c r="GM197" s="28">
        <v>0</v>
      </c>
      <c r="GN197" s="28">
        <v>0</v>
      </c>
      <c r="GO197" s="28">
        <v>0</v>
      </c>
      <c r="GP197" s="28">
        <v>0</v>
      </c>
      <c r="GQ197" s="21">
        <v>2859.7803618192675</v>
      </c>
      <c r="GR197" s="21">
        <v>0</v>
      </c>
      <c r="GS197" s="20">
        <v>0</v>
      </c>
      <c r="GT197" s="20">
        <v>0</v>
      </c>
      <c r="GU197" s="20">
        <v>0</v>
      </c>
      <c r="GV197" s="20">
        <v>0</v>
      </c>
      <c r="GW197" s="20">
        <v>0</v>
      </c>
      <c r="GX197" s="21">
        <v>0</v>
      </c>
      <c r="GY197" s="20">
        <v>0</v>
      </c>
      <c r="GZ197" s="20">
        <v>0</v>
      </c>
      <c r="HA197" s="20"/>
      <c r="HB197" s="21">
        <v>0</v>
      </c>
      <c r="HC197" s="21">
        <v>2859.7803618192675</v>
      </c>
    </row>
    <row r="198" spans="2:211" s="7" customFormat="1" ht="17.25" customHeight="1">
      <c r="B198" s="26" t="s">
        <v>665</v>
      </c>
      <c r="C198" s="10" t="s">
        <v>666</v>
      </c>
      <c r="D198" s="28">
        <v>0</v>
      </c>
      <c r="E198" s="28">
        <v>0</v>
      </c>
      <c r="F198" s="28">
        <v>1.5326987000000001</v>
      </c>
      <c r="G198" s="28">
        <v>0</v>
      </c>
      <c r="H198" s="28">
        <v>2.0716032898600001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0.14067329423734701</v>
      </c>
      <c r="AB198" s="28">
        <v>0</v>
      </c>
      <c r="AC198" s="28">
        <v>0</v>
      </c>
      <c r="AD198" s="28">
        <v>0</v>
      </c>
      <c r="AE198" s="28">
        <v>6.5164343679314299E-2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500.43237836047098</v>
      </c>
      <c r="AU198" s="28">
        <v>9.4981144715771598E-2</v>
      </c>
      <c r="AV198" s="28">
        <v>18.905276214541601</v>
      </c>
      <c r="AW198" s="28">
        <v>125.129429087891</v>
      </c>
      <c r="AX198" s="28">
        <v>179.15022840899201</v>
      </c>
      <c r="AY198" s="28">
        <v>0.71294826611788598</v>
      </c>
      <c r="AZ198" s="28">
        <v>39.779969466620997</v>
      </c>
      <c r="BA198" s="28">
        <v>1.4827956974518</v>
      </c>
      <c r="BB198" s="28">
        <v>7.4831466331259394E-2</v>
      </c>
      <c r="BC198" s="28">
        <v>25.898740362031202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0.25016109353041399</v>
      </c>
      <c r="CB198" s="28">
        <v>2.67236435915652</v>
      </c>
      <c r="CC198" s="28">
        <v>0.14648665679495501</v>
      </c>
      <c r="CD198" s="28">
        <v>1.9245610477399899</v>
      </c>
      <c r="CE198" s="28">
        <v>0.65439940832009003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1.8217700775317301E-3</v>
      </c>
      <c r="CT198" s="28">
        <v>1.62096764387894</v>
      </c>
      <c r="CU198" s="28">
        <v>0</v>
      </c>
      <c r="CV198" s="28">
        <v>2.8203434159260601E-2</v>
      </c>
      <c r="CW198" s="28">
        <v>0.17753919399218801</v>
      </c>
      <c r="CX198" s="28">
        <v>2.1749933631923499E-2</v>
      </c>
      <c r="CY198" s="28">
        <v>0.15221715180137901</v>
      </c>
      <c r="CZ198" s="28">
        <v>0</v>
      </c>
      <c r="DA198" s="28">
        <v>18.936120135212501</v>
      </c>
      <c r="DB198" s="28">
        <v>12.882833581707899</v>
      </c>
      <c r="DC198" s="28">
        <v>16.9875049801275</v>
      </c>
      <c r="DD198" s="28">
        <v>0.90759572991930304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41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24.993421069600799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0.32162418119899799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  <c r="EU198" s="28">
        <v>0</v>
      </c>
      <c r="EV198" s="28">
        <v>0</v>
      </c>
      <c r="EW198" s="28">
        <v>0</v>
      </c>
      <c r="EX198" s="28">
        <v>0.140396566465917</v>
      </c>
      <c r="EY198" s="28">
        <v>1.9260957933521501</v>
      </c>
      <c r="EZ198" s="28">
        <v>3.775512</v>
      </c>
      <c r="FA198" s="28">
        <v>0.22945432521238601</v>
      </c>
      <c r="FB198" s="28">
        <v>3.7611028360234E-2</v>
      </c>
      <c r="FC198" s="28">
        <v>0.32767460243773699</v>
      </c>
      <c r="FD198" s="28">
        <v>7.8454844396825305E-2</v>
      </c>
      <c r="FE198" s="28">
        <v>0</v>
      </c>
      <c r="FF198" s="28">
        <v>0</v>
      </c>
      <c r="FG198" s="28">
        <v>0.82692207371862203</v>
      </c>
      <c r="FH198" s="28">
        <v>1.9532770762311202E-2</v>
      </c>
      <c r="FI198" s="28">
        <v>699.51074507169005</v>
      </c>
      <c r="FJ198" s="28">
        <v>0</v>
      </c>
      <c r="FK198" s="28">
        <v>0</v>
      </c>
      <c r="FL198" s="28">
        <v>52.2799811648729</v>
      </c>
      <c r="FM198" s="28">
        <v>0</v>
      </c>
      <c r="FN198" s="28">
        <v>142.043575848953</v>
      </c>
      <c r="FO198" s="28">
        <v>0</v>
      </c>
      <c r="FP198" s="28">
        <v>0</v>
      </c>
      <c r="FQ198" s="28">
        <v>248.327227145932</v>
      </c>
      <c r="FR198" s="28">
        <v>1.3141981432730501</v>
      </c>
      <c r="FS198" s="28">
        <v>0.75415929158796202</v>
      </c>
      <c r="FT198" s="28">
        <v>0.34386958223745501</v>
      </c>
      <c r="FU198" s="28">
        <v>2.6523575416595602</v>
      </c>
      <c r="FV198" s="28">
        <v>0.57462587756095196</v>
      </c>
      <c r="FW198" s="28">
        <v>0</v>
      </c>
      <c r="FX198" s="28">
        <v>1.7699189919918501</v>
      </c>
      <c r="FY198" s="28">
        <v>9.5503199999999993E-3</v>
      </c>
      <c r="FZ198" s="28">
        <v>0</v>
      </c>
      <c r="GA198" s="28">
        <v>9.5277235707349507E-3</v>
      </c>
      <c r="GB198" s="28">
        <v>9.0850590327416594</v>
      </c>
      <c r="GC198" s="28">
        <v>6.5235505134674199</v>
      </c>
      <c r="GD198" s="28">
        <v>24.723837974709099</v>
      </c>
      <c r="GE198" s="28">
        <v>82.3101529052948</v>
      </c>
      <c r="GF198" s="28">
        <v>14.0964652261471</v>
      </c>
      <c r="GG198" s="28">
        <v>0</v>
      </c>
      <c r="GH198" s="28">
        <v>0</v>
      </c>
      <c r="GI198" s="28">
        <v>0.73310939452575596</v>
      </c>
      <c r="GJ198" s="28">
        <v>0.369025445850023</v>
      </c>
      <c r="GK198" s="28">
        <v>16.168863083004599</v>
      </c>
      <c r="GL198" s="28">
        <v>7.1567683389566596</v>
      </c>
      <c r="GM198" s="28">
        <v>0</v>
      </c>
      <c r="GN198" s="28">
        <v>0</v>
      </c>
      <c r="GO198" s="28">
        <v>0.75298666191613906</v>
      </c>
      <c r="GP198" s="28">
        <v>0</v>
      </c>
      <c r="GQ198" s="21">
        <v>2338.0224987584411</v>
      </c>
      <c r="GR198" s="21">
        <v>111.47532536321754</v>
      </c>
      <c r="GS198" s="20">
        <v>111.47532536321754</v>
      </c>
      <c r="GT198" s="20">
        <v>0</v>
      </c>
      <c r="GU198" s="20">
        <v>0</v>
      </c>
      <c r="GV198" s="20">
        <v>0</v>
      </c>
      <c r="GW198" s="20">
        <v>0</v>
      </c>
      <c r="GX198" s="21">
        <v>0</v>
      </c>
      <c r="GY198" s="20">
        <v>0</v>
      </c>
      <c r="GZ198" s="20">
        <v>0</v>
      </c>
      <c r="HA198" s="20"/>
      <c r="HB198" s="21">
        <v>334.558796067998</v>
      </c>
      <c r="HC198" s="21">
        <v>2784.0566201896568</v>
      </c>
    </row>
    <row r="199" spans="2:211" s="7" customFormat="1" ht="17.25" customHeight="1">
      <c r="B199" s="26" t="s">
        <v>667</v>
      </c>
      <c r="C199" s="9" t="s">
        <v>668</v>
      </c>
      <c r="D199" s="28">
        <v>0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1.12824195964295</v>
      </c>
      <c r="AU199" s="28">
        <v>0.22157891745090899</v>
      </c>
      <c r="AV199" s="28">
        <v>1.37242355157702</v>
      </c>
      <c r="AW199" s="28">
        <v>1.1695563496913199</v>
      </c>
      <c r="AX199" s="28">
        <v>0.65201989698776297</v>
      </c>
      <c r="AY199" s="28">
        <v>0</v>
      </c>
      <c r="AZ199" s="28">
        <v>2.9755565122083799E-2</v>
      </c>
      <c r="BA199" s="28">
        <v>1.9647968750421902E-3</v>
      </c>
      <c r="BB199" s="28">
        <v>2.9338491266135201E-3</v>
      </c>
      <c r="BC199" s="28">
        <v>9.4854176112161404E-2</v>
      </c>
      <c r="BD199" s="28">
        <v>0</v>
      </c>
      <c r="BE199" s="28">
        <v>0</v>
      </c>
      <c r="BF199" s="28">
        <v>0</v>
      </c>
      <c r="BG199" s="28">
        <v>0</v>
      </c>
      <c r="BH199" s="28">
        <v>3.7344560611061599</v>
      </c>
      <c r="BI199" s="28">
        <v>0</v>
      </c>
      <c r="BJ199" s="28">
        <v>0.25678727752178399</v>
      </c>
      <c r="BK199" s="28">
        <v>0</v>
      </c>
      <c r="BL199" s="28">
        <v>0.34959776012555899</v>
      </c>
      <c r="BM199" s="28">
        <v>7.46895725128493E-2</v>
      </c>
      <c r="BN199" s="28">
        <v>6.1243653241308503E-2</v>
      </c>
      <c r="BO199" s="28">
        <v>0.26053768032285102</v>
      </c>
      <c r="BP199" s="28">
        <v>1.44370016530654E-3</v>
      </c>
      <c r="BQ199" s="28">
        <v>0.44807349687426201</v>
      </c>
      <c r="BR199" s="28">
        <v>8.1554641428332603E-2</v>
      </c>
      <c r="BS199" s="28">
        <v>0</v>
      </c>
      <c r="BT199" s="28">
        <v>0</v>
      </c>
      <c r="BU199" s="28">
        <v>0.134119502542112</v>
      </c>
      <c r="BV199" s="28">
        <v>0.78641807181691104</v>
      </c>
      <c r="BW199" s="28">
        <v>0</v>
      </c>
      <c r="BX199" s="28">
        <v>0.27532948168407401</v>
      </c>
      <c r="BY199" s="28">
        <v>0.24869488497147499</v>
      </c>
      <c r="BZ199" s="28">
        <v>5.2620188736913202E-2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1.1267006107247E-3</v>
      </c>
      <c r="CT199" s="28">
        <v>2.2965452065390002</v>
      </c>
      <c r="CU199" s="28">
        <v>0</v>
      </c>
      <c r="CV199" s="28">
        <v>1.7442830400873799E-2</v>
      </c>
      <c r="CW199" s="28">
        <v>0.10980173665470901</v>
      </c>
      <c r="CX199" s="28">
        <v>1.3451567686034199E-2</v>
      </c>
      <c r="CY199" s="28">
        <v>9.4140945672876994E-2</v>
      </c>
      <c r="CZ199" s="28">
        <v>1.5751820633787301E-3</v>
      </c>
      <c r="DA199" s="28">
        <v>0.28811187226475299</v>
      </c>
      <c r="DB199" s="28">
        <v>0.48633864097774299</v>
      </c>
      <c r="DC199" s="28">
        <v>0.20763857020167001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0.97594167695341405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0.85382674574649597</v>
      </c>
      <c r="EE199" s="28">
        <v>2.46033546073838E-2</v>
      </c>
      <c r="EF199" s="28">
        <v>0.15412355368900299</v>
      </c>
      <c r="EG199" s="28">
        <v>5.5230042446970003E-2</v>
      </c>
      <c r="EH199" s="28">
        <v>1.9070621261249501E-2</v>
      </c>
      <c r="EI199" s="28">
        <v>8.9878055627003704E-3</v>
      </c>
      <c r="EJ199" s="28">
        <v>0.16585615760178599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  <c r="EU199" s="28">
        <v>0</v>
      </c>
      <c r="EV199" s="28">
        <v>0</v>
      </c>
      <c r="EW199" s="28">
        <v>0</v>
      </c>
      <c r="EX199" s="28">
        <v>9.5010477402921404E-3</v>
      </c>
      <c r="EY199" s="28">
        <v>9.1121999999999995E-2</v>
      </c>
      <c r="EZ199" s="28">
        <v>1.0893459999999999</v>
      </c>
      <c r="FA199" s="28">
        <v>4.4180111018753002E-3</v>
      </c>
      <c r="FB199" s="28">
        <v>2.24872614338838E-4</v>
      </c>
      <c r="FC199" s="28">
        <v>2.7311539892149801E-2</v>
      </c>
      <c r="FD199" s="28">
        <v>0</v>
      </c>
      <c r="FE199" s="28">
        <v>0</v>
      </c>
      <c r="FF199" s="28">
        <v>1.5802749499172699</v>
      </c>
      <c r="FG199" s="28">
        <v>3.6181750595887199E-2</v>
      </c>
      <c r="FH199" s="28">
        <v>0</v>
      </c>
      <c r="FI199" s="28">
        <v>60.444384205287001</v>
      </c>
      <c r="FJ199" s="28">
        <v>0.225002221901169</v>
      </c>
      <c r="FK199" s="28">
        <v>0</v>
      </c>
      <c r="FL199" s="28">
        <v>4.8471333018836403E-2</v>
      </c>
      <c r="FM199" s="28">
        <v>0</v>
      </c>
      <c r="FN199" s="28">
        <v>0.27776811927762102</v>
      </c>
      <c r="FO199" s="28">
        <v>3.1332735331403301E-2</v>
      </c>
      <c r="FP199" s="28">
        <v>0</v>
      </c>
      <c r="FQ199" s="28">
        <v>0.83298992474000699</v>
      </c>
      <c r="FR199" s="28">
        <v>0.65281463811751494</v>
      </c>
      <c r="FS199" s="28">
        <v>0.73085461474667401</v>
      </c>
      <c r="FT199" s="28">
        <v>0</v>
      </c>
      <c r="FU199" s="28">
        <v>7.6639715067939598</v>
      </c>
      <c r="FV199" s="28">
        <v>0.839577604718589</v>
      </c>
      <c r="FW199" s="28">
        <v>0.62262811799999995</v>
      </c>
      <c r="FX199" s="28">
        <v>27.655881575181098</v>
      </c>
      <c r="FY199" s="28">
        <v>3.0495574699999999</v>
      </c>
      <c r="FZ199" s="28">
        <v>0.76070147785421605</v>
      </c>
      <c r="GA199" s="28">
        <v>3.0561803534263801E-4</v>
      </c>
      <c r="GB199" s="28">
        <v>0.53588702040249303</v>
      </c>
      <c r="GC199" s="28">
        <v>0.38479508327996298</v>
      </c>
      <c r="GD199" s="28">
        <v>0.68249701983643196</v>
      </c>
      <c r="GE199" s="28">
        <v>1.8584114710740101</v>
      </c>
      <c r="GF199" s="28">
        <v>31.523563070932202</v>
      </c>
      <c r="GG199" s="28">
        <v>18.100246550000001</v>
      </c>
      <c r="GH199" s="28">
        <v>1.2688052832396699</v>
      </c>
      <c r="GI199" s="28">
        <v>3.5933658180753301</v>
      </c>
      <c r="GJ199" s="28">
        <v>5.3046280771060603</v>
      </c>
      <c r="GK199" s="28">
        <v>1.91619133257045</v>
      </c>
      <c r="GL199" s="28">
        <v>0</v>
      </c>
      <c r="GM199" s="28">
        <v>0</v>
      </c>
      <c r="GN199" s="28">
        <v>0.35804734528151499</v>
      </c>
      <c r="GO199" s="28">
        <v>0</v>
      </c>
      <c r="GP199" s="28">
        <v>0</v>
      </c>
      <c r="GQ199" s="21">
        <v>189.41376765323989</v>
      </c>
      <c r="GR199" s="21">
        <v>47.928742322083316</v>
      </c>
      <c r="GS199" s="20">
        <v>47.928742322083316</v>
      </c>
      <c r="GT199" s="20">
        <v>0</v>
      </c>
      <c r="GU199" s="20">
        <v>0</v>
      </c>
      <c r="GV199" s="20">
        <v>0</v>
      </c>
      <c r="GW199" s="20">
        <v>0</v>
      </c>
      <c r="GX199" s="21">
        <v>0</v>
      </c>
      <c r="GY199" s="20">
        <v>0</v>
      </c>
      <c r="GZ199" s="20">
        <v>0</v>
      </c>
      <c r="HA199" s="20"/>
      <c r="HB199" s="21">
        <v>73.633472501198497</v>
      </c>
      <c r="HC199" s="21">
        <v>310.97598247652172</v>
      </c>
    </row>
    <row r="200" spans="2:211" s="7" customFormat="1" ht="17.25" customHeight="1">
      <c r="B200" s="26" t="s">
        <v>177</v>
      </c>
      <c r="C200" s="10" t="s">
        <v>669</v>
      </c>
      <c r="D200" s="28">
        <v>0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2.99892969538893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128.51898519928801</v>
      </c>
      <c r="AU200" s="28">
        <v>0.38164949557007699</v>
      </c>
      <c r="AV200" s="28">
        <v>12.874643277433901</v>
      </c>
      <c r="AW200" s="28">
        <v>5.6406686046979999</v>
      </c>
      <c r="AX200" s="28">
        <v>4.55739243128094</v>
      </c>
      <c r="AY200" s="28">
        <v>0</v>
      </c>
      <c r="AZ200" s="28">
        <v>1.0959012923379801</v>
      </c>
      <c r="BA200" s="28">
        <v>2.22554205240371E-2</v>
      </c>
      <c r="BB200" s="28">
        <v>2.7808481603396201E-2</v>
      </c>
      <c r="BC200" s="28">
        <v>0.72673914519841798</v>
      </c>
      <c r="BD200" s="28">
        <v>1.13018828611939E-2</v>
      </c>
      <c r="BE200" s="28">
        <v>0</v>
      </c>
      <c r="BF200" s="28">
        <v>0</v>
      </c>
      <c r="BG200" s="28">
        <v>0</v>
      </c>
      <c r="BH200" s="28">
        <v>0.205429215792611</v>
      </c>
      <c r="BI200" s="28">
        <v>3.6364023668946498E-2</v>
      </c>
      <c r="BJ200" s="28">
        <v>0.12511764660973701</v>
      </c>
      <c r="BK200" s="28">
        <v>0</v>
      </c>
      <c r="BL200" s="28">
        <v>0.20738850176939899</v>
      </c>
      <c r="BM200" s="28">
        <v>2.2295394779955E-2</v>
      </c>
      <c r="BN200" s="28">
        <v>0.16102599559544001</v>
      </c>
      <c r="BO200" s="28">
        <v>0.109066084659969</v>
      </c>
      <c r="BP200" s="28">
        <v>1.10116983451388E-3</v>
      </c>
      <c r="BQ200" s="28">
        <v>0.13292908051456201</v>
      </c>
      <c r="BR200" s="28">
        <v>7.3817587951617206E-2</v>
      </c>
      <c r="BS200" s="28">
        <v>0</v>
      </c>
      <c r="BT200" s="28">
        <v>0</v>
      </c>
      <c r="BU200" s="28">
        <v>8.0199085562152106E-2</v>
      </c>
      <c r="BV200" s="28">
        <v>2.2444927455054899</v>
      </c>
      <c r="BW200" s="28">
        <v>0</v>
      </c>
      <c r="BX200" s="28">
        <v>0.18263894896726801</v>
      </c>
      <c r="BY200" s="28">
        <v>0</v>
      </c>
      <c r="BZ200" s="28">
        <v>1.57115957520154E-2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0.92430797959077804</v>
      </c>
      <c r="CH200" s="28">
        <v>1.9928746304936198E-2</v>
      </c>
      <c r="CI200" s="28">
        <v>0.57495778799056996</v>
      </c>
      <c r="CJ200" s="28">
        <v>0.34490832896988299</v>
      </c>
      <c r="CK200" s="28">
        <v>0</v>
      </c>
      <c r="CL200" s="28">
        <v>0.23937460492342999</v>
      </c>
      <c r="CM200" s="28">
        <v>2.17708576087225</v>
      </c>
      <c r="CN200" s="28">
        <v>4.6936258673667901E-2</v>
      </c>
      <c r="CO200" s="28">
        <v>0</v>
      </c>
      <c r="CP200" s="28">
        <v>0.35756854611308198</v>
      </c>
      <c r="CQ200" s="28">
        <v>1.97003674507141</v>
      </c>
      <c r="CR200" s="28">
        <v>1.17941863557364E-2</v>
      </c>
      <c r="CS200" s="28">
        <v>1.0537335753724E-2</v>
      </c>
      <c r="CT200" s="28">
        <v>4.8047571873003498</v>
      </c>
      <c r="CU200" s="28">
        <v>4.4885619027736001E-3</v>
      </c>
      <c r="CV200" s="28">
        <v>0.234578164130721</v>
      </c>
      <c r="CW200" s="28">
        <v>0.46977950725666001</v>
      </c>
      <c r="CX200" s="28">
        <v>6.3071225294722196E-3</v>
      </c>
      <c r="CY200" s="28">
        <v>3.3679919213552401</v>
      </c>
      <c r="CZ200" s="28">
        <v>0.89076748712603604</v>
      </c>
      <c r="DA200" s="28">
        <v>0.71179635094094895</v>
      </c>
      <c r="DB200" s="28">
        <v>2.8278953068423598</v>
      </c>
      <c r="DC200" s="28">
        <v>1.10564742780905</v>
      </c>
      <c r="DD200" s="28">
        <v>1.94725998084935</v>
      </c>
      <c r="DE200" s="28">
        <v>0</v>
      </c>
      <c r="DF200" s="28">
        <v>0.189099492795888</v>
      </c>
      <c r="DG200" s="28">
        <v>4.5466129634226604</v>
      </c>
      <c r="DH200" s="28">
        <v>2.0181580199606102</v>
      </c>
      <c r="DI200" s="28">
        <v>0.62831646279297204</v>
      </c>
      <c r="DJ200" s="28">
        <v>0.56593878426504396</v>
      </c>
      <c r="DK200" s="28">
        <v>0</v>
      </c>
      <c r="DL200" s="28">
        <v>0.98801000656822802</v>
      </c>
      <c r="DM200" s="28">
        <v>0.67900095033871299</v>
      </c>
      <c r="DN200" s="28">
        <v>1.1235506829949</v>
      </c>
      <c r="DO200" s="28">
        <v>0.244285017398366</v>
      </c>
      <c r="DP200" s="28">
        <v>0</v>
      </c>
      <c r="DQ200" s="28">
        <v>1.1751589510833</v>
      </c>
      <c r="DR200" s="28">
        <v>13.757329020391399</v>
      </c>
      <c r="DS200" s="28">
        <v>3.34952492160334</v>
      </c>
      <c r="DT200" s="28">
        <v>0.21920128699626101</v>
      </c>
      <c r="DU200" s="28">
        <v>7.93281489207767</v>
      </c>
      <c r="DV200" s="28">
        <v>2.0246451778445699E-2</v>
      </c>
      <c r="DW200" s="28">
        <v>0</v>
      </c>
      <c r="DX200" s="28">
        <v>0.49346208491793903</v>
      </c>
      <c r="DY200" s="28">
        <v>0.14186781749736299</v>
      </c>
      <c r="DZ200" s="28">
        <v>7.1702683084605399</v>
      </c>
      <c r="EA200" s="28">
        <v>0.31665259749573499</v>
      </c>
      <c r="EB200" s="28">
        <v>2.2543491716039799E-2</v>
      </c>
      <c r="EC200" s="28">
        <v>0.153076587929</v>
      </c>
      <c r="ED200" s="28">
        <v>1.83037886521135</v>
      </c>
      <c r="EE200" s="28">
        <v>0.186765459070936</v>
      </c>
      <c r="EF200" s="28">
        <v>1.8775138032668099</v>
      </c>
      <c r="EG200" s="28">
        <v>0.175493718216964</v>
      </c>
      <c r="EH200" s="28">
        <v>6.0596988261553998E-2</v>
      </c>
      <c r="EI200" s="28">
        <v>2.8443830093468101E-2</v>
      </c>
      <c r="EJ200" s="28">
        <v>1.46706827011133</v>
      </c>
      <c r="EK200" s="28">
        <v>7.9526443282655606E-3</v>
      </c>
      <c r="EL200" s="28">
        <v>0.11933420545792001</v>
      </c>
      <c r="EM200" s="28">
        <v>0</v>
      </c>
      <c r="EN200" s="28">
        <v>0</v>
      </c>
      <c r="EO200" s="28">
        <v>0</v>
      </c>
      <c r="EP200" s="28">
        <v>0</v>
      </c>
      <c r="EQ200" s="28">
        <v>0.376315109445579</v>
      </c>
      <c r="ER200" s="28">
        <v>0.249821801213128</v>
      </c>
      <c r="ES200" s="28">
        <v>2.6582381591524298</v>
      </c>
      <c r="ET200" s="28">
        <v>0</v>
      </c>
      <c r="EU200" s="28">
        <v>4.3474663473598997E-2</v>
      </c>
      <c r="EV200" s="28">
        <v>0.157121860051367</v>
      </c>
      <c r="EW200" s="28">
        <v>0</v>
      </c>
      <c r="EX200" s="28">
        <v>0.95714522088281795</v>
      </c>
      <c r="EY200" s="28">
        <v>9.0951099168386804</v>
      </c>
      <c r="EZ200" s="28">
        <v>6.2303367306074504</v>
      </c>
      <c r="FA200" s="28">
        <v>5.9161256594299596</v>
      </c>
      <c r="FB200" s="28">
        <v>0.94596660293371704</v>
      </c>
      <c r="FC200" s="28">
        <v>0.279405735551848</v>
      </c>
      <c r="FD200" s="28">
        <v>0.22713838114666099</v>
      </c>
      <c r="FE200" s="28">
        <v>0</v>
      </c>
      <c r="FF200" s="28">
        <v>6.27041665836476</v>
      </c>
      <c r="FG200" s="28">
        <v>3.0554189008776498</v>
      </c>
      <c r="FH200" s="28">
        <v>0.122816810043628</v>
      </c>
      <c r="FI200" s="28">
        <v>83.043360373190296</v>
      </c>
      <c r="FJ200" s="28">
        <v>0</v>
      </c>
      <c r="FK200" s="28">
        <v>2.4348000000000001</v>
      </c>
      <c r="FL200" s="28">
        <v>53.353285372959597</v>
      </c>
      <c r="FM200" s="28">
        <v>2.1607999999999999E-2</v>
      </c>
      <c r="FN200" s="28">
        <v>48.160346212322096</v>
      </c>
      <c r="FO200" s="28">
        <v>0.45651363002666601</v>
      </c>
      <c r="FP200" s="28">
        <v>6.5392027638141503E-2</v>
      </c>
      <c r="FQ200" s="28">
        <v>11.8547167164984</v>
      </c>
      <c r="FR200" s="28">
        <v>1.9639926731620501</v>
      </c>
      <c r="FS200" s="28">
        <v>0.332367086362792</v>
      </c>
      <c r="FT200" s="28">
        <v>14.359341617057</v>
      </c>
      <c r="FU200" s="28">
        <v>20.288033553177002</v>
      </c>
      <c r="FV200" s="28">
        <v>9.1553456941945299</v>
      </c>
      <c r="FW200" s="28">
        <v>0.63101778750000004</v>
      </c>
      <c r="FX200" s="28">
        <v>26.284302701892098</v>
      </c>
      <c r="FY200" s="28">
        <v>6.3779159700000001</v>
      </c>
      <c r="FZ200" s="28">
        <v>0.93249511886027503</v>
      </c>
      <c r="GA200" s="28">
        <v>1.45879059839832E-3</v>
      </c>
      <c r="GB200" s="28">
        <v>3.2543729251520399</v>
      </c>
      <c r="GC200" s="28">
        <v>2.3368110312083799</v>
      </c>
      <c r="GD200" s="28">
        <v>17.535797341238101</v>
      </c>
      <c r="GE200" s="28">
        <v>12.796054768125201</v>
      </c>
      <c r="GF200" s="28">
        <v>64.277140611504706</v>
      </c>
      <c r="GG200" s="28">
        <v>156.68409991644299</v>
      </c>
      <c r="GH200" s="28">
        <v>29.746722282922899</v>
      </c>
      <c r="GI200" s="28">
        <v>46.101390943246003</v>
      </c>
      <c r="GJ200" s="28">
        <v>0</v>
      </c>
      <c r="GK200" s="28">
        <v>45.186977801600001</v>
      </c>
      <c r="GL200" s="28">
        <v>40.772184784161603</v>
      </c>
      <c r="GM200" s="28">
        <v>4.4342351777487403</v>
      </c>
      <c r="GN200" s="28">
        <v>0</v>
      </c>
      <c r="GO200" s="28">
        <v>0</v>
      </c>
      <c r="GP200" s="28">
        <v>0</v>
      </c>
      <c r="GQ200" s="21">
        <v>974.41815699711719</v>
      </c>
      <c r="GR200" s="21">
        <v>1388.3523747868126</v>
      </c>
      <c r="GS200" s="20">
        <v>1388.3523747868126</v>
      </c>
      <c r="GT200" s="20">
        <v>0</v>
      </c>
      <c r="GU200" s="20">
        <v>0</v>
      </c>
      <c r="GV200" s="20">
        <v>0</v>
      </c>
      <c r="GW200" s="20">
        <v>0</v>
      </c>
      <c r="GX200" s="21">
        <v>0</v>
      </c>
      <c r="GY200" s="20">
        <v>0</v>
      </c>
      <c r="GZ200" s="20">
        <v>0</v>
      </c>
      <c r="HA200" s="20"/>
      <c r="HB200" s="21">
        <v>854.63722962576003</v>
      </c>
      <c r="HC200" s="21">
        <v>3217.40776140969</v>
      </c>
    </row>
    <row r="201" spans="2:211" s="7" customFormat="1" ht="17.25" customHeight="1">
      <c r="B201" s="26" t="s">
        <v>178</v>
      </c>
      <c r="C201" s="10" t="s">
        <v>670</v>
      </c>
      <c r="D201" s="28">
        <v>0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2.99892969538893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2.0465814292319799</v>
      </c>
      <c r="AO201" s="28">
        <v>0</v>
      </c>
      <c r="AP201" s="28">
        <v>10.261858792932101</v>
      </c>
      <c r="AQ201" s="28">
        <v>2.6571232013942301</v>
      </c>
      <c r="AR201" s="28">
        <v>10.945301402818099</v>
      </c>
      <c r="AS201" s="28">
        <v>6.7856641159414902E-3</v>
      </c>
      <c r="AT201" s="28">
        <v>58.114931118978497</v>
      </c>
      <c r="AU201" s="28">
        <v>0.61498476313412698</v>
      </c>
      <c r="AV201" s="28">
        <v>24.599076442066099</v>
      </c>
      <c r="AW201" s="28">
        <v>3.1686835903733002</v>
      </c>
      <c r="AX201" s="28">
        <v>9.0922243442402895</v>
      </c>
      <c r="AY201" s="28">
        <v>1.9485932550922399E-2</v>
      </c>
      <c r="AZ201" s="28">
        <v>2.1863775304246</v>
      </c>
      <c r="BA201" s="28">
        <v>4.4400669753840001E-2</v>
      </c>
      <c r="BB201" s="28">
        <v>5.54793025229324E-2</v>
      </c>
      <c r="BC201" s="28">
        <v>1.4498807042667201</v>
      </c>
      <c r="BD201" s="28">
        <v>2.2547817866414702E-2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0.73558440190848595</v>
      </c>
      <c r="CM201" s="28">
        <v>0.10735092120030799</v>
      </c>
      <c r="CN201" s="28">
        <v>0</v>
      </c>
      <c r="CO201" s="28">
        <v>0</v>
      </c>
      <c r="CP201" s="28">
        <v>0.76287455958454797</v>
      </c>
      <c r="CQ201" s="28">
        <v>0</v>
      </c>
      <c r="CR201" s="28">
        <v>1.1794186355736399E-3</v>
      </c>
      <c r="CS201" s="28">
        <v>4.8513480920415099E-3</v>
      </c>
      <c r="CT201" s="28">
        <v>2.2120913823111601</v>
      </c>
      <c r="CU201" s="28">
        <v>1.89401259966758E-2</v>
      </c>
      <c r="CV201" s="28">
        <v>0.107998867606357</v>
      </c>
      <c r="CW201" s="28">
        <v>0.216284644380279</v>
      </c>
      <c r="CX201" s="28">
        <v>2.9037744990533698E-3</v>
      </c>
      <c r="CY201" s="28">
        <v>0</v>
      </c>
      <c r="CZ201" s="28">
        <v>0.41010586073374999</v>
      </c>
      <c r="DA201" s="28">
        <v>0</v>
      </c>
      <c r="DB201" s="28">
        <v>0</v>
      </c>
      <c r="DC201" s="28">
        <v>0</v>
      </c>
      <c r="DD201" s="28">
        <v>0.77890399233973995</v>
      </c>
      <c r="DE201" s="28">
        <v>0</v>
      </c>
      <c r="DF201" s="28">
        <v>0</v>
      </c>
      <c r="DG201" s="28">
        <v>0.64591521843855804</v>
      </c>
      <c r="DH201" s="28">
        <v>8.9999999999999993E-3</v>
      </c>
      <c r="DI201" s="28">
        <v>0</v>
      </c>
      <c r="DJ201" s="28">
        <v>0.70926694465795403</v>
      </c>
      <c r="DK201" s="28">
        <v>0</v>
      </c>
      <c r="DL201" s="28">
        <v>0</v>
      </c>
      <c r="DM201" s="28">
        <v>6.7778468483839394E-2</v>
      </c>
      <c r="DN201" s="28">
        <v>0</v>
      </c>
      <c r="DO201" s="28">
        <v>0.18306545760333001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0.41726773350000002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5.1056300018371799</v>
      </c>
      <c r="EE201" s="28">
        <v>4.7690049825477496</v>
      </c>
      <c r="EF201" s="28">
        <v>3.05473734188929</v>
      </c>
      <c r="EG201" s="28">
        <v>0.28278817077427598</v>
      </c>
      <c r="EH201" s="28">
        <v>9.7645155843866696E-2</v>
      </c>
      <c r="EI201" s="28">
        <v>4.58339977274956E-2</v>
      </c>
      <c r="EJ201" s="28">
        <v>3.3720585122617601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  <c r="EU201" s="28">
        <v>0</v>
      </c>
      <c r="EV201" s="28">
        <v>0</v>
      </c>
      <c r="EW201" s="28">
        <v>0</v>
      </c>
      <c r="EX201" s="28">
        <v>1.9326121207520901</v>
      </c>
      <c r="EY201" s="28">
        <v>4.3462255509615598E-2</v>
      </c>
      <c r="EZ201" s="28">
        <v>1.4574568543067899E-2</v>
      </c>
      <c r="FA201" s="28">
        <v>0.13478517696968201</v>
      </c>
      <c r="FB201" s="28">
        <v>2.27284735907308E-2</v>
      </c>
      <c r="FC201" s="28">
        <v>6.7465285326020599</v>
      </c>
      <c r="FD201" s="28">
        <v>11.9912874834882</v>
      </c>
      <c r="FE201" s="28">
        <v>0</v>
      </c>
      <c r="FF201" s="28">
        <v>21.360503510905701</v>
      </c>
      <c r="FG201" s="28">
        <v>58.890267036654002</v>
      </c>
      <c r="FH201" s="28">
        <v>5.5931386919451898</v>
      </c>
      <c r="FI201" s="28">
        <v>123.249110615934</v>
      </c>
      <c r="FJ201" s="28">
        <v>3.5566091867314</v>
      </c>
      <c r="FK201" s="28">
        <v>1.6232</v>
      </c>
      <c r="FL201" s="28">
        <v>80.029928059439499</v>
      </c>
      <c r="FM201" s="28">
        <v>0.12459595</v>
      </c>
      <c r="FN201" s="28">
        <v>53.869731101042603</v>
      </c>
      <c r="FO201" s="28">
        <v>0</v>
      </c>
      <c r="FP201" s="28">
        <v>3.75453121434888</v>
      </c>
      <c r="FQ201" s="28">
        <v>0.66871566820051398</v>
      </c>
      <c r="FR201" s="28">
        <v>0</v>
      </c>
      <c r="FS201" s="28">
        <v>5.0133597102238803E-2</v>
      </c>
      <c r="FT201" s="28">
        <v>0</v>
      </c>
      <c r="FU201" s="28">
        <v>13.248124181729899</v>
      </c>
      <c r="FV201" s="28">
        <v>24.5172045981396</v>
      </c>
      <c r="FW201" s="28">
        <v>4.5730604000000001</v>
      </c>
      <c r="FX201" s="28">
        <v>3.7710329764286001</v>
      </c>
      <c r="FY201" s="28">
        <v>10.06467915</v>
      </c>
      <c r="FZ201" s="28">
        <v>1.15730851</v>
      </c>
      <c r="GA201" s="28">
        <v>6.2519597074213896E-4</v>
      </c>
      <c r="GB201" s="28">
        <v>0</v>
      </c>
      <c r="GC201" s="28">
        <v>0</v>
      </c>
      <c r="GD201" s="28">
        <v>0</v>
      </c>
      <c r="GE201" s="28">
        <v>11.374102236165999</v>
      </c>
      <c r="GF201" s="28">
        <v>1.34936971658502</v>
      </c>
      <c r="GG201" s="28">
        <v>148.75645216682</v>
      </c>
      <c r="GH201" s="28">
        <v>20.396231065087498</v>
      </c>
      <c r="GI201" s="28">
        <v>31.818241095395798</v>
      </c>
      <c r="GJ201" s="28">
        <v>48.398997869727097</v>
      </c>
      <c r="GK201" s="28">
        <v>18.775819884499999</v>
      </c>
      <c r="GL201" s="28">
        <v>8.9520538852981595</v>
      </c>
      <c r="GM201" s="28">
        <v>0</v>
      </c>
      <c r="GN201" s="28">
        <v>1.1213304167276601</v>
      </c>
      <c r="GO201" s="28">
        <v>0</v>
      </c>
      <c r="GP201" s="28">
        <v>0</v>
      </c>
      <c r="GQ201" s="21">
        <v>874.33479027724786</v>
      </c>
      <c r="GR201" s="21">
        <v>29852.971723873343</v>
      </c>
      <c r="GS201" s="20">
        <v>29852.971723873343</v>
      </c>
      <c r="GT201" s="20">
        <v>0</v>
      </c>
      <c r="GU201" s="20">
        <v>0</v>
      </c>
      <c r="GV201" s="20">
        <v>0</v>
      </c>
      <c r="GW201" s="20">
        <v>0</v>
      </c>
      <c r="GX201" s="21">
        <v>0</v>
      </c>
      <c r="GY201" s="20">
        <v>0</v>
      </c>
      <c r="GZ201" s="20">
        <v>0</v>
      </c>
      <c r="HA201" s="20"/>
      <c r="HB201" s="21">
        <v>1406.1875442160999</v>
      </c>
      <c r="HC201" s="21">
        <v>32133.49405836669</v>
      </c>
    </row>
    <row r="202" spans="2:211" s="7" customFormat="1" ht="17.25" customHeight="1">
      <c r="B202" s="26" t="s">
        <v>179</v>
      </c>
      <c r="C202" s="10" t="s">
        <v>671</v>
      </c>
      <c r="D202" s="28">
        <v>0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2.46013105495381E-2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7.1974312689334301</v>
      </c>
      <c r="AD202" s="28">
        <v>0</v>
      </c>
      <c r="AE202" s="28">
        <v>0.67974109932578297</v>
      </c>
      <c r="AF202" s="28">
        <v>10.740480248085399</v>
      </c>
      <c r="AG202" s="28">
        <v>0</v>
      </c>
      <c r="AH202" s="28">
        <v>0</v>
      </c>
      <c r="AI202" s="28">
        <v>0</v>
      </c>
      <c r="AJ202" s="28">
        <v>0.37684288992176102</v>
      </c>
      <c r="AK202" s="28">
        <v>0</v>
      </c>
      <c r="AL202" s="28">
        <v>0</v>
      </c>
      <c r="AM202" s="28">
        <v>1.0363835793153999</v>
      </c>
      <c r="AN202" s="28">
        <v>0.231075336166605</v>
      </c>
      <c r="AO202" s="28">
        <v>3.80848133443248E-2</v>
      </c>
      <c r="AP202" s="28">
        <v>5.6558241131860099</v>
      </c>
      <c r="AQ202" s="28">
        <v>9.1007628954878697E-2</v>
      </c>
      <c r="AR202" s="28">
        <v>0.46361440766179901</v>
      </c>
      <c r="AS202" s="28">
        <v>4.8692123623255701E-3</v>
      </c>
      <c r="AT202" s="28">
        <v>35.2438590820488</v>
      </c>
      <c r="AU202" s="28">
        <v>25.911495491042601</v>
      </c>
      <c r="AV202" s="28">
        <v>25.069618530848398</v>
      </c>
      <c r="AW202" s="28">
        <v>73.3050281741464</v>
      </c>
      <c r="AX202" s="28">
        <v>47.274105136142097</v>
      </c>
      <c r="AY202" s="28">
        <v>6.6535065257835396E-2</v>
      </c>
      <c r="AZ202" s="28">
        <v>0.60201751798073599</v>
      </c>
      <c r="BA202" s="28">
        <v>0.40010335882111198</v>
      </c>
      <c r="BB202" s="28">
        <v>0.593859600887784</v>
      </c>
      <c r="BC202" s="28">
        <v>52.015021203468997</v>
      </c>
      <c r="BD202" s="28">
        <v>0.986098729952671</v>
      </c>
      <c r="BE202" s="28">
        <v>0</v>
      </c>
      <c r="BF202" s="28">
        <v>0</v>
      </c>
      <c r="BG202" s="28">
        <v>5.3228796516031497E-2</v>
      </c>
      <c r="BH202" s="28">
        <v>4.4960642425947004</v>
      </c>
      <c r="BI202" s="28">
        <v>0.69698887367742102</v>
      </c>
      <c r="BJ202" s="28">
        <v>0.27528076033968601</v>
      </c>
      <c r="BK202" s="28">
        <v>0</v>
      </c>
      <c r="BL202" s="28">
        <v>0.98178087039110595</v>
      </c>
      <c r="BM202" s="28">
        <v>0.34304817229397</v>
      </c>
      <c r="BN202" s="28">
        <v>0.54910387299799701</v>
      </c>
      <c r="BO202" s="28">
        <v>2.8063704086963601</v>
      </c>
      <c r="BP202" s="28">
        <v>3.6506838819230902E-3</v>
      </c>
      <c r="BQ202" s="28">
        <v>2.3582341185784701</v>
      </c>
      <c r="BR202" s="28">
        <v>0.994190885543626</v>
      </c>
      <c r="BS202" s="28">
        <v>0</v>
      </c>
      <c r="BT202" s="28">
        <v>0</v>
      </c>
      <c r="BU202" s="28">
        <v>0.66606190054162895</v>
      </c>
      <c r="BV202" s="28">
        <v>5.1688726079203402</v>
      </c>
      <c r="BW202" s="28">
        <v>0</v>
      </c>
      <c r="BX202" s="28">
        <v>7.6492086860525194E-2</v>
      </c>
      <c r="BY202" s="28">
        <v>0.44814588465587801</v>
      </c>
      <c r="BZ202" s="28">
        <v>7.6769678323028404E-2</v>
      </c>
      <c r="CA202" s="28">
        <v>0.83897000802697597</v>
      </c>
      <c r="CB202" s="28">
        <v>0.72007002057084901</v>
      </c>
      <c r="CC202" s="28">
        <v>3.9470908826590899E-2</v>
      </c>
      <c r="CD202" s="28">
        <v>0.51857401423861005</v>
      </c>
      <c r="CE202" s="28">
        <v>0.176328274172661</v>
      </c>
      <c r="CF202" s="28">
        <v>0</v>
      </c>
      <c r="CG202" s="28">
        <v>1.4348431470817999</v>
      </c>
      <c r="CH202" s="28">
        <v>0.16046489619041801</v>
      </c>
      <c r="CI202" s="28">
        <v>0.61551100015640303</v>
      </c>
      <c r="CJ202" s="28">
        <v>0.43391978709524098</v>
      </c>
      <c r="CK202" s="28">
        <v>1.0011577606201201</v>
      </c>
      <c r="CL202" s="28">
        <v>0.17890789277968699</v>
      </c>
      <c r="CM202" s="28">
        <v>4.6686189050486702</v>
      </c>
      <c r="CN202" s="28">
        <v>1.5563489869236899E-2</v>
      </c>
      <c r="CO202" s="28">
        <v>0.54699319601059004</v>
      </c>
      <c r="CP202" s="28">
        <v>3.3693554906638599</v>
      </c>
      <c r="CQ202" s="28">
        <v>0.333986431359728</v>
      </c>
      <c r="CR202" s="28">
        <v>2.12480761890032</v>
      </c>
      <c r="CS202" s="28">
        <v>2.1835883632998998</v>
      </c>
      <c r="CT202" s="28">
        <v>20.676347180857601</v>
      </c>
      <c r="CU202" s="28">
        <v>1.2859558181511299</v>
      </c>
      <c r="CV202" s="28">
        <v>0.92054689548933599</v>
      </c>
      <c r="CW202" s="28">
        <v>2.8992368808211402</v>
      </c>
      <c r="CX202" s="28">
        <v>0.54765489786371802</v>
      </c>
      <c r="CY202" s="28">
        <v>3.4589397264430501</v>
      </c>
      <c r="CZ202" s="28">
        <v>0.14354942916300301</v>
      </c>
      <c r="DA202" s="28">
        <v>1.5988880712606199</v>
      </c>
      <c r="DB202" s="28">
        <v>3.37079762249035</v>
      </c>
      <c r="DC202" s="28">
        <v>1.8463430419243301</v>
      </c>
      <c r="DD202" s="28">
        <v>0.38945199616986997</v>
      </c>
      <c r="DE202" s="28">
        <v>0</v>
      </c>
      <c r="DF202" s="28">
        <v>1.03419996724914</v>
      </c>
      <c r="DG202" s="28">
        <v>5.4482768834251996</v>
      </c>
      <c r="DH202" s="28">
        <v>12.8286313083333</v>
      </c>
      <c r="DI202" s="28">
        <v>0.61228201350075795</v>
      </c>
      <c r="DJ202" s="28">
        <v>3.33</v>
      </c>
      <c r="DK202" s="28">
        <v>0.107028558320286</v>
      </c>
      <c r="DL202" s="28">
        <v>2.1682671958324402</v>
      </c>
      <c r="DM202" s="28">
        <v>0.253876471704505</v>
      </c>
      <c r="DN202" s="28">
        <v>2.0117984511187901</v>
      </c>
      <c r="DO202" s="28">
        <v>0.47836033183241</v>
      </c>
      <c r="DP202" s="28">
        <v>0</v>
      </c>
      <c r="DQ202" s="28">
        <v>2.9227451466683201</v>
      </c>
      <c r="DR202" s="28">
        <v>10.6114723374136</v>
      </c>
      <c r="DS202" s="28">
        <v>4.3135302579811503</v>
      </c>
      <c r="DT202" s="28">
        <v>0.11122286577924501</v>
      </c>
      <c r="DU202" s="28">
        <v>10.2831078570931</v>
      </c>
      <c r="DV202" s="28">
        <v>2.4358951317971602</v>
      </c>
      <c r="DW202" s="28">
        <v>0</v>
      </c>
      <c r="DX202" s="28">
        <v>0.60514962570234399</v>
      </c>
      <c r="DY202" s="28">
        <v>2.38735236418341</v>
      </c>
      <c r="DZ202" s="28">
        <v>11.616044547047199</v>
      </c>
      <c r="EA202" s="28">
        <v>2.6137806213215702E-2</v>
      </c>
      <c r="EB202" s="28">
        <v>0.55928871332074803</v>
      </c>
      <c r="EC202" s="28">
        <v>3.69879739474317</v>
      </c>
      <c r="ED202" s="28">
        <v>6.4199692329032301</v>
      </c>
      <c r="EE202" s="28">
        <v>0.25795817202127003</v>
      </c>
      <c r="EF202" s="28">
        <v>29.331493728896699</v>
      </c>
      <c r="EG202" s="28">
        <v>0.756565238408485</v>
      </c>
      <c r="EH202" s="28">
        <v>0.26123769748988701</v>
      </c>
      <c r="EI202" s="28">
        <v>0.119736222341823</v>
      </c>
      <c r="EJ202" s="28">
        <v>6.8900788371339701</v>
      </c>
      <c r="EK202" s="28">
        <v>6.2239532464923898E-2</v>
      </c>
      <c r="EL202" s="28">
        <v>2.0463985289176501</v>
      </c>
      <c r="EM202" s="28">
        <v>4.0598640353730897E-2</v>
      </c>
      <c r="EN202" s="28">
        <v>0.87512751969423597</v>
      </c>
      <c r="EO202" s="28">
        <v>0.26383908464515698</v>
      </c>
      <c r="EP202" s="28">
        <v>0</v>
      </c>
      <c r="EQ202" s="28">
        <v>0.54487372345380003</v>
      </c>
      <c r="ER202" s="28">
        <v>1.6682757149651199</v>
      </c>
      <c r="ES202" s="28">
        <v>3.22745788478138</v>
      </c>
      <c r="ET202" s="28">
        <v>0.62022816157312399</v>
      </c>
      <c r="EU202" s="28">
        <v>1.7048708609702899E-2</v>
      </c>
      <c r="EV202" s="28">
        <v>1.7658836195118199</v>
      </c>
      <c r="EW202" s="28">
        <v>12.3844072966873</v>
      </c>
      <c r="EX202" s="28">
        <v>7.3241759219035396</v>
      </c>
      <c r="EY202" s="28">
        <v>3.10868241354048</v>
      </c>
      <c r="EZ202" s="28">
        <v>3.54967580562964</v>
      </c>
      <c r="FA202" s="28">
        <v>11.097208060489599</v>
      </c>
      <c r="FB202" s="28">
        <v>1.69222424269341</v>
      </c>
      <c r="FC202" s="28">
        <v>10.9565639092424</v>
      </c>
      <c r="FD202" s="28">
        <v>1.35346788521465</v>
      </c>
      <c r="FE202" s="28">
        <v>0</v>
      </c>
      <c r="FF202" s="28">
        <v>24.586105031341301</v>
      </c>
      <c r="FG202" s="28">
        <v>6.0814816107781802</v>
      </c>
      <c r="FH202" s="28">
        <v>0.223844914610244</v>
      </c>
      <c r="FI202" s="28">
        <v>981.45512376461102</v>
      </c>
      <c r="FJ202" s="28">
        <v>87.373864089548405</v>
      </c>
      <c r="FK202" s="28">
        <v>4.2039999999999997</v>
      </c>
      <c r="FL202" s="28">
        <v>39.849549648394301</v>
      </c>
      <c r="FM202" s="28">
        <v>1.1465568100000001</v>
      </c>
      <c r="FN202" s="28">
        <v>10.5473371562572</v>
      </c>
      <c r="FO202" s="28">
        <v>2.5884589748696101</v>
      </c>
      <c r="FP202" s="28">
        <v>13.7697578513812</v>
      </c>
      <c r="FQ202" s="28">
        <v>28.1421202255009</v>
      </c>
      <c r="FR202" s="28">
        <v>7.5035088473901101</v>
      </c>
      <c r="FS202" s="28">
        <v>84.335835018072899</v>
      </c>
      <c r="FT202" s="28">
        <v>46.969358830843397</v>
      </c>
      <c r="FU202" s="28">
        <v>2355.8083185632199</v>
      </c>
      <c r="FV202" s="28">
        <v>40.830913715318601</v>
      </c>
      <c r="FW202" s="28">
        <v>5.60358940632175</v>
      </c>
      <c r="FX202" s="28">
        <v>134.22409766949801</v>
      </c>
      <c r="FY202" s="28">
        <v>19.222500109999999</v>
      </c>
      <c r="FZ202" s="28">
        <v>22.163600642002201</v>
      </c>
      <c r="GA202" s="28">
        <v>0.52557383905579902</v>
      </c>
      <c r="GB202" s="28">
        <v>22.259181564909799</v>
      </c>
      <c r="GC202" s="28">
        <v>33.934579517066801</v>
      </c>
      <c r="GD202" s="28">
        <v>10.298789648495699</v>
      </c>
      <c r="GE202" s="28">
        <v>210.98078665501501</v>
      </c>
      <c r="GF202" s="28">
        <v>112.482555134666</v>
      </c>
      <c r="GG202" s="28">
        <v>212.15006527</v>
      </c>
      <c r="GH202" s="28">
        <v>52.740941600218697</v>
      </c>
      <c r="GI202" s="28">
        <v>58.980875577514503</v>
      </c>
      <c r="GJ202" s="28">
        <v>27.401435397951701</v>
      </c>
      <c r="GK202" s="28">
        <v>27.646385754819999</v>
      </c>
      <c r="GL202" s="28">
        <v>106.265791195117</v>
      </c>
      <c r="GM202" s="28">
        <v>78.054805215996893</v>
      </c>
      <c r="GN202" s="28">
        <v>10.3223769994626</v>
      </c>
      <c r="GO202" s="28">
        <v>10.681039495356201</v>
      </c>
      <c r="GP202" s="28">
        <v>0</v>
      </c>
      <c r="GQ202" s="21">
        <v>5440.3348111661962</v>
      </c>
      <c r="GR202" s="21">
        <v>8529.2147143253915</v>
      </c>
      <c r="GS202" s="20">
        <v>8529.2147143253915</v>
      </c>
      <c r="GT202" s="20">
        <v>0</v>
      </c>
      <c r="GU202" s="20">
        <v>0</v>
      </c>
      <c r="GV202" s="20">
        <v>0</v>
      </c>
      <c r="GW202" s="20">
        <v>0</v>
      </c>
      <c r="GX202" s="21">
        <v>0</v>
      </c>
      <c r="GY202" s="20">
        <v>0</v>
      </c>
      <c r="GZ202" s="20">
        <v>0</v>
      </c>
      <c r="HA202" s="20"/>
      <c r="HB202" s="21">
        <v>340.50391450491497</v>
      </c>
      <c r="HC202" s="21">
        <v>14310.053439996504</v>
      </c>
    </row>
    <row r="203" spans="2:211" s="7" customFormat="1" ht="17.25" customHeight="1">
      <c r="B203" s="26" t="s">
        <v>180</v>
      </c>
      <c r="C203" s="9" t="s">
        <v>672</v>
      </c>
      <c r="D203" s="28">
        <v>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0.31249214858704699</v>
      </c>
      <c r="BK203" s="28">
        <v>0</v>
      </c>
      <c r="BL203" s="28">
        <v>0.72727761635805799</v>
      </c>
      <c r="BM203" s="28">
        <v>0.120524380477148</v>
      </c>
      <c r="BN203" s="28">
        <v>0.37576715632642899</v>
      </c>
      <c r="BO203" s="28">
        <v>0.49510725044432802</v>
      </c>
      <c r="BP203" s="28">
        <v>1.74504830719491E-3</v>
      </c>
      <c r="BQ203" s="28">
        <v>1.4049307679327401</v>
      </c>
      <c r="BR203" s="28">
        <v>0.212565376460532</v>
      </c>
      <c r="BS203" s="28">
        <v>0</v>
      </c>
      <c r="BT203" s="28">
        <v>0</v>
      </c>
      <c r="BU203" s="28">
        <v>0.34516466487108499</v>
      </c>
      <c r="BV203" s="28">
        <v>2.9543190541820499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7.33186766916587E-3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0.40788609539919601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  <c r="EU203" s="28">
        <v>0</v>
      </c>
      <c r="EV203" s="28">
        <v>0</v>
      </c>
      <c r="EW203" s="28">
        <v>0</v>
      </c>
      <c r="EX203" s="28">
        <v>0</v>
      </c>
      <c r="EY203" s="28">
        <v>0</v>
      </c>
      <c r="EZ203" s="28">
        <v>1.4294720000000001</v>
      </c>
      <c r="FA203" s="28">
        <v>4.45180882543601E-2</v>
      </c>
      <c r="FB203" s="28">
        <v>7.50696935633098E-3</v>
      </c>
      <c r="FC203" s="28">
        <v>3.47894217870786</v>
      </c>
      <c r="FD203" s="28">
        <v>0</v>
      </c>
      <c r="FE203" s="28">
        <v>0</v>
      </c>
      <c r="FF203" s="28">
        <v>4.7980883650780504</v>
      </c>
      <c r="FG203" s="28">
        <v>0.170138700019422</v>
      </c>
      <c r="FH203" s="28">
        <v>0</v>
      </c>
      <c r="FI203" s="28">
        <v>33.454789653820903</v>
      </c>
      <c r="FJ203" s="28">
        <v>0</v>
      </c>
      <c r="FK203" s="28">
        <v>0</v>
      </c>
      <c r="FL203" s="28">
        <v>0</v>
      </c>
      <c r="FM203" s="28">
        <v>0</v>
      </c>
      <c r="FN203" s="28">
        <v>0</v>
      </c>
      <c r="FO203" s="28">
        <v>0</v>
      </c>
      <c r="FP203" s="28">
        <v>0</v>
      </c>
      <c r="FQ203" s="28">
        <v>1.6216419282972998E-2</v>
      </c>
      <c r="FR203" s="28">
        <v>0</v>
      </c>
      <c r="FS203" s="28">
        <v>10.795459825576</v>
      </c>
      <c r="FT203" s="28">
        <v>9.2570747783410994</v>
      </c>
      <c r="FU203" s="28">
        <v>3.5031835649378298</v>
      </c>
      <c r="FV203" s="28">
        <v>75.038168224382602</v>
      </c>
      <c r="FW203" s="28">
        <v>0</v>
      </c>
      <c r="FX203" s="28">
        <v>0</v>
      </c>
      <c r="FY203" s="28">
        <v>0</v>
      </c>
      <c r="FZ203" s="28">
        <v>0</v>
      </c>
      <c r="GA203" s="28">
        <v>3.9766491054396703E-2</v>
      </c>
      <c r="GB203" s="28">
        <v>2.0657043895298601</v>
      </c>
      <c r="GC203" s="28">
        <v>1.4832844654530299</v>
      </c>
      <c r="GD203" s="28">
        <v>57.880117797118402</v>
      </c>
      <c r="GE203" s="28">
        <v>0.71854288976713898</v>
      </c>
      <c r="GF203" s="28">
        <v>0</v>
      </c>
      <c r="GG203" s="28">
        <v>5.0894399741121497</v>
      </c>
      <c r="GH203" s="28">
        <v>4.3500430341121499</v>
      </c>
      <c r="GI203" s="28">
        <v>0.51738076</v>
      </c>
      <c r="GJ203" s="28">
        <v>1.62527426332576</v>
      </c>
      <c r="GK203" s="28">
        <v>0</v>
      </c>
      <c r="GL203" s="28">
        <v>0</v>
      </c>
      <c r="GM203" s="28">
        <v>16.644482920024402</v>
      </c>
      <c r="GN203" s="28">
        <v>0.15028193931606099</v>
      </c>
      <c r="GO203" s="28">
        <v>0</v>
      </c>
      <c r="GP203" s="28">
        <v>0</v>
      </c>
      <c r="GQ203" s="21">
        <v>239.92298911858566</v>
      </c>
      <c r="GR203" s="21">
        <v>767.02337522766459</v>
      </c>
      <c r="GS203" s="20">
        <v>767.02337522766459</v>
      </c>
      <c r="GT203" s="20">
        <v>0</v>
      </c>
      <c r="GU203" s="20">
        <v>0</v>
      </c>
      <c r="GV203" s="20">
        <v>0</v>
      </c>
      <c r="GW203" s="20">
        <v>0</v>
      </c>
      <c r="GX203" s="21">
        <v>0</v>
      </c>
      <c r="GY203" s="20">
        <v>0</v>
      </c>
      <c r="GZ203" s="20">
        <v>0</v>
      </c>
      <c r="HA203" s="20"/>
      <c r="HB203" s="21">
        <v>55.137889491060101</v>
      </c>
      <c r="HC203" s="21">
        <v>1062.0842538373104</v>
      </c>
    </row>
    <row r="204" spans="2:211" s="7" customFormat="1" ht="17.25" customHeight="1">
      <c r="B204" s="26" t="s">
        <v>183</v>
      </c>
      <c r="C204" s="10" t="s">
        <v>673</v>
      </c>
      <c r="D204" s="28">
        <v>0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  <c r="EU204" s="28">
        <v>0</v>
      </c>
      <c r="EV204" s="28">
        <v>0</v>
      </c>
      <c r="EW204" s="28">
        <v>0</v>
      </c>
      <c r="EX204" s="28">
        <v>0</v>
      </c>
      <c r="EY204" s="28">
        <v>4.9590532281121602</v>
      </c>
      <c r="EZ204" s="28">
        <v>0</v>
      </c>
      <c r="FA204" s="28">
        <v>0</v>
      </c>
      <c r="FB204" s="28">
        <v>0</v>
      </c>
      <c r="FC204" s="28">
        <v>0</v>
      </c>
      <c r="FD204" s="28">
        <v>0</v>
      </c>
      <c r="FE204" s="28">
        <v>0</v>
      </c>
      <c r="FF204" s="28">
        <v>0</v>
      </c>
      <c r="FG204" s="28">
        <v>0</v>
      </c>
      <c r="FH204" s="28">
        <v>0</v>
      </c>
      <c r="FI204" s="28">
        <v>0</v>
      </c>
      <c r="FJ204" s="28">
        <v>0</v>
      </c>
      <c r="FK204" s="28">
        <v>0</v>
      </c>
      <c r="FL204" s="28">
        <v>0</v>
      </c>
      <c r="FM204" s="28">
        <v>0</v>
      </c>
      <c r="FN204" s="28">
        <v>0</v>
      </c>
      <c r="FO204" s="28">
        <v>0</v>
      </c>
      <c r="FP204" s="28">
        <v>0</v>
      </c>
      <c r="FQ204" s="28">
        <v>0</v>
      </c>
      <c r="FR204" s="28">
        <v>0</v>
      </c>
      <c r="FS204" s="28">
        <v>0</v>
      </c>
      <c r="FT204" s="28">
        <v>0</v>
      </c>
      <c r="FU204" s="28">
        <v>0</v>
      </c>
      <c r="FV204" s="28">
        <v>0</v>
      </c>
      <c r="FW204" s="28">
        <v>0</v>
      </c>
      <c r="FX204" s="28">
        <v>423.76830158010102</v>
      </c>
      <c r="FY204" s="28">
        <v>0</v>
      </c>
      <c r="FZ204" s="28">
        <v>0</v>
      </c>
      <c r="GA204" s="28">
        <v>0</v>
      </c>
      <c r="GB204" s="28">
        <v>0</v>
      </c>
      <c r="GC204" s="28">
        <v>0</v>
      </c>
      <c r="GD204" s="28">
        <v>0</v>
      </c>
      <c r="GE204" s="28">
        <v>0</v>
      </c>
      <c r="GF204" s="28">
        <v>0</v>
      </c>
      <c r="GG204" s="28">
        <v>216.802506919899</v>
      </c>
      <c r="GH204" s="28">
        <v>0</v>
      </c>
      <c r="GI204" s="28">
        <v>0</v>
      </c>
      <c r="GJ204" s="28">
        <v>0</v>
      </c>
      <c r="GK204" s="28">
        <v>0</v>
      </c>
      <c r="GL204" s="28">
        <v>0</v>
      </c>
      <c r="GM204" s="28">
        <v>0</v>
      </c>
      <c r="GN204" s="28">
        <v>0</v>
      </c>
      <c r="GO204" s="28">
        <v>0</v>
      </c>
      <c r="GP204" s="28">
        <v>0</v>
      </c>
      <c r="GQ204" s="21">
        <v>645.52986172811222</v>
      </c>
      <c r="GR204" s="21">
        <v>188.40415476547199</v>
      </c>
      <c r="GS204" s="20">
        <v>188.40415476547199</v>
      </c>
      <c r="GT204" s="20">
        <v>0</v>
      </c>
      <c r="GU204" s="20">
        <v>0</v>
      </c>
      <c r="GV204" s="20">
        <v>0</v>
      </c>
      <c r="GW204" s="20">
        <v>0</v>
      </c>
      <c r="GX204" s="21">
        <v>0</v>
      </c>
      <c r="GY204" s="20">
        <v>0</v>
      </c>
      <c r="GZ204" s="20">
        <v>0</v>
      </c>
      <c r="HA204" s="20"/>
      <c r="HB204" s="21">
        <v>0</v>
      </c>
      <c r="HC204" s="21">
        <v>833.93401649358418</v>
      </c>
    </row>
    <row r="205" spans="2:211" s="7" customFormat="1" ht="17.25" customHeight="1">
      <c r="B205" s="26" t="s">
        <v>184</v>
      </c>
      <c r="C205" s="10" t="s">
        <v>674</v>
      </c>
      <c r="D205" s="28">
        <v>0</v>
      </c>
      <c r="E205" s="28">
        <v>46.048397169638903</v>
      </c>
      <c r="F205" s="28">
        <v>0</v>
      </c>
      <c r="G205" s="28">
        <v>13.6943759302216</v>
      </c>
      <c r="H205" s="28">
        <v>5.4670657208131299</v>
      </c>
      <c r="I205" s="28">
        <v>0.53813457785318097</v>
      </c>
      <c r="J205" s="28">
        <v>18.0673439837066</v>
      </c>
      <c r="K205" s="28">
        <v>2.2967706435164899</v>
      </c>
      <c r="L205" s="28">
        <v>2.8760837160867001</v>
      </c>
      <c r="M205" s="28">
        <v>35.168700000000001</v>
      </c>
      <c r="N205" s="28">
        <v>0</v>
      </c>
      <c r="O205" s="28">
        <v>5.34622505511512</v>
      </c>
      <c r="P205" s="28">
        <v>0</v>
      </c>
      <c r="Q205" s="28">
        <v>0</v>
      </c>
      <c r="R205" s="28">
        <v>10.142414787366</v>
      </c>
      <c r="S205" s="28">
        <v>260.65499699999998</v>
      </c>
      <c r="T205" s="28">
        <v>0</v>
      </c>
      <c r="U205" s="28">
        <v>55.855435174874799</v>
      </c>
      <c r="V205" s="28">
        <v>0</v>
      </c>
      <c r="W205" s="28">
        <v>0</v>
      </c>
      <c r="X205" s="28">
        <v>3.5142497080620299</v>
      </c>
      <c r="Y205" s="28">
        <v>0.13042281193019001</v>
      </c>
      <c r="Z205" s="28">
        <v>0.113113330608459</v>
      </c>
      <c r="AA205" s="28">
        <v>1.7653100818648899</v>
      </c>
      <c r="AB205" s="28">
        <v>2.5646</v>
      </c>
      <c r="AC205" s="28">
        <v>10.1963609643224</v>
      </c>
      <c r="AD205" s="28">
        <v>0</v>
      </c>
      <c r="AE205" s="28">
        <v>0</v>
      </c>
      <c r="AF205" s="28">
        <v>206.47771705811101</v>
      </c>
      <c r="AG205" s="28">
        <v>6.7223860194860396</v>
      </c>
      <c r="AH205" s="28">
        <v>0.50544990987355598</v>
      </c>
      <c r="AI205" s="28">
        <v>0.418429703434613</v>
      </c>
      <c r="AJ205" s="28">
        <v>0</v>
      </c>
      <c r="AK205" s="28">
        <v>0.58962901804310497</v>
      </c>
      <c r="AL205" s="28">
        <v>24.3158012635486</v>
      </c>
      <c r="AM205" s="28">
        <v>21.0967027907957</v>
      </c>
      <c r="AN205" s="28">
        <v>11.297810495268701</v>
      </c>
      <c r="AO205" s="28">
        <v>2.3760721870673298</v>
      </c>
      <c r="AP205" s="28">
        <v>0</v>
      </c>
      <c r="AQ205" s="28">
        <v>0</v>
      </c>
      <c r="AR205" s="28">
        <v>0</v>
      </c>
      <c r="AS205" s="28">
        <v>0</v>
      </c>
      <c r="AT205" s="28">
        <v>67.734009217979505</v>
      </c>
      <c r="AU205" s="28">
        <v>10.401841164251101</v>
      </c>
      <c r="AV205" s="28">
        <v>0</v>
      </c>
      <c r="AW205" s="28">
        <v>28.932565522588298</v>
      </c>
      <c r="AX205" s="28">
        <v>10.8879383468537</v>
      </c>
      <c r="AY205" s="28">
        <v>0</v>
      </c>
      <c r="AZ205" s="28">
        <v>0</v>
      </c>
      <c r="BA205" s="28">
        <v>23.377824518137199</v>
      </c>
      <c r="BB205" s="28">
        <v>0</v>
      </c>
      <c r="BC205" s="28">
        <v>26.368986023529001</v>
      </c>
      <c r="BD205" s="28">
        <v>2.3256680469110198</v>
      </c>
      <c r="BE205" s="28">
        <v>14.7550259500112</v>
      </c>
      <c r="BF205" s="28">
        <v>0</v>
      </c>
      <c r="BG205" s="28">
        <v>0</v>
      </c>
      <c r="BH205" s="28">
        <v>0</v>
      </c>
      <c r="BI205" s="28">
        <v>0</v>
      </c>
      <c r="BJ205" s="28">
        <v>19.844028885956899</v>
      </c>
      <c r="BK205" s="28">
        <v>0</v>
      </c>
      <c r="BL205" s="28">
        <v>14.465993583400801</v>
      </c>
      <c r="BM205" s="28">
        <v>4.71179755833146</v>
      </c>
      <c r="BN205" s="28">
        <v>13.550875862810001</v>
      </c>
      <c r="BO205" s="28">
        <v>15.957990299068999</v>
      </c>
      <c r="BP205" s="28">
        <v>2.8900703522186801E-2</v>
      </c>
      <c r="BQ205" s="28">
        <v>1.8836607366904701</v>
      </c>
      <c r="BR205" s="28">
        <v>41.284941023203302</v>
      </c>
      <c r="BS205" s="28">
        <v>0</v>
      </c>
      <c r="BT205" s="28">
        <v>0</v>
      </c>
      <c r="BU205" s="28">
        <v>42.209560736762697</v>
      </c>
      <c r="BV205" s="28">
        <v>10.101575593992701</v>
      </c>
      <c r="BW205" s="28">
        <v>0</v>
      </c>
      <c r="BX205" s="28">
        <v>0</v>
      </c>
      <c r="BY205" s="28">
        <v>0</v>
      </c>
      <c r="BZ205" s="28">
        <v>0</v>
      </c>
      <c r="CA205" s="28">
        <v>82.352129466532105</v>
      </c>
      <c r="CB205" s="28">
        <v>54.060402359502604</v>
      </c>
      <c r="CC205" s="28">
        <v>2.96334127474038</v>
      </c>
      <c r="CD205" s="28">
        <v>38.932769122504197</v>
      </c>
      <c r="CE205" s="28">
        <v>13.238125705571999</v>
      </c>
      <c r="CF205" s="28">
        <v>0</v>
      </c>
      <c r="CG205" s="28">
        <v>0</v>
      </c>
      <c r="CH205" s="28">
        <v>5.1063319110916003</v>
      </c>
      <c r="CI205" s="28">
        <v>3.6469922021070902</v>
      </c>
      <c r="CJ205" s="28">
        <v>6.8198596643558904</v>
      </c>
      <c r="CK205" s="28">
        <v>0.74690950407223899</v>
      </c>
      <c r="CL205" s="28">
        <v>41.060971308763101</v>
      </c>
      <c r="CM205" s="28">
        <v>75.432988945358105</v>
      </c>
      <c r="CN205" s="28">
        <v>17.748805636836</v>
      </c>
      <c r="CO205" s="28">
        <v>4.9432749598897097</v>
      </c>
      <c r="CP205" s="28">
        <v>0</v>
      </c>
      <c r="CQ205" s="28">
        <v>0.16746858430689099</v>
      </c>
      <c r="CR205" s="28">
        <v>8.3385208053789395</v>
      </c>
      <c r="CS205" s="28">
        <v>2.8150846980455202</v>
      </c>
      <c r="CT205" s="28">
        <v>141.63</v>
      </c>
      <c r="CU205" s="28">
        <v>2.2185802953316101</v>
      </c>
      <c r="CV205" s="28">
        <v>12.0484013928957</v>
      </c>
      <c r="CW205" s="28">
        <v>5.6266122192831096</v>
      </c>
      <c r="CX205" s="28">
        <v>4.0094684578055197</v>
      </c>
      <c r="CY205" s="28">
        <v>5.2678449618037604</v>
      </c>
      <c r="CZ205" s="28">
        <v>0</v>
      </c>
      <c r="DA205" s="28">
        <v>5.2064029295136498</v>
      </c>
      <c r="DB205" s="28">
        <v>14.123350926566401</v>
      </c>
      <c r="DC205" s="28">
        <v>12.2959912056797</v>
      </c>
      <c r="DD205" s="28">
        <v>0.41262252268522098</v>
      </c>
      <c r="DE205" s="28">
        <v>0</v>
      </c>
      <c r="DF205" s="28">
        <v>18.88</v>
      </c>
      <c r="DG205" s="28">
        <v>52</v>
      </c>
      <c r="DH205" s="28">
        <v>20.45</v>
      </c>
      <c r="DI205" s="28">
        <v>11.945013260922799</v>
      </c>
      <c r="DJ205" s="28">
        <v>0.71703065471750804</v>
      </c>
      <c r="DK205" s="28">
        <v>0.38075070273346101</v>
      </c>
      <c r="DL205" s="28">
        <v>1.7131719277004001</v>
      </c>
      <c r="DM205" s="28">
        <v>0.30595840608629099</v>
      </c>
      <c r="DN205" s="28">
        <v>12.818</v>
      </c>
      <c r="DO205" s="28">
        <v>8.2098172637627904</v>
      </c>
      <c r="DP205" s="28">
        <v>0</v>
      </c>
      <c r="DQ205" s="28">
        <v>4.6403453040172797</v>
      </c>
      <c r="DR205" s="28">
        <v>25.5401272787681</v>
      </c>
      <c r="DS205" s="28">
        <v>4.4192763425512096</v>
      </c>
      <c r="DT205" s="28">
        <v>1.6613062687042599</v>
      </c>
      <c r="DU205" s="28">
        <v>17.4001036900491</v>
      </c>
      <c r="DV205" s="28">
        <v>27.5934890162894</v>
      </c>
      <c r="DW205" s="28">
        <v>0</v>
      </c>
      <c r="DX205" s="28">
        <v>11.755041909088099</v>
      </c>
      <c r="DY205" s="28">
        <v>27.811307362485302</v>
      </c>
      <c r="DZ205" s="28">
        <v>117.56955913101299</v>
      </c>
      <c r="EA205" s="28">
        <v>0</v>
      </c>
      <c r="EB205" s="28">
        <v>1.85737949376319</v>
      </c>
      <c r="EC205" s="28">
        <v>40.949436483613503</v>
      </c>
      <c r="ED205" s="28">
        <v>9.5142900606830896</v>
      </c>
      <c r="EE205" s="28">
        <v>0</v>
      </c>
      <c r="EF205" s="28">
        <v>1.08088089723022</v>
      </c>
      <c r="EG205" s="28">
        <v>0</v>
      </c>
      <c r="EH205" s="28">
        <v>0</v>
      </c>
      <c r="EI205" s="28">
        <v>1.47569191476346</v>
      </c>
      <c r="EJ205" s="28">
        <v>75.344103578204596</v>
      </c>
      <c r="EK205" s="28">
        <v>9.2268978415888991</v>
      </c>
      <c r="EL205" s="28">
        <v>7.3089388630355803</v>
      </c>
      <c r="EM205" s="28">
        <v>0.31326679868558299</v>
      </c>
      <c r="EN205" s="28">
        <v>7.1545268723075296E-3</v>
      </c>
      <c r="EO205" s="28">
        <v>2.0174267416099299</v>
      </c>
      <c r="EP205" s="28">
        <v>0</v>
      </c>
      <c r="EQ205" s="28">
        <v>1.7316544901167601</v>
      </c>
      <c r="ER205" s="28">
        <v>8.3899660948216308</v>
      </c>
      <c r="ES205" s="28">
        <v>41.7356596830694</v>
      </c>
      <c r="ET205" s="28">
        <v>10.202291037517201</v>
      </c>
      <c r="EU205" s="28">
        <v>1.5996824655239099</v>
      </c>
      <c r="EV205" s="28">
        <v>6.7712734328893598</v>
      </c>
      <c r="EW205" s="28">
        <v>3.2865825169229899</v>
      </c>
      <c r="EX205" s="28">
        <v>43.179999773426999</v>
      </c>
      <c r="EY205" s="28">
        <v>20.499398893107301</v>
      </c>
      <c r="EZ205" s="28">
        <v>51.142309028509601</v>
      </c>
      <c r="FA205" s="28">
        <v>4.33578056486125</v>
      </c>
      <c r="FB205" s="28">
        <v>15.9395751787923</v>
      </c>
      <c r="FC205" s="28">
        <v>174.372268300597</v>
      </c>
      <c r="FD205" s="28">
        <v>53.624139545539798</v>
      </c>
      <c r="FE205" s="28">
        <v>5.9466530168779999</v>
      </c>
      <c r="FF205" s="28">
        <v>8.4203237825919004</v>
      </c>
      <c r="FG205" s="28">
        <v>212.12751708010501</v>
      </c>
      <c r="FH205" s="28">
        <v>18.756055690822599</v>
      </c>
      <c r="FI205" s="28">
        <v>1472.5623463572799</v>
      </c>
      <c r="FJ205" s="28">
        <v>49.861685530083001</v>
      </c>
      <c r="FK205" s="28">
        <v>18.0074894696398</v>
      </c>
      <c r="FL205" s="28">
        <v>197.00653230343599</v>
      </c>
      <c r="FM205" s="28">
        <v>182.728580059938</v>
      </c>
      <c r="FN205" s="28">
        <v>11.597671255184199</v>
      </c>
      <c r="FO205" s="28">
        <v>1.0375280541688201</v>
      </c>
      <c r="FP205" s="28">
        <v>7.0283715313633897</v>
      </c>
      <c r="FQ205" s="28">
        <v>53.641855215064901</v>
      </c>
      <c r="FR205" s="28">
        <v>1.0167142106142799</v>
      </c>
      <c r="FS205" s="28">
        <v>89.375943448838996</v>
      </c>
      <c r="FT205" s="28">
        <v>160.18396944125601</v>
      </c>
      <c r="FU205" s="28">
        <v>55.841778030456403</v>
      </c>
      <c r="FV205" s="28">
        <v>15.688657226436099</v>
      </c>
      <c r="FW205" s="28">
        <v>0</v>
      </c>
      <c r="FX205" s="28">
        <v>502.189562662757</v>
      </c>
      <c r="FY205" s="28">
        <v>0</v>
      </c>
      <c r="FZ205" s="28">
        <v>0</v>
      </c>
      <c r="GA205" s="28">
        <v>657.77562862903301</v>
      </c>
      <c r="GB205" s="28">
        <v>6.2548910624856902</v>
      </c>
      <c r="GC205" s="28">
        <v>0</v>
      </c>
      <c r="GD205" s="28">
        <v>300.12651</v>
      </c>
      <c r="GE205" s="28">
        <v>343.25295878010297</v>
      </c>
      <c r="GF205" s="28">
        <v>230.92641679384599</v>
      </c>
      <c r="GG205" s="28">
        <v>435.57534096791301</v>
      </c>
      <c r="GH205" s="28">
        <v>159.960893179274</v>
      </c>
      <c r="GI205" s="28">
        <v>7.4161680862228501</v>
      </c>
      <c r="GJ205" s="28">
        <v>102.584662068631</v>
      </c>
      <c r="GK205" s="28">
        <v>29.079374558667102</v>
      </c>
      <c r="GL205" s="28">
        <v>49.556872981823197</v>
      </c>
      <c r="GM205" s="28">
        <v>171.957649686666</v>
      </c>
      <c r="GN205" s="28">
        <v>15.0820067452269</v>
      </c>
      <c r="GO205" s="28">
        <v>79.463797646005006</v>
      </c>
      <c r="GP205" s="28">
        <v>0</v>
      </c>
      <c r="GQ205" s="21">
        <v>8262.025186213672</v>
      </c>
      <c r="GR205" s="21">
        <v>4761.6482235606609</v>
      </c>
      <c r="GS205" s="20">
        <v>4761.6482235606609</v>
      </c>
      <c r="GT205" s="20">
        <v>0</v>
      </c>
      <c r="GU205" s="20">
        <v>0</v>
      </c>
      <c r="GV205" s="20">
        <v>0</v>
      </c>
      <c r="GW205" s="20">
        <v>0</v>
      </c>
      <c r="GX205" s="21">
        <v>0</v>
      </c>
      <c r="GY205" s="20">
        <v>0</v>
      </c>
      <c r="GZ205" s="20">
        <v>0</v>
      </c>
      <c r="HA205" s="20"/>
      <c r="HB205" s="21">
        <v>0</v>
      </c>
      <c r="HC205" s="21">
        <v>13023.673409774332</v>
      </c>
    </row>
    <row r="206" spans="2:211" s="7" customFormat="1" ht="17.25" customHeight="1">
      <c r="B206" s="26" t="s">
        <v>185</v>
      </c>
      <c r="C206" s="10" t="s">
        <v>675</v>
      </c>
      <c r="D206" s="28">
        <v>0</v>
      </c>
      <c r="E206" s="28">
        <v>5.0880676403754101</v>
      </c>
      <c r="F206" s="28">
        <v>0</v>
      </c>
      <c r="G206" s="28">
        <v>1.5306785502284801</v>
      </c>
      <c r="H206" s="28">
        <v>4.4093072265287097</v>
      </c>
      <c r="I206" s="28">
        <v>4.4356058656317998</v>
      </c>
      <c r="J206" s="28">
        <v>1.0522996279774699</v>
      </c>
      <c r="K206" s="28">
        <v>0</v>
      </c>
      <c r="L206" s="28">
        <v>1.3072496449190301</v>
      </c>
      <c r="M206" s="28">
        <v>11.362355722855099</v>
      </c>
      <c r="N206" s="28">
        <v>0</v>
      </c>
      <c r="O206" s="28">
        <v>2.4138049457488902</v>
      </c>
      <c r="P206" s="28">
        <v>0</v>
      </c>
      <c r="Q206" s="28">
        <v>0</v>
      </c>
      <c r="R206" s="28">
        <v>5.9293103026111202</v>
      </c>
      <c r="S206" s="28">
        <v>18.979263744745399</v>
      </c>
      <c r="T206" s="28">
        <v>1.07971197153684</v>
      </c>
      <c r="U206" s="28">
        <v>2.3511637750391499</v>
      </c>
      <c r="V206" s="28">
        <v>0</v>
      </c>
      <c r="W206" s="28">
        <v>0</v>
      </c>
      <c r="X206" s="28">
        <v>0.66167777078562895</v>
      </c>
      <c r="Y206" s="28">
        <v>0.17837323273184799</v>
      </c>
      <c r="Z206" s="28">
        <v>1.6991043641866801</v>
      </c>
      <c r="AA206" s="28">
        <v>0.288954091838515</v>
      </c>
      <c r="AB206" s="28">
        <v>0.11942446239778901</v>
      </c>
      <c r="AC206" s="28">
        <v>4.7915727182191103</v>
      </c>
      <c r="AD206" s="28">
        <v>0</v>
      </c>
      <c r="AE206" s="28">
        <v>0</v>
      </c>
      <c r="AF206" s="28">
        <v>17.190144019428601</v>
      </c>
      <c r="AG206" s="28">
        <v>4.08454075434459</v>
      </c>
      <c r="AH206" s="28">
        <v>0.475811216768532</v>
      </c>
      <c r="AI206" s="28">
        <v>0.86387654496650801</v>
      </c>
      <c r="AJ206" s="28">
        <v>0</v>
      </c>
      <c r="AK206" s="28">
        <v>0.51513300895042302</v>
      </c>
      <c r="AL206" s="28">
        <v>11.066222738267101</v>
      </c>
      <c r="AM206" s="28">
        <v>0.67542556431886003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10.7271171930091</v>
      </c>
      <c r="AU206" s="28">
        <v>0</v>
      </c>
      <c r="AV206" s="28">
        <v>1.5</v>
      </c>
      <c r="AW206" s="28">
        <v>6.5</v>
      </c>
      <c r="AX206" s="28">
        <v>2.5752619117236999</v>
      </c>
      <c r="AY206" s="28">
        <v>0</v>
      </c>
      <c r="AZ206" s="28">
        <v>0</v>
      </c>
      <c r="BA206" s="28">
        <v>3</v>
      </c>
      <c r="BB206" s="28">
        <v>0</v>
      </c>
      <c r="BC206" s="28">
        <v>0</v>
      </c>
      <c r="BD206" s="28">
        <v>0</v>
      </c>
      <c r="BE206" s="28">
        <v>3.27446474623759</v>
      </c>
      <c r="BF206" s="28">
        <v>0</v>
      </c>
      <c r="BG206" s="28">
        <v>0</v>
      </c>
      <c r="BH206" s="28">
        <v>0</v>
      </c>
      <c r="BI206" s="28">
        <v>0</v>
      </c>
      <c r="BJ206" s="28">
        <v>4.40382641348977</v>
      </c>
      <c r="BK206" s="28">
        <v>0</v>
      </c>
      <c r="BL206" s="28">
        <v>3.6963086384717498</v>
      </c>
      <c r="BM206" s="28">
        <v>0</v>
      </c>
      <c r="BN206" s="28">
        <v>3.9308504537992399</v>
      </c>
      <c r="BO206" s="28">
        <v>3.6291084092191999</v>
      </c>
      <c r="BP206" s="28">
        <v>8.3835424887249693E-3</v>
      </c>
      <c r="BQ206" s="28">
        <v>2.4697538541523398</v>
      </c>
      <c r="BR206" s="28">
        <v>7.2957819241781703</v>
      </c>
      <c r="BS206" s="28">
        <v>0</v>
      </c>
      <c r="BT206" s="28">
        <v>0</v>
      </c>
      <c r="BU206" s="28">
        <v>8.5263667984124201</v>
      </c>
      <c r="BV206" s="28">
        <v>2.5191659919750502</v>
      </c>
      <c r="BW206" s="28">
        <v>0</v>
      </c>
      <c r="BX206" s="28">
        <v>0</v>
      </c>
      <c r="BY206" s="28">
        <v>0</v>
      </c>
      <c r="BZ206" s="28">
        <v>0</v>
      </c>
      <c r="CA206" s="28">
        <v>15.537259954000399</v>
      </c>
      <c r="CB206" s="28">
        <v>13.4817708256855</v>
      </c>
      <c r="CC206" s="28">
        <v>0</v>
      </c>
      <c r="CD206" s="28">
        <v>9.7091891293824908</v>
      </c>
      <c r="CE206" s="28">
        <v>3.9324066951325198</v>
      </c>
      <c r="CF206" s="28">
        <v>0</v>
      </c>
      <c r="CG206" s="28">
        <v>0</v>
      </c>
      <c r="CH206" s="28">
        <v>1.09700364242147</v>
      </c>
      <c r="CI206" s="28">
        <v>9.6047024891075594</v>
      </c>
      <c r="CJ206" s="28">
        <v>0</v>
      </c>
      <c r="CK206" s="28">
        <v>0.16046008383174301</v>
      </c>
      <c r="CL206" s="28">
        <v>0</v>
      </c>
      <c r="CM206" s="28">
        <v>23.237999438648501</v>
      </c>
      <c r="CN206" s="28">
        <v>0</v>
      </c>
      <c r="CO206" s="28">
        <v>1.2327710714100499</v>
      </c>
      <c r="CP206" s="28">
        <v>0</v>
      </c>
      <c r="CQ206" s="28">
        <v>0</v>
      </c>
      <c r="CR206" s="28">
        <v>1.85859456943818</v>
      </c>
      <c r="CS206" s="28">
        <v>0.69880827323952299</v>
      </c>
      <c r="CT206" s="28">
        <v>38</v>
      </c>
      <c r="CU206" s="28">
        <v>1.0063735015236599</v>
      </c>
      <c r="CV206" s="28">
        <v>0.7</v>
      </c>
      <c r="CW206" s="28">
        <v>1.3969212385933001</v>
      </c>
      <c r="CX206" s="28">
        <v>0.99481913439713598</v>
      </c>
      <c r="CY206" s="28">
        <v>1.30724773933516</v>
      </c>
      <c r="CZ206" s="28">
        <v>0</v>
      </c>
      <c r="DA206" s="28">
        <v>2.59</v>
      </c>
      <c r="DB206" s="28">
        <v>2.61</v>
      </c>
      <c r="DC206" s="28">
        <v>2.7</v>
      </c>
      <c r="DD206" s="28">
        <v>0.12</v>
      </c>
      <c r="DE206" s="28">
        <v>0</v>
      </c>
      <c r="DF206" s="28">
        <v>2.02</v>
      </c>
      <c r="DG206" s="28">
        <v>10.638999999999999</v>
      </c>
      <c r="DH206" s="28">
        <v>11.956</v>
      </c>
      <c r="DI206" s="28">
        <v>1.196</v>
      </c>
      <c r="DJ206" s="28">
        <v>0.177150214013746</v>
      </c>
      <c r="DK206" s="28">
        <v>8.4000000000000005E-2</v>
      </c>
      <c r="DL206" s="28">
        <v>1.6990000000000001</v>
      </c>
      <c r="DM206" s="28">
        <v>0.19900000000000001</v>
      </c>
      <c r="DN206" s="28">
        <v>1.228</v>
      </c>
      <c r="DO206" s="28">
        <v>0.375</v>
      </c>
      <c r="DP206" s="28">
        <v>0</v>
      </c>
      <c r="DQ206" s="28">
        <v>2.29</v>
      </c>
      <c r="DR206" s="28">
        <v>6.8810000000000002</v>
      </c>
      <c r="DS206" s="28">
        <v>3.38</v>
      </c>
      <c r="DT206" s="28">
        <v>8.6999999999999994E-2</v>
      </c>
      <c r="DU206" s="28">
        <v>8.0579999999999998</v>
      </c>
      <c r="DV206" s="28">
        <v>1.909</v>
      </c>
      <c r="DW206" s="28">
        <v>0</v>
      </c>
      <c r="DX206" s="28">
        <v>0</v>
      </c>
      <c r="DY206" s="28">
        <v>21</v>
      </c>
      <c r="DZ206" s="28">
        <v>30</v>
      </c>
      <c r="EA206" s="28">
        <v>0</v>
      </c>
      <c r="EB206" s="28">
        <v>0</v>
      </c>
      <c r="EC206" s="28">
        <v>0</v>
      </c>
      <c r="ED206" s="28">
        <v>0</v>
      </c>
      <c r="EE206" s="28">
        <v>0.39761940466472201</v>
      </c>
      <c r="EF206" s="28">
        <v>0</v>
      </c>
      <c r="EG206" s="28">
        <v>0</v>
      </c>
      <c r="EH206" s="28">
        <v>0</v>
      </c>
      <c r="EI206" s="28">
        <v>0</v>
      </c>
      <c r="EJ206" s="28">
        <v>3.7024861983376001</v>
      </c>
      <c r="EK206" s="28">
        <v>0.23162036270352099</v>
      </c>
      <c r="EL206" s="28">
        <v>2.2393483819629298</v>
      </c>
      <c r="EM206" s="28">
        <v>0.135840048671175</v>
      </c>
      <c r="EN206" s="28">
        <v>0.75513236332224898</v>
      </c>
      <c r="EO206" s="28">
        <v>0.71765641642941103</v>
      </c>
      <c r="EP206" s="28">
        <v>0</v>
      </c>
      <c r="EQ206" s="28">
        <v>0.25039817927111802</v>
      </c>
      <c r="ER206" s="28">
        <v>2.90095416252684</v>
      </c>
      <c r="ES206" s="28">
        <v>5.4863901912156301</v>
      </c>
      <c r="ET206" s="28">
        <v>3.9098704263733901</v>
      </c>
      <c r="EU206" s="28">
        <v>2.3564125346024901E-2</v>
      </c>
      <c r="EV206" s="28">
        <v>1.3286537253552699</v>
      </c>
      <c r="EW206" s="28">
        <v>5.1111854013252298</v>
      </c>
      <c r="EX206" s="28">
        <v>7.5604218967874601</v>
      </c>
      <c r="EY206" s="28">
        <v>3.6603440634640401</v>
      </c>
      <c r="EZ206" s="28">
        <v>9.1903938264575995</v>
      </c>
      <c r="FA206" s="28">
        <v>3.3419413139243801</v>
      </c>
      <c r="FB206" s="28">
        <v>2.9663379714751499</v>
      </c>
      <c r="FC206" s="28">
        <v>0</v>
      </c>
      <c r="FD206" s="28">
        <v>60.468019584150802</v>
      </c>
      <c r="FE206" s="28">
        <v>0</v>
      </c>
      <c r="FF206" s="28">
        <v>0</v>
      </c>
      <c r="FG206" s="28">
        <v>42.357912596867997</v>
      </c>
      <c r="FH206" s="28">
        <v>15.2440126722055</v>
      </c>
      <c r="FI206" s="28">
        <v>410.38034674255198</v>
      </c>
      <c r="FJ206" s="28">
        <v>10.1896993257691</v>
      </c>
      <c r="FK206" s="28">
        <v>2.3487084684437902</v>
      </c>
      <c r="FL206" s="28">
        <v>39.289420637524103</v>
      </c>
      <c r="FM206" s="28">
        <v>39.577405664072501</v>
      </c>
      <c r="FN206" s="28">
        <v>4.2738880581054604</v>
      </c>
      <c r="FO206" s="28">
        <v>0.105656544058697</v>
      </c>
      <c r="FP206" s="28">
        <v>19.766366557119198</v>
      </c>
      <c r="FQ206" s="28">
        <v>11.895423401715</v>
      </c>
      <c r="FR206" s="28">
        <v>0.76336986511237803</v>
      </c>
      <c r="FS206" s="28">
        <v>11.733475816515099</v>
      </c>
      <c r="FT206" s="28">
        <v>50.502641674587501</v>
      </c>
      <c r="FU206" s="28">
        <v>13.199128103910001</v>
      </c>
      <c r="FV206" s="28">
        <v>1.1423850049337201</v>
      </c>
      <c r="FW206" s="28">
        <v>3.70966328</v>
      </c>
      <c r="FX206" s="28">
        <v>544.49967026707498</v>
      </c>
      <c r="FY206" s="28">
        <v>1.3298195100000001</v>
      </c>
      <c r="FZ206" s="28">
        <v>26.1060486020965</v>
      </c>
      <c r="GA206" s="28">
        <v>45.827391239793997</v>
      </c>
      <c r="GB206" s="28">
        <v>0</v>
      </c>
      <c r="GC206" s="28">
        <v>0</v>
      </c>
      <c r="GD206" s="28">
        <v>60.315510000000003</v>
      </c>
      <c r="GE206" s="28">
        <v>143.12616499999999</v>
      </c>
      <c r="GF206" s="28">
        <v>14.7445241765835</v>
      </c>
      <c r="GG206" s="28">
        <v>269.30117876107198</v>
      </c>
      <c r="GH206" s="28">
        <v>39.891602888446698</v>
      </c>
      <c r="GI206" s="28">
        <v>5.2194417685790002</v>
      </c>
      <c r="GJ206" s="28">
        <v>25.5829191770077</v>
      </c>
      <c r="GK206" s="28">
        <v>0.17701923281076901</v>
      </c>
      <c r="GL206" s="28">
        <v>0</v>
      </c>
      <c r="GM206" s="28">
        <v>51.247638614468997</v>
      </c>
      <c r="GN206" s="28">
        <v>0.90871435467085104</v>
      </c>
      <c r="GO206" s="28">
        <v>23.682179839723201</v>
      </c>
      <c r="GP206" s="28">
        <v>0</v>
      </c>
      <c r="GQ206" s="21">
        <v>2444.5774532723053</v>
      </c>
      <c r="GR206" s="21">
        <v>640.28588392878214</v>
      </c>
      <c r="GS206" s="20">
        <v>640.28588392878214</v>
      </c>
      <c r="GT206" s="20">
        <v>0</v>
      </c>
      <c r="GU206" s="20">
        <v>0</v>
      </c>
      <c r="GV206" s="20">
        <v>0</v>
      </c>
      <c r="GW206" s="20">
        <v>0</v>
      </c>
      <c r="GX206" s="21">
        <v>0</v>
      </c>
      <c r="GY206" s="20">
        <v>0</v>
      </c>
      <c r="GZ206" s="20">
        <v>0</v>
      </c>
      <c r="HA206" s="20"/>
      <c r="HB206" s="21">
        <v>31.129592842000001</v>
      </c>
      <c r="HC206" s="21">
        <v>3115.9929300430872</v>
      </c>
    </row>
    <row r="207" spans="2:211" s="7" customFormat="1" ht="17.25" customHeight="1">
      <c r="B207" s="26" t="s">
        <v>676</v>
      </c>
      <c r="C207" s="9" t="s">
        <v>677</v>
      </c>
      <c r="D207" s="28">
        <v>0</v>
      </c>
      <c r="E207" s="28">
        <v>29.0645131437877</v>
      </c>
      <c r="F207" s="28">
        <v>0</v>
      </c>
      <c r="G207" s="28">
        <v>1.37100311526739</v>
      </c>
      <c r="H207" s="28">
        <v>3.9493425597683598</v>
      </c>
      <c r="I207" s="28">
        <v>3.9728978099103598</v>
      </c>
      <c r="J207" s="28">
        <v>0.94252713473803496</v>
      </c>
      <c r="K207" s="28">
        <v>0</v>
      </c>
      <c r="L207" s="28">
        <v>1.17088159061786</v>
      </c>
      <c r="M207" s="28">
        <v>10.1770715284965</v>
      </c>
      <c r="N207" s="28">
        <v>0</v>
      </c>
      <c r="O207" s="28">
        <v>2.1620046219211599</v>
      </c>
      <c r="P207" s="28">
        <v>0</v>
      </c>
      <c r="Q207" s="28">
        <v>0</v>
      </c>
      <c r="R207" s="28">
        <v>5.3107838318198404</v>
      </c>
      <c r="S207" s="28">
        <v>17.000533413964099</v>
      </c>
      <c r="T207" s="28">
        <v>0.96707991129002002</v>
      </c>
      <c r="U207" s="28">
        <v>2.1058979755098401</v>
      </c>
      <c r="V207" s="28">
        <v>0</v>
      </c>
      <c r="W207" s="28">
        <v>0</v>
      </c>
      <c r="X207" s="28">
        <v>0.59265368611513303</v>
      </c>
      <c r="Y207" s="28">
        <v>0.15976591409030599</v>
      </c>
      <c r="Z207" s="28">
        <v>1.5218592931328601</v>
      </c>
      <c r="AA207" s="28">
        <v>0.25881133567902198</v>
      </c>
      <c r="AB207" s="28">
        <v>0.10696648879156399</v>
      </c>
      <c r="AC207" s="28">
        <v>4.2917313519079698</v>
      </c>
      <c r="AD207" s="28">
        <v>0</v>
      </c>
      <c r="AE207" s="28">
        <v>0</v>
      </c>
      <c r="AF207" s="28">
        <v>25.53616585847</v>
      </c>
      <c r="AG207" s="28">
        <v>6.0676344561591602</v>
      </c>
      <c r="AH207" s="28">
        <v>0.70682328984498599</v>
      </c>
      <c r="AI207" s="28">
        <v>1.28329900602194</v>
      </c>
      <c r="AJ207" s="28">
        <v>0</v>
      </c>
      <c r="AK207" s="28">
        <v>0.76523628544724298</v>
      </c>
      <c r="AL207" s="28">
        <v>21.269337267469801</v>
      </c>
      <c r="AM207" s="28">
        <v>1.0033528058871</v>
      </c>
      <c r="AN207" s="28">
        <v>6.0581492086349997E-2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7.33385694470548</v>
      </c>
      <c r="AU207" s="28">
        <v>1.2320607215225701</v>
      </c>
      <c r="AV207" s="28">
        <v>0</v>
      </c>
      <c r="AW207" s="28">
        <v>4.2734105824607003</v>
      </c>
      <c r="AX207" s="28">
        <v>2.4030965529244002</v>
      </c>
      <c r="AY207" s="28">
        <v>0</v>
      </c>
      <c r="AZ207" s="28">
        <v>0</v>
      </c>
      <c r="BA207" s="28">
        <v>2.70868661434936</v>
      </c>
      <c r="BB207" s="28">
        <v>0</v>
      </c>
      <c r="BC207" s="28">
        <v>0.882182429821601</v>
      </c>
      <c r="BD207" s="28">
        <v>0.90103763634384004</v>
      </c>
      <c r="BE207" s="28">
        <v>0</v>
      </c>
      <c r="BF207" s="28">
        <v>0</v>
      </c>
      <c r="BG207" s="28">
        <v>0</v>
      </c>
      <c r="BH207" s="28">
        <v>0.17353922176060599</v>
      </c>
      <c r="BI207" s="28">
        <v>3.4530794133235197E-2</v>
      </c>
      <c r="BJ207" s="28">
        <v>4.4108673831318201</v>
      </c>
      <c r="BK207" s="28">
        <v>0</v>
      </c>
      <c r="BL207" s="28">
        <v>8.9092407392772494E-2</v>
      </c>
      <c r="BM207" s="28">
        <v>1.59945223421416E-2</v>
      </c>
      <c r="BN207" s="28">
        <v>0.15654475267534501</v>
      </c>
      <c r="BO207" s="28">
        <v>12.257453629787999</v>
      </c>
      <c r="BP207" s="28">
        <v>5.5364372235281096E-4</v>
      </c>
      <c r="BQ207" s="28">
        <v>0.55015706220091498</v>
      </c>
      <c r="BR207" s="28">
        <v>0.59048226600972098</v>
      </c>
      <c r="BS207" s="28">
        <v>0</v>
      </c>
      <c r="BT207" s="28">
        <v>0</v>
      </c>
      <c r="BU207" s="28">
        <v>1.10302651674908</v>
      </c>
      <c r="BV207" s="28">
        <v>2.5810649700133399</v>
      </c>
      <c r="BW207" s="28">
        <v>0</v>
      </c>
      <c r="BX207" s="28">
        <v>0</v>
      </c>
      <c r="BY207" s="28">
        <v>11.119200862220801</v>
      </c>
      <c r="BZ207" s="28">
        <v>0</v>
      </c>
      <c r="CA207" s="28">
        <v>10</v>
      </c>
      <c r="CB207" s="28">
        <v>3.4975919948287002</v>
      </c>
      <c r="CC207" s="28">
        <v>0.19172181981837499</v>
      </c>
      <c r="CD207" s="28">
        <v>2.5188665950698099</v>
      </c>
      <c r="CE207" s="28">
        <v>0.85647831820485798</v>
      </c>
      <c r="CF207" s="28">
        <v>0</v>
      </c>
      <c r="CG207" s="28">
        <v>0</v>
      </c>
      <c r="CH207" s="28">
        <v>0.27020228859364298</v>
      </c>
      <c r="CI207" s="28">
        <v>0.18203620612621299</v>
      </c>
      <c r="CJ207" s="28">
        <v>0</v>
      </c>
      <c r="CK207" s="28">
        <v>4.5506007969379397E-2</v>
      </c>
      <c r="CL207" s="28">
        <v>2.39073938827286</v>
      </c>
      <c r="CM207" s="28">
        <v>16.390810112101899</v>
      </c>
      <c r="CN207" s="28">
        <v>0.30915886163711498</v>
      </c>
      <c r="CO207" s="28">
        <v>9.2817299067974104E-2</v>
      </c>
      <c r="CP207" s="28">
        <v>0.27497419213284202</v>
      </c>
      <c r="CQ207" s="28">
        <v>3.8224388845264899E-3</v>
      </c>
      <c r="CR207" s="28">
        <v>0.63816300000000004</v>
      </c>
      <c r="CS207" s="28">
        <v>0.23993999999999999</v>
      </c>
      <c r="CT207" s="28">
        <v>13.071999999999999</v>
      </c>
      <c r="CU207" s="28">
        <v>0.34399999999999997</v>
      </c>
      <c r="CV207" s="28">
        <v>4.3E-3</v>
      </c>
      <c r="CW207" s="28">
        <v>0.47966500000000001</v>
      </c>
      <c r="CX207" s="28">
        <v>0.34159200000000001</v>
      </c>
      <c r="CY207" s="28">
        <v>0.44887700000000003</v>
      </c>
      <c r="CZ207" s="28">
        <v>0</v>
      </c>
      <c r="DA207" s="28">
        <v>1.7202742253583201</v>
      </c>
      <c r="DB207" s="28">
        <v>2.0218058196987001</v>
      </c>
      <c r="DC207" s="28">
        <v>1.5686631950267</v>
      </c>
      <c r="DD207" s="28">
        <v>0</v>
      </c>
      <c r="DE207" s="28">
        <v>0</v>
      </c>
      <c r="DF207" s="28">
        <v>0.91168000000000005</v>
      </c>
      <c r="DG207" s="28">
        <v>4.8019999999999996</v>
      </c>
      <c r="DH207" s="28">
        <v>5.3983999999999996</v>
      </c>
      <c r="DI207" s="28">
        <v>0.53983999999999999</v>
      </c>
      <c r="DJ207" s="28">
        <v>0</v>
      </c>
      <c r="DK207" s="28">
        <v>2.4753000000000001E-2</v>
      </c>
      <c r="DL207" s="28">
        <v>0.50116499999999997</v>
      </c>
      <c r="DM207" s="28">
        <v>5.8681999999999998E-2</v>
      </c>
      <c r="DN207" s="28">
        <v>0.36223</v>
      </c>
      <c r="DO207" s="28">
        <v>0.110556</v>
      </c>
      <c r="DP207" s="28">
        <v>0</v>
      </c>
      <c r="DQ207" s="28">
        <v>0.67554599999999998</v>
      </c>
      <c r="DR207" s="28">
        <v>2.02982</v>
      </c>
      <c r="DS207" s="28">
        <v>0.99700200000000005</v>
      </c>
      <c r="DT207" s="28">
        <v>2.5714999999999998E-2</v>
      </c>
      <c r="DU207" s="28">
        <v>2.3767320000000001</v>
      </c>
      <c r="DV207" s="28">
        <v>0.56299200000000005</v>
      </c>
      <c r="DW207" s="28">
        <v>0</v>
      </c>
      <c r="DX207" s="28">
        <v>1.15035451996223</v>
      </c>
      <c r="DY207" s="28">
        <v>2.4666634922930899</v>
      </c>
      <c r="DZ207" s="28">
        <v>26.850367672213199</v>
      </c>
      <c r="EA207" s="28">
        <v>0.105172578309634</v>
      </c>
      <c r="EB207" s="28">
        <v>5.3310323934341799</v>
      </c>
      <c r="EC207" s="28">
        <v>4.4451218283750702</v>
      </c>
      <c r="ED207" s="28">
        <v>0.53544694353080302</v>
      </c>
      <c r="EE207" s="28">
        <v>2.8373856925262899</v>
      </c>
      <c r="EF207" s="28">
        <v>6.0830011388280002E-2</v>
      </c>
      <c r="EG207" s="28">
        <v>0</v>
      </c>
      <c r="EH207" s="28">
        <v>0</v>
      </c>
      <c r="EI207" s="28">
        <v>8.2850014046495099E-2</v>
      </c>
      <c r="EJ207" s="28">
        <v>9.84915254728155</v>
      </c>
      <c r="EK207" s="28">
        <v>0.71556362527383799</v>
      </c>
      <c r="EL207" s="28">
        <v>0</v>
      </c>
      <c r="EM207" s="28">
        <v>0</v>
      </c>
      <c r="EN207" s="28">
        <v>5.5484728169330998E-4</v>
      </c>
      <c r="EO207" s="28">
        <v>0.15645531333878901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  <c r="EU207" s="28">
        <v>0</v>
      </c>
      <c r="EV207" s="28">
        <v>0</v>
      </c>
      <c r="EW207" s="28">
        <v>0</v>
      </c>
      <c r="EX207" s="28">
        <v>11.5154475163149</v>
      </c>
      <c r="EY207" s="28">
        <v>6.0243119109904697</v>
      </c>
      <c r="EZ207" s="28">
        <v>6.4845524836850998</v>
      </c>
      <c r="FA207" s="28">
        <v>4.9360820139530901</v>
      </c>
      <c r="FB207" s="28">
        <v>1.57428802155294</v>
      </c>
      <c r="FC207" s="28">
        <v>33.382347473261802</v>
      </c>
      <c r="FD207" s="28">
        <v>16.174359260779902</v>
      </c>
      <c r="FE207" s="28">
        <v>0</v>
      </c>
      <c r="FF207" s="28">
        <v>2.1012579323962601E-3</v>
      </c>
      <c r="FG207" s="28">
        <v>36.356001071798097</v>
      </c>
      <c r="FH207" s="28">
        <v>9.6408255120173507</v>
      </c>
      <c r="FI207" s="28">
        <v>192.27715182948899</v>
      </c>
      <c r="FJ207" s="28">
        <v>2.90107175748359</v>
      </c>
      <c r="FK207" s="28">
        <v>3.5384959215234502</v>
      </c>
      <c r="FL207" s="28">
        <v>12.258000634466701</v>
      </c>
      <c r="FM207" s="28">
        <v>0.85448983535359702</v>
      </c>
      <c r="FN207" s="28">
        <v>40.640605097488397</v>
      </c>
      <c r="FO207" s="28">
        <v>0.64913955220624797</v>
      </c>
      <c r="FP207" s="28">
        <v>1.4442180975162999</v>
      </c>
      <c r="FQ207" s="28">
        <v>19.902909270294</v>
      </c>
      <c r="FR207" s="28">
        <v>1.23414292049559</v>
      </c>
      <c r="FS207" s="28">
        <v>1.9341751246936301</v>
      </c>
      <c r="FT207" s="28">
        <v>49.697364977229</v>
      </c>
      <c r="FU207" s="28">
        <v>16.5038475721358</v>
      </c>
      <c r="FV207" s="28">
        <v>0.82910690925347597</v>
      </c>
      <c r="FW207" s="28">
        <v>1.54836763497084</v>
      </c>
      <c r="FX207" s="28">
        <v>50.513461186354903</v>
      </c>
      <c r="FY207" s="28">
        <v>138.909860664197</v>
      </c>
      <c r="FZ207" s="28">
        <v>7.5591604436628304</v>
      </c>
      <c r="GA207" s="28">
        <v>29.083747255734401</v>
      </c>
      <c r="GB207" s="28">
        <v>5.1372320553492496</v>
      </c>
      <c r="GC207" s="28">
        <v>3.6888029776908802</v>
      </c>
      <c r="GD207" s="28">
        <v>66.606254173352298</v>
      </c>
      <c r="GE207" s="28">
        <v>103.567861906863</v>
      </c>
      <c r="GF207" s="28">
        <v>3.1315176033123602</v>
      </c>
      <c r="GG207" s="28">
        <v>109.285920465288</v>
      </c>
      <c r="GH207" s="28">
        <v>31.8546147830838</v>
      </c>
      <c r="GI207" s="28">
        <v>3.85587589212918</v>
      </c>
      <c r="GJ207" s="28">
        <v>19.638456156394199</v>
      </c>
      <c r="GK207" s="28">
        <v>9.3169801927562492</v>
      </c>
      <c r="GL207" s="28">
        <v>12.854635109004301</v>
      </c>
      <c r="GM207" s="28">
        <v>36.135620129766501</v>
      </c>
      <c r="GN207" s="28">
        <v>3.0034310604069798</v>
      </c>
      <c r="GO207" s="28">
        <v>16.6987255934059</v>
      </c>
      <c r="GP207" s="28">
        <v>0</v>
      </c>
      <c r="GQ207" s="21">
        <v>1449.6492262301488</v>
      </c>
      <c r="GR207" s="21">
        <v>866.32790185863075</v>
      </c>
      <c r="GS207" s="20">
        <v>866.32790185863075</v>
      </c>
      <c r="GT207" s="20">
        <v>0</v>
      </c>
      <c r="GU207" s="20">
        <v>0</v>
      </c>
      <c r="GV207" s="20">
        <v>0</v>
      </c>
      <c r="GW207" s="20">
        <v>0</v>
      </c>
      <c r="GX207" s="21">
        <v>0</v>
      </c>
      <c r="GY207" s="20">
        <v>0</v>
      </c>
      <c r="GZ207" s="20">
        <v>0</v>
      </c>
      <c r="HA207" s="20"/>
      <c r="HB207" s="21">
        <v>0</v>
      </c>
      <c r="HC207" s="21">
        <v>2315.9771280887794</v>
      </c>
    </row>
    <row r="208" spans="2:211" s="7" customFormat="1" ht="17.25" customHeight="1">
      <c r="B208" s="26" t="s">
        <v>678</v>
      </c>
      <c r="C208" s="10" t="s">
        <v>679</v>
      </c>
      <c r="D208" s="28">
        <v>0</v>
      </c>
      <c r="E208" s="28">
        <v>4.1958446911028302</v>
      </c>
      <c r="F208" s="28">
        <v>0</v>
      </c>
      <c r="G208" s="28">
        <v>1.2622649545372999</v>
      </c>
      <c r="H208" s="28">
        <v>3.6361089563869902</v>
      </c>
      <c r="I208" s="28">
        <v>3.65779597257134</v>
      </c>
      <c r="J208" s="28">
        <v>0.86777262402371802</v>
      </c>
      <c r="K208" s="28">
        <v>0</v>
      </c>
      <c r="L208" s="28">
        <v>1.0780156378139001</v>
      </c>
      <c r="M208" s="28">
        <v>9.3698990083877405</v>
      </c>
      <c r="N208" s="28">
        <v>0</v>
      </c>
      <c r="O208" s="28">
        <v>1.9905298794791499</v>
      </c>
      <c r="P208" s="28">
        <v>0</v>
      </c>
      <c r="Q208" s="28">
        <v>0</v>
      </c>
      <c r="R208" s="28">
        <v>4.88957044471928</v>
      </c>
      <c r="S208" s="28">
        <v>15.6511368662848</v>
      </c>
      <c r="T208" s="28">
        <v>0.890378049958225</v>
      </c>
      <c r="U208" s="28">
        <v>1.93887321094722</v>
      </c>
      <c r="V208" s="28">
        <v>0</v>
      </c>
      <c r="W208" s="28">
        <v>0</v>
      </c>
      <c r="X208" s="28">
        <v>0.54564863480604098</v>
      </c>
      <c r="Y208" s="28">
        <v>0.14709442454219299</v>
      </c>
      <c r="Z208" s="28">
        <v>1.40115629940335</v>
      </c>
      <c r="AA208" s="28">
        <v>0.238284271732602</v>
      </c>
      <c r="AB208" s="28">
        <v>9.8482671999738203E-2</v>
      </c>
      <c r="AC208" s="28">
        <v>3.95134191853814</v>
      </c>
      <c r="AD208" s="28">
        <v>0</v>
      </c>
      <c r="AE208" s="28">
        <v>0</v>
      </c>
      <c r="AF208" s="28">
        <v>15.166430627212099</v>
      </c>
      <c r="AG208" s="28">
        <v>3.6036873178475402</v>
      </c>
      <c r="AH208" s="28">
        <v>0.41979623920621301</v>
      </c>
      <c r="AI208" s="28">
        <v>0.76217649339657501</v>
      </c>
      <c r="AJ208" s="28">
        <v>0</v>
      </c>
      <c r="AK208" s="28">
        <v>0.45448886496841001</v>
      </c>
      <c r="AL208" s="28">
        <v>9.7634492925430898</v>
      </c>
      <c r="AM208" s="28">
        <v>0.59591094487107399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5.0874668015271904</v>
      </c>
      <c r="AU208" s="28">
        <v>0</v>
      </c>
      <c r="AV208" s="28">
        <v>0</v>
      </c>
      <c r="AW208" s="28">
        <v>0</v>
      </c>
      <c r="AX208" s="28">
        <v>3.3722272238747499</v>
      </c>
      <c r="AY208" s="28">
        <v>0</v>
      </c>
      <c r="AZ208" s="28">
        <v>0</v>
      </c>
      <c r="BA208" s="28">
        <v>3.3494669384136401E-2</v>
      </c>
      <c r="BB208" s="28">
        <v>0</v>
      </c>
      <c r="BC208" s="28">
        <v>3.0286752751298098</v>
      </c>
      <c r="BD208" s="28">
        <v>3.8371731676743099E-3</v>
      </c>
      <c r="BE208" s="28">
        <v>1.7170431244834801</v>
      </c>
      <c r="BF208" s="28">
        <v>0</v>
      </c>
      <c r="BG208" s="28">
        <v>0</v>
      </c>
      <c r="BH208" s="28">
        <v>0</v>
      </c>
      <c r="BI208" s="28">
        <v>0</v>
      </c>
      <c r="BJ208" s="28">
        <v>2.3768022490932399</v>
      </c>
      <c r="BK208" s="28">
        <v>0</v>
      </c>
      <c r="BL208" s="28">
        <v>1.9796085979481499</v>
      </c>
      <c r="BM208" s="28">
        <v>4.4479312586010199E-2</v>
      </c>
      <c r="BN208" s="28">
        <v>0.83305146742762304</v>
      </c>
      <c r="BO208" s="28">
        <v>2.2128555735596902</v>
      </c>
      <c r="BP208" s="28">
        <v>4.6974163526080298E-3</v>
      </c>
      <c r="BQ208" s="28">
        <v>2.5067858879621401</v>
      </c>
      <c r="BR208" s="28">
        <v>4.39400886226076</v>
      </c>
      <c r="BS208" s="28">
        <v>0</v>
      </c>
      <c r="BT208" s="28">
        <v>0</v>
      </c>
      <c r="BU208" s="28">
        <v>3.9896842633476202</v>
      </c>
      <c r="BV208" s="28">
        <v>1.59839215653981</v>
      </c>
      <c r="BW208" s="28">
        <v>0</v>
      </c>
      <c r="BX208" s="28">
        <v>0</v>
      </c>
      <c r="BY208" s="28">
        <v>0</v>
      </c>
      <c r="BZ208" s="28">
        <v>0</v>
      </c>
      <c r="CA208" s="28">
        <v>4.7400472401292397</v>
      </c>
      <c r="CB208" s="28">
        <v>6.3938950481655903</v>
      </c>
      <c r="CC208" s="28">
        <v>0</v>
      </c>
      <c r="CD208" s="28">
        <v>4.6047019415125998</v>
      </c>
      <c r="CE208" s="28">
        <v>1.8649920711808701</v>
      </c>
      <c r="CF208" s="28">
        <v>0</v>
      </c>
      <c r="CG208" s="28">
        <v>0</v>
      </c>
      <c r="CH208" s="28">
        <v>0.52026742241716095</v>
      </c>
      <c r="CI208" s="28">
        <v>4.5551478717623199</v>
      </c>
      <c r="CJ208" s="28">
        <v>0</v>
      </c>
      <c r="CK208" s="28">
        <v>7.6100161373856501E-2</v>
      </c>
      <c r="CL208" s="28">
        <v>0</v>
      </c>
      <c r="CM208" s="28">
        <v>11.0209060412875</v>
      </c>
      <c r="CN208" s="28">
        <v>0</v>
      </c>
      <c r="CO208" s="28">
        <v>0.58465678959572198</v>
      </c>
      <c r="CP208" s="28">
        <v>0</v>
      </c>
      <c r="CQ208" s="28">
        <v>0</v>
      </c>
      <c r="CR208" s="28">
        <v>0.88149999999999995</v>
      </c>
      <c r="CS208" s="28">
        <v>0.33139999999999997</v>
      </c>
      <c r="CT208" s="28">
        <v>18.054539999999999</v>
      </c>
      <c r="CU208" s="28">
        <v>0.4773</v>
      </c>
      <c r="CV208" s="28">
        <v>0</v>
      </c>
      <c r="CW208" s="28">
        <v>0.66249999999999998</v>
      </c>
      <c r="CX208" s="28">
        <v>0.4718</v>
      </c>
      <c r="CY208" s="28">
        <v>0.62</v>
      </c>
      <c r="CZ208" s="28">
        <v>0</v>
      </c>
      <c r="DA208" s="28">
        <v>1.23</v>
      </c>
      <c r="DB208" s="28">
        <v>1.24</v>
      </c>
      <c r="DC208" s="28">
        <v>1.28</v>
      </c>
      <c r="DD208" s="28">
        <v>0.05</v>
      </c>
      <c r="DE208" s="28">
        <v>0</v>
      </c>
      <c r="DF208" s="28">
        <v>0.95799999999999996</v>
      </c>
      <c r="DG208" s="28">
        <v>5.0460000000000003</v>
      </c>
      <c r="DH208" s="28">
        <v>5.67</v>
      </c>
      <c r="DI208" s="28">
        <v>0.56699999999999995</v>
      </c>
      <c r="DJ208" s="28">
        <v>8.48054870567444E-2</v>
      </c>
      <c r="DK208" s="28">
        <v>0.04</v>
      </c>
      <c r="DL208" s="28">
        <v>0.81</v>
      </c>
      <c r="DM208" s="28">
        <v>0.09</v>
      </c>
      <c r="DN208" s="28">
        <v>0.57999999999999996</v>
      </c>
      <c r="DO208" s="28">
        <v>0.18</v>
      </c>
      <c r="DP208" s="28">
        <v>0</v>
      </c>
      <c r="DQ208" s="28">
        <v>1.0900000000000001</v>
      </c>
      <c r="DR208" s="28">
        <v>3.26</v>
      </c>
      <c r="DS208" s="28">
        <v>1.6</v>
      </c>
      <c r="DT208" s="28">
        <v>0.04</v>
      </c>
      <c r="DU208" s="28">
        <v>3.82</v>
      </c>
      <c r="DV208" s="28">
        <v>0.91</v>
      </c>
      <c r="DW208" s="28">
        <v>0</v>
      </c>
      <c r="DX208" s="28">
        <v>0</v>
      </c>
      <c r="DY208" s="28">
        <v>9</v>
      </c>
      <c r="DZ208" s="28">
        <v>15</v>
      </c>
      <c r="EA208" s="28">
        <v>0</v>
      </c>
      <c r="EB208" s="28">
        <v>0</v>
      </c>
      <c r="EC208" s="28">
        <v>0</v>
      </c>
      <c r="ED208" s="28">
        <v>0.64985739735296799</v>
      </c>
      <c r="EE208" s="28">
        <v>0</v>
      </c>
      <c r="EF208" s="28">
        <v>4.1433395944928302</v>
      </c>
      <c r="EG208" s="28">
        <v>0</v>
      </c>
      <c r="EH208" s="28">
        <v>0</v>
      </c>
      <c r="EI208" s="28">
        <v>0.14866873949054499</v>
      </c>
      <c r="EJ208" s="28">
        <v>3.1680689316856498</v>
      </c>
      <c r="EK208" s="28">
        <v>0.109847526819005</v>
      </c>
      <c r="EL208" s="28">
        <v>1.06203868335054</v>
      </c>
      <c r="EM208" s="28">
        <v>6.4423844093572005E-2</v>
      </c>
      <c r="EN208" s="28">
        <v>0.35813124466052898</v>
      </c>
      <c r="EO208" s="28">
        <v>0.34035748662952497</v>
      </c>
      <c r="EP208" s="28">
        <v>0</v>
      </c>
      <c r="EQ208" s="28">
        <v>0.11875425731662199</v>
      </c>
      <c r="ER208" s="28">
        <v>1.3758135775927001</v>
      </c>
      <c r="ES208" s="28">
        <v>2.6019877899930299</v>
      </c>
      <c r="ET208" s="28">
        <v>1.85430396951484</v>
      </c>
      <c r="EU208" s="28">
        <v>1.11755752498961E-2</v>
      </c>
      <c r="EV208" s="28">
        <v>0.63013031337772296</v>
      </c>
      <c r="EW208" s="28">
        <v>2.4240423198358299</v>
      </c>
      <c r="EX208" s="28">
        <v>1.9144154458196101</v>
      </c>
      <c r="EY208" s="28">
        <v>1.27316315250923</v>
      </c>
      <c r="EZ208" s="28">
        <v>4.6062904224017602</v>
      </c>
      <c r="FA208" s="28">
        <v>1.16241437006065</v>
      </c>
      <c r="FB208" s="28">
        <v>1.03176972920875</v>
      </c>
      <c r="FC208" s="28">
        <v>3.00427477804751E-3</v>
      </c>
      <c r="FD208" s="28">
        <v>0</v>
      </c>
      <c r="FE208" s="28">
        <v>0</v>
      </c>
      <c r="FF208" s="28">
        <v>28.674695115785799</v>
      </c>
      <c r="FG208" s="28">
        <v>27.3172188697095</v>
      </c>
      <c r="FH208" s="28">
        <v>0</v>
      </c>
      <c r="FI208" s="28">
        <v>169.45239695383501</v>
      </c>
      <c r="FJ208" s="28">
        <v>30.008101947376002</v>
      </c>
      <c r="FK208" s="28">
        <v>1.11390377719196</v>
      </c>
      <c r="FL208" s="28">
        <v>18.633489272859499</v>
      </c>
      <c r="FM208" s="28">
        <v>18.7700697012767</v>
      </c>
      <c r="FN208" s="28">
        <v>2.0269437928044001</v>
      </c>
      <c r="FO208" s="28">
        <v>5.0108910958204599E-2</v>
      </c>
      <c r="FP208" s="28">
        <v>9.3744415985030294</v>
      </c>
      <c r="FQ208" s="28">
        <v>5.6415503398969804</v>
      </c>
      <c r="FR208" s="28">
        <v>0.36203751447560401</v>
      </c>
      <c r="FS208" s="28">
        <v>0</v>
      </c>
      <c r="FT208" s="28">
        <v>29.516241492940502</v>
      </c>
      <c r="FU208" s="28">
        <v>6.2660529018984299</v>
      </c>
      <c r="FV208" s="28">
        <v>0.53558546115209804</v>
      </c>
      <c r="FW208" s="28">
        <v>5.7500126199999997</v>
      </c>
      <c r="FX208" s="28">
        <v>268.58098043201898</v>
      </c>
      <c r="FY208" s="28">
        <v>154.79836490296901</v>
      </c>
      <c r="FZ208" s="28">
        <v>36.965790455672</v>
      </c>
      <c r="GA208" s="28">
        <v>0</v>
      </c>
      <c r="GB208" s="28">
        <v>0</v>
      </c>
      <c r="GC208" s="28">
        <v>21.734201961081499</v>
      </c>
      <c r="GD208" s="28">
        <v>33.734201961081503</v>
      </c>
      <c r="GE208" s="28">
        <v>0.29911166172543402</v>
      </c>
      <c r="GF208" s="28">
        <v>43.448912626225002</v>
      </c>
      <c r="GG208" s="28">
        <v>79.156732624979</v>
      </c>
      <c r="GH208" s="28">
        <v>18.919081585772201</v>
      </c>
      <c r="GI208" s="28">
        <v>0</v>
      </c>
      <c r="GJ208" s="28">
        <v>12.1330129668016</v>
      </c>
      <c r="GK208" s="28">
        <v>0</v>
      </c>
      <c r="GL208" s="28">
        <v>5.8612483616735904</v>
      </c>
      <c r="GM208" s="28">
        <v>20.3379759831274</v>
      </c>
      <c r="GN208" s="28">
        <v>1.78379671692834</v>
      </c>
      <c r="GO208" s="28">
        <v>9.3984350856003704</v>
      </c>
      <c r="GP208" s="28">
        <v>0</v>
      </c>
      <c r="GQ208" s="21">
        <v>1317.8615046689602</v>
      </c>
      <c r="GR208" s="21">
        <v>1052.8444548518937</v>
      </c>
      <c r="GS208" s="20">
        <v>1052.8444548518937</v>
      </c>
      <c r="GT208" s="20">
        <v>0</v>
      </c>
      <c r="GU208" s="20">
        <v>0</v>
      </c>
      <c r="GV208" s="20">
        <v>0</v>
      </c>
      <c r="GW208" s="20">
        <v>0</v>
      </c>
      <c r="GX208" s="21">
        <v>0</v>
      </c>
      <c r="GY208" s="20">
        <v>0</v>
      </c>
      <c r="GZ208" s="20">
        <v>0</v>
      </c>
      <c r="HA208" s="20"/>
      <c r="HB208" s="21">
        <v>0</v>
      </c>
      <c r="HC208" s="21">
        <v>2370.7059595208539</v>
      </c>
    </row>
    <row r="209" spans="2:211" s="7" customFormat="1" ht="17.25" customHeight="1">
      <c r="B209" s="26" t="s">
        <v>680</v>
      </c>
      <c r="C209" s="10" t="s">
        <v>681</v>
      </c>
      <c r="D209" s="28">
        <v>0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  <c r="EU209" s="28">
        <v>0</v>
      </c>
      <c r="EV209" s="28">
        <v>0</v>
      </c>
      <c r="EW209" s="28">
        <v>0</v>
      </c>
      <c r="EX209" s="28">
        <v>0</v>
      </c>
      <c r="EY209" s="28">
        <v>0</v>
      </c>
      <c r="EZ209" s="28">
        <v>0</v>
      </c>
      <c r="FA209" s="28">
        <v>0</v>
      </c>
      <c r="FB209" s="28">
        <v>0</v>
      </c>
      <c r="FC209" s="28">
        <v>0</v>
      </c>
      <c r="FD209" s="28">
        <v>0</v>
      </c>
      <c r="FE209" s="28">
        <v>0</v>
      </c>
      <c r="FF209" s="28">
        <v>0</v>
      </c>
      <c r="FG209" s="28">
        <v>0</v>
      </c>
      <c r="FH209" s="28">
        <v>0</v>
      </c>
      <c r="FI209" s="28">
        <v>0</v>
      </c>
      <c r="FJ209" s="28">
        <v>0</v>
      </c>
      <c r="FK209" s="28">
        <v>0</v>
      </c>
      <c r="FL209" s="28">
        <v>0</v>
      </c>
      <c r="FM209" s="28">
        <v>0</v>
      </c>
      <c r="FN209" s="28">
        <v>0</v>
      </c>
      <c r="FO209" s="28">
        <v>0</v>
      </c>
      <c r="FP209" s="28">
        <v>0</v>
      </c>
      <c r="FQ209" s="28">
        <v>0</v>
      </c>
      <c r="FR209" s="28">
        <v>0</v>
      </c>
      <c r="FS209" s="28">
        <v>0</v>
      </c>
      <c r="FT209" s="28">
        <v>0</v>
      </c>
      <c r="FU209" s="28">
        <v>0</v>
      </c>
      <c r="FV209" s="28">
        <v>0</v>
      </c>
      <c r="FW209" s="28">
        <v>0</v>
      </c>
      <c r="FX209" s="28">
        <v>0</v>
      </c>
      <c r="FY209" s="28">
        <v>917.78132696</v>
      </c>
      <c r="FZ209" s="28">
        <v>0</v>
      </c>
      <c r="GA209" s="28">
        <v>0</v>
      </c>
      <c r="GB209" s="28">
        <v>0</v>
      </c>
      <c r="GC209" s="28">
        <v>0</v>
      </c>
      <c r="GD209" s="28">
        <v>0</v>
      </c>
      <c r="GE209" s="28">
        <v>0</v>
      </c>
      <c r="GF209" s="28">
        <v>0</v>
      </c>
      <c r="GG209" s="28">
        <v>0</v>
      </c>
      <c r="GH209" s="28">
        <v>0</v>
      </c>
      <c r="GI209" s="28">
        <v>0</v>
      </c>
      <c r="GJ209" s="28">
        <v>0</v>
      </c>
      <c r="GK209" s="28">
        <v>0</v>
      </c>
      <c r="GL209" s="28">
        <v>0</v>
      </c>
      <c r="GM209" s="28">
        <v>0</v>
      </c>
      <c r="GN209" s="28">
        <v>0</v>
      </c>
      <c r="GO209" s="28">
        <v>0</v>
      </c>
      <c r="GP209" s="28">
        <v>0</v>
      </c>
      <c r="GQ209" s="21">
        <v>917.78132696</v>
      </c>
      <c r="GR209" s="21">
        <v>0</v>
      </c>
      <c r="GS209" s="20">
        <v>0</v>
      </c>
      <c r="GT209" s="20">
        <v>0</v>
      </c>
      <c r="GU209" s="20">
        <v>0</v>
      </c>
      <c r="GV209" s="20">
        <v>0</v>
      </c>
      <c r="GW209" s="20">
        <v>0</v>
      </c>
      <c r="GX209" s="21">
        <v>0</v>
      </c>
      <c r="GY209" s="20">
        <v>0</v>
      </c>
      <c r="GZ209" s="20">
        <v>0</v>
      </c>
      <c r="HA209" s="20"/>
      <c r="HB209" s="21">
        <v>0</v>
      </c>
      <c r="HC209" s="21">
        <v>917.78132696</v>
      </c>
    </row>
    <row r="210" spans="2:211" s="7" customFormat="1" ht="17.25" customHeight="1">
      <c r="B210" s="26" t="s">
        <v>186</v>
      </c>
      <c r="C210" s="10" t="s">
        <v>682</v>
      </c>
      <c r="D210" s="28">
        <v>0</v>
      </c>
      <c r="E210" s="28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0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  <c r="BP210" s="28">
        <v>0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0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  <c r="CR210" s="28">
        <v>0</v>
      </c>
      <c r="CS210" s="28">
        <v>0</v>
      </c>
      <c r="CT210" s="28">
        <v>0</v>
      </c>
      <c r="CU210" s="28">
        <v>0</v>
      </c>
      <c r="CV210" s="28">
        <v>0</v>
      </c>
      <c r="CW210" s="28">
        <v>0</v>
      </c>
      <c r="CX210" s="28">
        <v>0</v>
      </c>
      <c r="CY210" s="28">
        <v>0</v>
      </c>
      <c r="CZ210" s="28">
        <v>0</v>
      </c>
      <c r="DA210" s="28">
        <v>2.87269430493855</v>
      </c>
      <c r="DB210" s="28">
        <v>2.57888694866232</v>
      </c>
      <c r="DC210" s="28">
        <v>0.119942028657787</v>
      </c>
      <c r="DD210" s="28">
        <v>0</v>
      </c>
      <c r="DE210" s="28">
        <v>0</v>
      </c>
      <c r="DF210" s="28">
        <v>0</v>
      </c>
      <c r="DG210" s="28">
        <v>0</v>
      </c>
      <c r="DH210" s="28">
        <v>0</v>
      </c>
      <c r="DI210" s="28">
        <v>0</v>
      </c>
      <c r="DJ210" s="28">
        <v>0</v>
      </c>
      <c r="DK210" s="28">
        <v>0</v>
      </c>
      <c r="DL210" s="28">
        <v>0</v>
      </c>
      <c r="DM210" s="28">
        <v>0</v>
      </c>
      <c r="DN210" s="28">
        <v>0</v>
      </c>
      <c r="DO210" s="28">
        <v>0</v>
      </c>
      <c r="DP210" s="28">
        <v>0</v>
      </c>
      <c r="DQ210" s="28">
        <v>0</v>
      </c>
      <c r="DR210" s="28">
        <v>0</v>
      </c>
      <c r="DS210" s="28">
        <v>0</v>
      </c>
      <c r="DT210" s="28">
        <v>0</v>
      </c>
      <c r="DU210" s="28">
        <v>0</v>
      </c>
      <c r="DV210" s="28">
        <v>0</v>
      </c>
      <c r="DW210" s="28">
        <v>0</v>
      </c>
      <c r="DX210" s="28">
        <v>0</v>
      </c>
      <c r="DY210" s="28">
        <v>0</v>
      </c>
      <c r="DZ210" s="28">
        <v>0</v>
      </c>
      <c r="EA210" s="28">
        <v>0</v>
      </c>
      <c r="EB210" s="28">
        <v>0</v>
      </c>
      <c r="EC210" s="28">
        <v>0</v>
      </c>
      <c r="ED210" s="28">
        <v>0</v>
      </c>
      <c r="EE210" s="28">
        <v>0</v>
      </c>
      <c r="EF210" s="28">
        <v>0</v>
      </c>
      <c r="EG210" s="28">
        <v>0</v>
      </c>
      <c r="EH210" s="28">
        <v>0</v>
      </c>
      <c r="EI210" s="28">
        <v>0</v>
      </c>
      <c r="EJ210" s="28">
        <v>0</v>
      </c>
      <c r="EK210" s="28">
        <v>0</v>
      </c>
      <c r="EL210" s="28">
        <v>0</v>
      </c>
      <c r="EM210" s="28">
        <v>0</v>
      </c>
      <c r="EN210" s="28">
        <v>0</v>
      </c>
      <c r="EO210" s="28">
        <v>0</v>
      </c>
      <c r="EP210" s="28">
        <v>0</v>
      </c>
      <c r="EQ210" s="28">
        <v>0</v>
      </c>
      <c r="ER210" s="28">
        <v>0</v>
      </c>
      <c r="ES210" s="28">
        <v>0</v>
      </c>
      <c r="ET210" s="28">
        <v>0</v>
      </c>
      <c r="EU210" s="28">
        <v>0</v>
      </c>
      <c r="EV210" s="28">
        <v>0</v>
      </c>
      <c r="EW210" s="28">
        <v>0</v>
      </c>
      <c r="EX210" s="28">
        <v>9.3765636439694499E-3</v>
      </c>
      <c r="EY210" s="28">
        <v>0</v>
      </c>
      <c r="EZ210" s="28">
        <v>0</v>
      </c>
      <c r="FA210" s="28">
        <v>0.68343896177886099</v>
      </c>
      <c r="FB210" s="28">
        <v>0.78901991036057495</v>
      </c>
      <c r="FC210" s="28">
        <v>0</v>
      </c>
      <c r="FD210" s="28">
        <v>0</v>
      </c>
      <c r="FE210" s="28">
        <v>0</v>
      </c>
      <c r="FF210" s="28">
        <v>0</v>
      </c>
      <c r="FG210" s="28">
        <v>0</v>
      </c>
      <c r="FH210" s="28">
        <v>0</v>
      </c>
      <c r="FI210" s="28">
        <v>0</v>
      </c>
      <c r="FJ210" s="28">
        <v>0</v>
      </c>
      <c r="FK210" s="28">
        <v>0</v>
      </c>
      <c r="FL210" s="28">
        <v>0</v>
      </c>
      <c r="FM210" s="28">
        <v>0</v>
      </c>
      <c r="FN210" s="28">
        <v>26.681308320660701</v>
      </c>
      <c r="FO210" s="28">
        <v>0</v>
      </c>
      <c r="FP210" s="28">
        <v>1.2616569514636</v>
      </c>
      <c r="FQ210" s="28">
        <v>42.222600875894003</v>
      </c>
      <c r="FR210" s="28">
        <v>1.5798895727426401</v>
      </c>
      <c r="FS210" s="28">
        <v>0</v>
      </c>
      <c r="FT210" s="28">
        <v>0</v>
      </c>
      <c r="FU210" s="28">
        <v>0</v>
      </c>
      <c r="FV210" s="28">
        <v>35.0299614257179</v>
      </c>
      <c r="FW210" s="28">
        <v>0</v>
      </c>
      <c r="FX210" s="28">
        <v>0</v>
      </c>
      <c r="FY210" s="28">
        <v>0</v>
      </c>
      <c r="FZ210" s="28">
        <v>0</v>
      </c>
      <c r="GA210" s="28">
        <v>0</v>
      </c>
      <c r="GB210" s="28">
        <v>82.068356034790895</v>
      </c>
      <c r="GC210" s="28">
        <v>54.2347449415509</v>
      </c>
      <c r="GD210" s="28">
        <v>0</v>
      </c>
      <c r="GE210" s="28">
        <v>10.8401897082529</v>
      </c>
      <c r="GF210" s="28">
        <v>0</v>
      </c>
      <c r="GG210" s="28">
        <v>0</v>
      </c>
      <c r="GH210" s="28">
        <v>0</v>
      </c>
      <c r="GI210" s="28">
        <v>0</v>
      </c>
      <c r="GJ210" s="28">
        <v>0</v>
      </c>
      <c r="GK210" s="28">
        <v>0</v>
      </c>
      <c r="GL210" s="28">
        <v>0</v>
      </c>
      <c r="GM210" s="28">
        <v>0</v>
      </c>
      <c r="GN210" s="28">
        <v>0</v>
      </c>
      <c r="GO210" s="28">
        <v>0</v>
      </c>
      <c r="GP210" s="28">
        <v>0</v>
      </c>
      <c r="GQ210" s="21">
        <v>260.97206654911577</v>
      </c>
      <c r="GR210" s="21">
        <v>20904.179148752457</v>
      </c>
      <c r="GS210" s="20">
        <v>20904.179148752457</v>
      </c>
      <c r="GT210" s="20">
        <v>0</v>
      </c>
      <c r="GU210" s="20">
        <v>0</v>
      </c>
      <c r="GV210" s="20">
        <v>0</v>
      </c>
      <c r="GW210" s="20">
        <v>0</v>
      </c>
      <c r="GX210" s="21">
        <v>0</v>
      </c>
      <c r="GY210" s="20">
        <v>0</v>
      </c>
      <c r="GZ210" s="20">
        <v>0</v>
      </c>
      <c r="HA210" s="20"/>
      <c r="HB210" s="21">
        <v>0</v>
      </c>
      <c r="HC210" s="21">
        <v>21165.151215301572</v>
      </c>
    </row>
    <row r="211" spans="2:211" s="7" customFormat="1" ht="17.25" customHeight="1">
      <c r="B211" s="26" t="s">
        <v>187</v>
      </c>
      <c r="C211" s="9" t="s">
        <v>381</v>
      </c>
      <c r="D211" s="28">
        <v>0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3.7395357012205997E-2</v>
      </c>
      <c r="T211" s="28">
        <v>0</v>
      </c>
      <c r="U211" s="28">
        <v>45.078852838895997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0.46015899559891998</v>
      </c>
      <c r="AF211" s="28">
        <v>7.74591657081878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86.213789023575302</v>
      </c>
      <c r="AM211" s="28">
        <v>21.338486930648099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24.233301807780901</v>
      </c>
      <c r="AU211" s="28">
        <v>2.3052305734725098</v>
      </c>
      <c r="AV211" s="28">
        <v>24.216137663063801</v>
      </c>
      <c r="AW211" s="28">
        <v>138.521454610609</v>
      </c>
      <c r="AX211" s="28">
        <v>48.680974189227101</v>
      </c>
      <c r="AY211" s="28">
        <v>0</v>
      </c>
      <c r="AZ211" s="28">
        <v>0</v>
      </c>
      <c r="BA211" s="28">
        <v>3.2968858764185503E-2</v>
      </c>
      <c r="BB211" s="28">
        <v>0</v>
      </c>
      <c r="BC211" s="28">
        <v>56.293934549166202</v>
      </c>
      <c r="BD211" s="28">
        <v>0</v>
      </c>
      <c r="BE211" s="28">
        <v>0</v>
      </c>
      <c r="BF211" s="28">
        <v>0</v>
      </c>
      <c r="BG211" s="28">
        <v>0</v>
      </c>
      <c r="BH211" s="28">
        <v>5.8212509917154804</v>
      </c>
      <c r="BI211" s="28">
        <v>0</v>
      </c>
      <c r="BJ211" s="28">
        <v>0.55020935995196196</v>
      </c>
      <c r="BK211" s="28">
        <v>0</v>
      </c>
      <c r="BL211" s="28">
        <v>2.0057697351402001E-2</v>
      </c>
      <c r="BM211" s="28">
        <v>0.110992291404559</v>
      </c>
      <c r="BN211" s="28">
        <v>0.23463787929621299</v>
      </c>
      <c r="BO211" s="28">
        <v>0</v>
      </c>
      <c r="BP211" s="28">
        <v>0</v>
      </c>
      <c r="BQ211" s="28">
        <v>1.5671866886090201E-2</v>
      </c>
      <c r="BR211" s="28">
        <v>1.30426606336689E-2</v>
      </c>
      <c r="BS211" s="28">
        <v>0</v>
      </c>
      <c r="BT211" s="28">
        <v>0</v>
      </c>
      <c r="BU211" s="28">
        <v>0</v>
      </c>
      <c r="BV211" s="28">
        <v>0.556481356467739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0.47553600544061098</v>
      </c>
      <c r="CH211" s="28">
        <v>0.26717569869387298</v>
      </c>
      <c r="CI211" s="28">
        <v>0.90746313333511397</v>
      </c>
      <c r="CJ211" s="28">
        <v>0.30342649878893002</v>
      </c>
      <c r="CK211" s="28">
        <v>0.18755096197128299</v>
      </c>
      <c r="CL211" s="28">
        <v>1.9054270792712</v>
      </c>
      <c r="CM211" s="28">
        <v>0.195365830124032</v>
      </c>
      <c r="CN211" s="28">
        <v>0.16808222234249101</v>
      </c>
      <c r="CO211" s="28">
        <v>0.36404356360435502</v>
      </c>
      <c r="CP211" s="28">
        <v>0.56342697143554699</v>
      </c>
      <c r="CQ211" s="28">
        <v>0.12966588139533999</v>
      </c>
      <c r="CR211" s="28">
        <v>1.1103866718886399</v>
      </c>
      <c r="CS211" s="28">
        <v>0.12852959161507199</v>
      </c>
      <c r="CT211" s="28">
        <v>9.9034052614424208</v>
      </c>
      <c r="CU211" s="28">
        <v>0.84682502615117605</v>
      </c>
      <c r="CV211" s="28">
        <v>0.55108694797723801</v>
      </c>
      <c r="CW211" s="28">
        <v>1.8860275938817901</v>
      </c>
      <c r="CX211" s="28">
        <v>0.39116403824927398</v>
      </c>
      <c r="CY211" s="28">
        <v>2.1185163574559498</v>
      </c>
      <c r="CZ211" s="28">
        <v>0.112938116320502</v>
      </c>
      <c r="DA211" s="28">
        <v>0</v>
      </c>
      <c r="DB211" s="28">
        <v>0.26711514355606902</v>
      </c>
      <c r="DC211" s="28">
        <v>0</v>
      </c>
      <c r="DD211" s="28">
        <v>1.94725998084935</v>
      </c>
      <c r="DE211" s="28">
        <v>0</v>
      </c>
      <c r="DF211" s="28">
        <v>0.45852821295902702</v>
      </c>
      <c r="DG211" s="28">
        <v>4.8113618533539704</v>
      </c>
      <c r="DH211" s="28">
        <v>3.4024928586846199</v>
      </c>
      <c r="DI211" s="28">
        <v>0.35360555986341802</v>
      </c>
      <c r="DJ211" s="28">
        <v>2.1232480106467899</v>
      </c>
      <c r="DK211" s="28">
        <v>1.1803283503982499E-2</v>
      </c>
      <c r="DL211" s="28">
        <v>0.227926140964684</v>
      </c>
      <c r="DM211" s="28">
        <v>3.8061048183061399E-2</v>
      </c>
      <c r="DN211" s="28">
        <v>0.147787793372365</v>
      </c>
      <c r="DO211" s="28">
        <v>6.5960880009770601E-2</v>
      </c>
      <c r="DP211" s="28">
        <v>0</v>
      </c>
      <c r="DQ211" s="28">
        <v>0.34834458885873099</v>
      </c>
      <c r="DR211" s="28">
        <v>1.24050347097835</v>
      </c>
      <c r="DS211" s="28">
        <v>0.61144610032244895</v>
      </c>
      <c r="DT211" s="28">
        <v>1.63864374374839E-2</v>
      </c>
      <c r="DU211" s="28">
        <v>1.38063586474207</v>
      </c>
      <c r="DV211" s="28">
        <v>0.29740325744936502</v>
      </c>
      <c r="DW211" s="28">
        <v>0</v>
      </c>
      <c r="DX211" s="28">
        <v>0.20746707967147099</v>
      </c>
      <c r="DY211" s="28">
        <v>1.81293321637418</v>
      </c>
      <c r="DZ211" s="28">
        <v>0</v>
      </c>
      <c r="EA211" s="28">
        <v>1.05066087258897E-2</v>
      </c>
      <c r="EB211" s="28">
        <v>0.112470549301705</v>
      </c>
      <c r="EC211" s="28">
        <v>0.457903652084996</v>
      </c>
      <c r="ED211" s="28">
        <v>5.7518253788048499</v>
      </c>
      <c r="EE211" s="28">
        <v>5.4910550672786898E-2</v>
      </c>
      <c r="EF211" s="28">
        <v>2.3475586965480701</v>
      </c>
      <c r="EG211" s="28">
        <v>0.235980622717364</v>
      </c>
      <c r="EH211" s="28">
        <v>8.14827742556542E-2</v>
      </c>
      <c r="EI211" s="28">
        <v>3.81945781741658E-2</v>
      </c>
      <c r="EJ211" s="28">
        <v>0.28136959272152801</v>
      </c>
      <c r="EK211" s="28">
        <v>1.6176943783831399</v>
      </c>
      <c r="EL211" s="28">
        <v>0.114554459719496</v>
      </c>
      <c r="EM211" s="28">
        <v>0.104794311748824</v>
      </c>
      <c r="EN211" s="28">
        <v>8.2963665934426098E-2</v>
      </c>
      <c r="EO211" s="28">
        <v>1.1442263992852799</v>
      </c>
      <c r="EP211" s="28">
        <v>0</v>
      </c>
      <c r="EQ211" s="28">
        <v>0.62369061810711302</v>
      </c>
      <c r="ER211" s="28">
        <v>0.90691350217991196</v>
      </c>
      <c r="ES211" s="28">
        <v>7.9175867077165298</v>
      </c>
      <c r="ET211" s="28">
        <v>0.53154364528773101</v>
      </c>
      <c r="EU211" s="28">
        <v>3.7333646417624801E-2</v>
      </c>
      <c r="EV211" s="28">
        <v>0</v>
      </c>
      <c r="EW211" s="28">
        <v>0</v>
      </c>
      <c r="EX211" s="28">
        <v>1.47867132830187</v>
      </c>
      <c r="EY211" s="28">
        <v>0.76974474804882698</v>
      </c>
      <c r="EZ211" s="28">
        <v>26.452414419996298</v>
      </c>
      <c r="FA211" s="28">
        <v>3.8642524133987499E-2</v>
      </c>
      <c r="FB211" s="28">
        <v>6.3608477445466898</v>
      </c>
      <c r="FC211" s="28">
        <v>8.2804214207162303</v>
      </c>
      <c r="FD211" s="28">
        <v>0.34091918562307899</v>
      </c>
      <c r="FE211" s="28">
        <v>0</v>
      </c>
      <c r="FF211" s="28">
        <v>13.087954549979001</v>
      </c>
      <c r="FG211" s="28">
        <v>4.3465041844991203</v>
      </c>
      <c r="FH211" s="28">
        <v>0.16995881487766401</v>
      </c>
      <c r="FI211" s="28">
        <v>1816.9115132214699</v>
      </c>
      <c r="FJ211" s="28">
        <v>48.468238921441603</v>
      </c>
      <c r="FK211" s="28">
        <v>0</v>
      </c>
      <c r="FL211" s="28">
        <v>100.438082093422</v>
      </c>
      <c r="FM211" s="28">
        <v>7.3716054077656397</v>
      </c>
      <c r="FN211" s="28">
        <v>34.3840342441761</v>
      </c>
      <c r="FO211" s="28">
        <v>1.26848988074451</v>
      </c>
      <c r="FP211" s="28">
        <v>0</v>
      </c>
      <c r="FQ211" s="28">
        <v>32.2878789856059</v>
      </c>
      <c r="FR211" s="28">
        <v>0.36593475945960802</v>
      </c>
      <c r="FS211" s="28">
        <v>84.150346947729801</v>
      </c>
      <c r="FT211" s="28">
        <v>114.07485782766101</v>
      </c>
      <c r="FU211" s="28">
        <v>462.91254590067598</v>
      </c>
      <c r="FV211" s="28">
        <v>0.23914016443081701</v>
      </c>
      <c r="FW211" s="28">
        <v>0</v>
      </c>
      <c r="FX211" s="28">
        <v>389.795338100545</v>
      </c>
      <c r="FY211" s="28">
        <v>22.61121636</v>
      </c>
      <c r="FZ211" s="28">
        <v>30.8340931454171</v>
      </c>
      <c r="GA211" s="28">
        <v>6.9963099857710598E-2</v>
      </c>
      <c r="GB211" s="28">
        <v>0.184416221379614</v>
      </c>
      <c r="GC211" s="28">
        <v>0.13242055239674599</v>
      </c>
      <c r="GD211" s="28">
        <v>31.5425774308172</v>
      </c>
      <c r="GE211" s="28">
        <v>64.960015583887099</v>
      </c>
      <c r="GF211" s="28">
        <v>46.633764847339101</v>
      </c>
      <c r="GG211" s="28">
        <v>170.26012914573801</v>
      </c>
      <c r="GH211" s="28">
        <v>29.218690070234199</v>
      </c>
      <c r="GI211" s="28">
        <v>33.5160390886115</v>
      </c>
      <c r="GJ211" s="28">
        <v>8.9887247287751695</v>
      </c>
      <c r="GK211" s="28">
        <v>20.5355659105856</v>
      </c>
      <c r="GL211" s="28">
        <v>74.885068021829795</v>
      </c>
      <c r="GM211" s="28">
        <v>448.11877714111898</v>
      </c>
      <c r="GN211" s="28">
        <v>5.5401348283330396</v>
      </c>
      <c r="GO211" s="28">
        <v>0</v>
      </c>
      <c r="GP211" s="28">
        <v>0</v>
      </c>
      <c r="GQ211" s="21">
        <v>4675.2812461964622</v>
      </c>
      <c r="GR211" s="21">
        <v>0</v>
      </c>
      <c r="GS211" s="20">
        <v>0</v>
      </c>
      <c r="GT211" s="20">
        <v>0</v>
      </c>
      <c r="GU211" s="20">
        <v>0</v>
      </c>
      <c r="GV211" s="20">
        <v>0</v>
      </c>
      <c r="GW211" s="20">
        <v>0</v>
      </c>
      <c r="GX211" s="21">
        <v>0</v>
      </c>
      <c r="GY211" s="20">
        <v>0</v>
      </c>
      <c r="GZ211" s="20">
        <v>0</v>
      </c>
      <c r="HA211" s="20"/>
      <c r="HB211" s="21">
        <v>0</v>
      </c>
      <c r="HC211" s="21">
        <v>4675.2812461964622</v>
      </c>
    </row>
    <row r="212" spans="2:211" s="7" customFormat="1" ht="17.25" customHeight="1">
      <c r="B212" s="26" t="s">
        <v>188</v>
      </c>
      <c r="C212" s="10" t="s">
        <v>683</v>
      </c>
      <c r="D212" s="28">
        <v>0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12.5955047206335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1.1182629483087201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  <c r="EU212" s="28">
        <v>0</v>
      </c>
      <c r="EV212" s="28">
        <v>0</v>
      </c>
      <c r="EW212" s="28">
        <v>0</v>
      </c>
      <c r="EX212" s="28">
        <v>0</v>
      </c>
      <c r="EY212" s="28">
        <v>0</v>
      </c>
      <c r="EZ212" s="28">
        <v>0</v>
      </c>
      <c r="FA212" s="28">
        <v>0</v>
      </c>
      <c r="FB212" s="28">
        <v>0</v>
      </c>
      <c r="FC212" s="28">
        <v>2.4477810417920698</v>
      </c>
      <c r="FD212" s="28">
        <v>0.538639983113954</v>
      </c>
      <c r="FE212" s="28">
        <v>0</v>
      </c>
      <c r="FF212" s="28">
        <v>0</v>
      </c>
      <c r="FG212" s="28">
        <v>0.93471719519532004</v>
      </c>
      <c r="FH212" s="28">
        <v>0</v>
      </c>
      <c r="FI212" s="28">
        <v>189.66494937516401</v>
      </c>
      <c r="FJ212" s="28">
        <v>0</v>
      </c>
      <c r="FK212" s="28">
        <v>0</v>
      </c>
      <c r="FL212" s="28">
        <v>0</v>
      </c>
      <c r="FM212" s="28">
        <v>0</v>
      </c>
      <c r="FN212" s="28">
        <v>0</v>
      </c>
      <c r="FO212" s="28">
        <v>0</v>
      </c>
      <c r="FP212" s="28">
        <v>1.017149496274</v>
      </c>
      <c r="FQ212" s="28">
        <v>0</v>
      </c>
      <c r="FR212" s="28">
        <v>0</v>
      </c>
      <c r="FS212" s="28">
        <v>0</v>
      </c>
      <c r="FT212" s="28">
        <v>7.9798253124981997E-2</v>
      </c>
      <c r="FU212" s="28">
        <v>0.27364322960239301</v>
      </c>
      <c r="FV212" s="28">
        <v>0</v>
      </c>
      <c r="FW212" s="28">
        <v>0.15596467999999999</v>
      </c>
      <c r="FX212" s="28">
        <v>0</v>
      </c>
      <c r="FY212" s="28">
        <v>0</v>
      </c>
      <c r="FZ212" s="28">
        <v>0</v>
      </c>
      <c r="GA212" s="28">
        <v>0</v>
      </c>
      <c r="GB212" s="28">
        <v>0</v>
      </c>
      <c r="GC212" s="28">
        <v>0</v>
      </c>
      <c r="GD212" s="28">
        <v>0</v>
      </c>
      <c r="GE212" s="28">
        <v>0</v>
      </c>
      <c r="GF212" s="28">
        <v>0</v>
      </c>
      <c r="GG212" s="28">
        <v>0</v>
      </c>
      <c r="GH212" s="28">
        <v>0.33726690059304398</v>
      </c>
      <c r="GI212" s="28">
        <v>0</v>
      </c>
      <c r="GJ212" s="28">
        <v>0</v>
      </c>
      <c r="GK212" s="28">
        <v>0</v>
      </c>
      <c r="GL212" s="28">
        <v>0</v>
      </c>
      <c r="GM212" s="28">
        <v>0</v>
      </c>
      <c r="GN212" s="28">
        <v>0</v>
      </c>
      <c r="GO212" s="28">
        <v>0</v>
      </c>
      <c r="GP212" s="28">
        <v>0</v>
      </c>
      <c r="GQ212" s="21">
        <v>203.12887782380199</v>
      </c>
      <c r="GR212" s="21">
        <v>1542.7678773344251</v>
      </c>
      <c r="GS212" s="20">
        <v>1542.7678773344251</v>
      </c>
      <c r="GT212" s="20">
        <v>0</v>
      </c>
      <c r="GU212" s="20">
        <v>0</v>
      </c>
      <c r="GV212" s="20">
        <v>0</v>
      </c>
      <c r="GW212" s="20">
        <v>0</v>
      </c>
      <c r="GX212" s="21">
        <v>0</v>
      </c>
      <c r="GY212" s="20">
        <v>0</v>
      </c>
      <c r="GZ212" s="20">
        <v>0</v>
      </c>
      <c r="HA212" s="20"/>
      <c r="HB212" s="21">
        <v>0</v>
      </c>
      <c r="HC212" s="21">
        <v>1745.8967551582271</v>
      </c>
    </row>
    <row r="213" spans="2:211" s="7" customFormat="1" ht="17.25" customHeight="1">
      <c r="B213" s="26" t="s">
        <v>189</v>
      </c>
      <c r="C213" s="10" t="s">
        <v>684</v>
      </c>
      <c r="D213" s="28">
        <v>73.835813032049799</v>
      </c>
      <c r="E213" s="28">
        <v>252.78562853877901</v>
      </c>
      <c r="F213" s="28">
        <v>425.48806148128301</v>
      </c>
      <c r="G213" s="28">
        <v>70.354350860060805</v>
      </c>
      <c r="H213" s="28">
        <v>257.477419221834</v>
      </c>
      <c r="I213" s="28">
        <v>0</v>
      </c>
      <c r="J213" s="28">
        <v>2.5567718285456</v>
      </c>
      <c r="K213" s="28">
        <v>1.9622693594112799</v>
      </c>
      <c r="L213" s="28">
        <v>3.9629351261274</v>
      </c>
      <c r="M213" s="28">
        <v>62.189158979419197</v>
      </c>
      <c r="N213" s="28">
        <v>11.040097098508699</v>
      </c>
      <c r="O213" s="28">
        <v>0</v>
      </c>
      <c r="P213" s="28">
        <v>0</v>
      </c>
      <c r="Q213" s="28">
        <v>89.669886096704602</v>
      </c>
      <c r="R213" s="28">
        <v>194.89046061424099</v>
      </c>
      <c r="S213" s="28">
        <v>643.584979472393</v>
      </c>
      <c r="T213" s="28">
        <v>42.571611454699699</v>
      </c>
      <c r="U213" s="28">
        <v>12.365645000000001</v>
      </c>
      <c r="V213" s="28">
        <v>1.0164979999999999</v>
      </c>
      <c r="W213" s="28">
        <v>0</v>
      </c>
      <c r="X213" s="28">
        <v>0</v>
      </c>
      <c r="Y213" s="28">
        <v>0</v>
      </c>
      <c r="Z213" s="28">
        <v>21.814815440508699</v>
      </c>
      <c r="AA213" s="28">
        <v>0</v>
      </c>
      <c r="AB213" s="28">
        <v>3</v>
      </c>
      <c r="AC213" s="28">
        <v>203.73799368619899</v>
      </c>
      <c r="AD213" s="28">
        <v>1.31316211392616</v>
      </c>
      <c r="AE213" s="28">
        <v>2.4555705383833901</v>
      </c>
      <c r="AF213" s="28">
        <v>9.1649053022203208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1224.0688028458001</v>
      </c>
      <c r="AU213" s="28">
        <v>151.11207539959099</v>
      </c>
      <c r="AV213" s="28">
        <v>0.75030486144519304</v>
      </c>
      <c r="AW213" s="28">
        <v>257.13088028909198</v>
      </c>
      <c r="AX213" s="28">
        <v>495.79944431963798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4.0592849482872499E-2</v>
      </c>
      <c r="BH213" s="28">
        <v>0</v>
      </c>
      <c r="BI213" s="28">
        <v>0.246981567506809</v>
      </c>
      <c r="BJ213" s="28">
        <v>0</v>
      </c>
      <c r="BK213" s="28">
        <v>0</v>
      </c>
      <c r="BL213" s="28">
        <v>0.20547008798288399</v>
      </c>
      <c r="BM213" s="28">
        <v>0</v>
      </c>
      <c r="BN213" s="28">
        <v>0.178831467464621</v>
      </c>
      <c r="BO213" s="28">
        <v>0.42245494531806799</v>
      </c>
      <c r="BP213" s="28">
        <v>1.81839734636801E-3</v>
      </c>
      <c r="BQ213" s="28">
        <v>0.124599711893745</v>
      </c>
      <c r="BR213" s="28">
        <v>0.13487465852112401</v>
      </c>
      <c r="BS213" s="28">
        <v>0</v>
      </c>
      <c r="BT213" s="28">
        <v>0</v>
      </c>
      <c r="BU213" s="28">
        <v>0</v>
      </c>
      <c r="BV213" s="28">
        <v>1.02484503884592</v>
      </c>
      <c r="BW213" s="28">
        <v>8.6970130980196694E-2</v>
      </c>
      <c r="BX213" s="28">
        <v>0.24682974514542599</v>
      </c>
      <c r="BY213" s="28">
        <v>0.47172557437172302</v>
      </c>
      <c r="BZ213" s="28">
        <v>0.29998675255113</v>
      </c>
      <c r="CA213" s="28">
        <v>3.1282681463169E-3</v>
      </c>
      <c r="CB213" s="28">
        <v>0.353426416633431</v>
      </c>
      <c r="CC213" s="28">
        <v>1.93732018683235E-2</v>
      </c>
      <c r="CD213" s="28">
        <v>0.25452768533019798</v>
      </c>
      <c r="CE213" s="28">
        <v>8.6545847364393996E-2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0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0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0</v>
      </c>
      <c r="DD213" s="28">
        <v>1.1189443743983601E-2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0</v>
      </c>
      <c r="DK213" s="28">
        <v>0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0</v>
      </c>
      <c r="DR213" s="28">
        <v>0</v>
      </c>
      <c r="DS213" s="28">
        <v>0</v>
      </c>
      <c r="DT213" s="28">
        <v>0</v>
      </c>
      <c r="DU213" s="28">
        <v>12.095723650831699</v>
      </c>
      <c r="DV213" s="28">
        <v>0</v>
      </c>
      <c r="DW213" s="28">
        <v>0</v>
      </c>
      <c r="DX213" s="28">
        <v>0.29134676978733498</v>
      </c>
      <c r="DY213" s="28">
        <v>0.53997376965687505</v>
      </c>
      <c r="DZ213" s="28">
        <v>7.8481843590584903</v>
      </c>
      <c r="EA213" s="28">
        <v>0.158436020554484</v>
      </c>
      <c r="EB213" s="28">
        <v>2.4546338586511899E-2</v>
      </c>
      <c r="EC213" s="28">
        <v>1.7205844129597301</v>
      </c>
      <c r="ED213" s="28">
        <v>0.54412799724249505</v>
      </c>
      <c r="EE213" s="28">
        <v>3.61193826688695E-2</v>
      </c>
      <c r="EF213" s="28">
        <v>7.4446954246502507E-5</v>
      </c>
      <c r="EG213" s="28">
        <v>0</v>
      </c>
      <c r="EH213" s="28">
        <v>0</v>
      </c>
      <c r="EI213" s="28">
        <v>0</v>
      </c>
      <c r="EJ213" s="28">
        <v>3.9361882920908999</v>
      </c>
      <c r="EK213" s="28">
        <v>0</v>
      </c>
      <c r="EL213" s="28">
        <v>2.3797905160578101E-2</v>
      </c>
      <c r="EM213" s="28">
        <v>0</v>
      </c>
      <c r="EN213" s="28">
        <v>1.0849580952735001</v>
      </c>
      <c r="EO213" s="28">
        <v>0</v>
      </c>
      <c r="EP213" s="28">
        <v>0</v>
      </c>
      <c r="EQ213" s="28">
        <v>0.85475811672397195</v>
      </c>
      <c r="ER213" s="28">
        <v>0.133607885607474</v>
      </c>
      <c r="ES213" s="28">
        <v>3.2122717940019301E-2</v>
      </c>
      <c r="ET213" s="28">
        <v>0.58025560507055096</v>
      </c>
      <c r="EU213" s="28">
        <v>6.4556729485051506E-2</v>
      </c>
      <c r="EV213" s="28">
        <v>0.36035502586519202</v>
      </c>
      <c r="EW213" s="28">
        <v>11.4100787885572</v>
      </c>
      <c r="EX213" s="28">
        <v>0.26142916251664799</v>
      </c>
      <c r="EY213" s="28">
        <v>0.66705349655352097</v>
      </c>
      <c r="EZ213" s="28">
        <v>20.725231658366798</v>
      </c>
      <c r="FA213" s="28">
        <v>0.48968881393779301</v>
      </c>
      <c r="FB213" s="28">
        <v>2.4131752538658201E-2</v>
      </c>
      <c r="FC213" s="28">
        <v>2.52996680276911E-2</v>
      </c>
      <c r="FD213" s="28">
        <v>0</v>
      </c>
      <c r="FE213" s="28">
        <v>0</v>
      </c>
      <c r="FF213" s="28">
        <v>0</v>
      </c>
      <c r="FG213" s="28">
        <v>0.19789698056170199</v>
      </c>
      <c r="FH213" s="28">
        <v>0</v>
      </c>
      <c r="FI213" s="28">
        <v>49.024777354850798</v>
      </c>
      <c r="FJ213" s="28">
        <v>0</v>
      </c>
      <c r="FK213" s="28">
        <v>6.2050000000000001</v>
      </c>
      <c r="FL213" s="28">
        <v>0</v>
      </c>
      <c r="FM213" s="28">
        <v>2.0650000000000002E-2</v>
      </c>
      <c r="FN213" s="28">
        <v>358.64655135977</v>
      </c>
      <c r="FO213" s="28">
        <v>0</v>
      </c>
      <c r="FP213" s="28">
        <v>4.93870836939311</v>
      </c>
      <c r="FQ213" s="28">
        <v>2.9984615340353198</v>
      </c>
      <c r="FR213" s="28">
        <v>0</v>
      </c>
      <c r="FS213" s="28">
        <v>3.9224811085867302</v>
      </c>
      <c r="FT213" s="28">
        <v>7.0468606196206602</v>
      </c>
      <c r="FU213" s="28">
        <v>2.04286536780088E-2</v>
      </c>
      <c r="FV213" s="28">
        <v>0</v>
      </c>
      <c r="FW213" s="28">
        <v>0</v>
      </c>
      <c r="FX213" s="28">
        <v>0.05</v>
      </c>
      <c r="FY213" s="28">
        <v>2.9498859300000002</v>
      </c>
      <c r="FZ213" s="28">
        <v>0</v>
      </c>
      <c r="GA213" s="28">
        <v>0</v>
      </c>
      <c r="GB213" s="28">
        <v>0</v>
      </c>
      <c r="GC213" s="28">
        <v>0</v>
      </c>
      <c r="GD213" s="28">
        <v>0</v>
      </c>
      <c r="GE213" s="28">
        <v>0</v>
      </c>
      <c r="GF213" s="28">
        <v>23.306824371745101</v>
      </c>
      <c r="GG213" s="28">
        <v>203.572992774</v>
      </c>
      <c r="GH213" s="28">
        <v>3.5725527763135E-2</v>
      </c>
      <c r="GI213" s="28">
        <v>31.0041008529594</v>
      </c>
      <c r="GJ213" s="28">
        <v>26.2274992334792</v>
      </c>
      <c r="GK213" s="28">
        <v>3.4191816253385099</v>
      </c>
      <c r="GL213" s="28">
        <v>19.3071880368209</v>
      </c>
      <c r="GM213" s="28">
        <v>0</v>
      </c>
      <c r="GN213" s="28">
        <v>0</v>
      </c>
      <c r="GO213" s="28">
        <v>0</v>
      </c>
      <c r="GP213" s="28">
        <v>0</v>
      </c>
      <c r="GQ213" s="21">
        <v>5327.1415579459772</v>
      </c>
      <c r="GR213" s="21">
        <v>292.7163950921165</v>
      </c>
      <c r="GS213" s="20">
        <v>292.7163950921165</v>
      </c>
      <c r="GT213" s="20">
        <v>0</v>
      </c>
      <c r="GU213" s="20">
        <v>0</v>
      </c>
      <c r="GV213" s="20">
        <v>0</v>
      </c>
      <c r="GW213" s="20">
        <v>0</v>
      </c>
      <c r="GX213" s="21">
        <v>0</v>
      </c>
      <c r="GY213" s="20">
        <v>0</v>
      </c>
      <c r="GZ213" s="20">
        <v>0</v>
      </c>
      <c r="HA213" s="20"/>
      <c r="HB213" s="21">
        <v>103.1742868404</v>
      </c>
      <c r="HC213" s="21">
        <v>5723.0322398784938</v>
      </c>
    </row>
    <row r="214" spans="2:211" s="7" customFormat="1" ht="17.25" customHeight="1">
      <c r="B214" s="26" t="s">
        <v>685</v>
      </c>
      <c r="C214" s="10" t="s">
        <v>686</v>
      </c>
      <c r="D214" s="28">
        <v>0</v>
      </c>
      <c r="E214" s="28">
        <v>0</v>
      </c>
      <c r="F214" s="28">
        <v>0</v>
      </c>
      <c r="G214" s="28">
        <v>0</v>
      </c>
      <c r="H214" s="28">
        <v>2.99097181844509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0.94536905952110695</v>
      </c>
      <c r="U214" s="28">
        <v>1.76806767817475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23.991437563111401</v>
      </c>
      <c r="AD214" s="28">
        <v>0</v>
      </c>
      <c r="AE214" s="28">
        <v>0.162453710825159</v>
      </c>
      <c r="AF214" s="28">
        <v>2.8327889115953702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95.6951652585159</v>
      </c>
      <c r="AU214" s="28">
        <v>54.956044472771097</v>
      </c>
      <c r="AV214" s="28">
        <v>18.5764037113825</v>
      </c>
      <c r="AW214" s="28">
        <v>7.32043587891439</v>
      </c>
      <c r="AX214" s="28">
        <v>254.40819940832199</v>
      </c>
      <c r="AY214" s="28">
        <v>0</v>
      </c>
      <c r="AZ214" s="28">
        <v>17.9376520026394</v>
      </c>
      <c r="BA214" s="28">
        <v>3.6547233433125101</v>
      </c>
      <c r="BB214" s="28">
        <v>0</v>
      </c>
      <c r="BC214" s="28">
        <v>14.427616863868201</v>
      </c>
      <c r="BD214" s="28">
        <v>7.9187528776242404</v>
      </c>
      <c r="BE214" s="28">
        <v>0</v>
      </c>
      <c r="BF214" s="28">
        <v>0</v>
      </c>
      <c r="BG214" s="28">
        <v>0</v>
      </c>
      <c r="BH214" s="28">
        <v>26.880988062565098</v>
      </c>
      <c r="BI214" s="28">
        <v>0.37477459506046801</v>
      </c>
      <c r="BJ214" s="28">
        <v>1.43516133234873</v>
      </c>
      <c r="BK214" s="28">
        <v>0</v>
      </c>
      <c r="BL214" s="28">
        <v>0.78537401338357005</v>
      </c>
      <c r="BM214" s="28">
        <v>0.30277089310704097</v>
      </c>
      <c r="BN214" s="28">
        <v>0.82175422408759902</v>
      </c>
      <c r="BO214" s="28">
        <v>0.80565938227051304</v>
      </c>
      <c r="BP214" s="28">
        <v>4.5544920614425796E-3</v>
      </c>
      <c r="BQ214" s="28">
        <v>0.75752097645254401</v>
      </c>
      <c r="BR214" s="28">
        <v>0.57284853291591498</v>
      </c>
      <c r="BS214" s="28">
        <v>0</v>
      </c>
      <c r="BT214" s="28">
        <v>0</v>
      </c>
      <c r="BU214" s="28">
        <v>0.26186110923825301</v>
      </c>
      <c r="BV214" s="28">
        <v>8.8601196556637092</v>
      </c>
      <c r="BW214" s="28">
        <v>0</v>
      </c>
      <c r="BX214" s="28">
        <v>0.46585141390625501</v>
      </c>
      <c r="BY214" s="28">
        <v>0</v>
      </c>
      <c r="BZ214" s="28">
        <v>7.2112465041362594E-2</v>
      </c>
      <c r="CA214" s="28">
        <v>0</v>
      </c>
      <c r="CB214" s="28">
        <v>10.002428106819799</v>
      </c>
      <c r="CC214" s="28">
        <v>0.54828685623632301</v>
      </c>
      <c r="CD214" s="28">
        <v>7.2034651454792797</v>
      </c>
      <c r="CE214" s="28">
        <v>2.4493602500121301</v>
      </c>
      <c r="CF214" s="28">
        <v>0</v>
      </c>
      <c r="CG214" s="28">
        <v>1.39138742372937</v>
      </c>
      <c r="CH214" s="28">
        <v>0.21909882265712499</v>
      </c>
      <c r="CI214" s="28">
        <v>1.0013781785964999</v>
      </c>
      <c r="CJ214" s="28">
        <v>0.19833732452243699</v>
      </c>
      <c r="CK214" s="28">
        <v>1.29235947132111</v>
      </c>
      <c r="CL214" s="28">
        <v>2.01134625364082</v>
      </c>
      <c r="CM214" s="28">
        <v>82.331170794985695</v>
      </c>
      <c r="CN214" s="28">
        <v>1.1439074277877801</v>
      </c>
      <c r="CO214" s="28">
        <v>15.449799703785599</v>
      </c>
      <c r="CP214" s="28">
        <v>5.8285281503559201</v>
      </c>
      <c r="CQ214" s="28">
        <v>8.9673280715942401</v>
      </c>
      <c r="CR214" s="28">
        <v>0.883483502432024</v>
      </c>
      <c r="CS214" s="28">
        <v>4.1537984624071003E-2</v>
      </c>
      <c r="CT214" s="28">
        <v>32.742935964024497</v>
      </c>
      <c r="CU214" s="28">
        <v>4.9651471276190202</v>
      </c>
      <c r="CV214" s="28">
        <v>1.95039604464905</v>
      </c>
      <c r="CW214" s="28">
        <v>5.3672597823991701</v>
      </c>
      <c r="CX214" s="28">
        <v>0.13890029573550799</v>
      </c>
      <c r="CY214" s="28">
        <v>10.5595211095315</v>
      </c>
      <c r="CZ214" s="28">
        <v>5.73850332827395E-2</v>
      </c>
      <c r="DA214" s="28">
        <v>7.3712208931490899</v>
      </c>
      <c r="DB214" s="28">
        <v>9.9175382188988106</v>
      </c>
      <c r="DC214" s="28">
        <v>14.566167122031599</v>
      </c>
      <c r="DD214" s="28">
        <v>0.14595306863084601</v>
      </c>
      <c r="DE214" s="28">
        <v>0</v>
      </c>
      <c r="DF214" s="28">
        <v>1.54099082661149</v>
      </c>
      <c r="DG214" s="28">
        <v>39.654744594746397</v>
      </c>
      <c r="DH214" s="28">
        <v>29.986478640642002</v>
      </c>
      <c r="DI214" s="28">
        <v>5.5727214303618</v>
      </c>
      <c r="DJ214" s="28">
        <v>2.5315262714242399</v>
      </c>
      <c r="DK214" s="28">
        <v>4.1110364765274597E-2</v>
      </c>
      <c r="DL214" s="28">
        <v>1.8820249847942401</v>
      </c>
      <c r="DM214" s="28">
        <v>1.55704729209056</v>
      </c>
      <c r="DN214" s="28">
        <v>1.5595721398454701</v>
      </c>
      <c r="DO214" s="28">
        <v>0.63466267029855605</v>
      </c>
      <c r="DP214" s="28">
        <v>0</v>
      </c>
      <c r="DQ214" s="28">
        <v>12.2345910765205</v>
      </c>
      <c r="DR214" s="28">
        <v>107.87364186331099</v>
      </c>
      <c r="DS214" s="28">
        <v>84.924743667249501</v>
      </c>
      <c r="DT214" s="28">
        <v>0.39619620878899497</v>
      </c>
      <c r="DU214" s="28">
        <v>19.333772712880801</v>
      </c>
      <c r="DV214" s="28">
        <v>2.9252972492317002</v>
      </c>
      <c r="DW214" s="28">
        <v>0</v>
      </c>
      <c r="DX214" s="28">
        <v>5.6462001915910998</v>
      </c>
      <c r="DY214" s="28">
        <v>3.78370302036938</v>
      </c>
      <c r="DZ214" s="28">
        <v>23.562940967540602</v>
      </c>
      <c r="EA214" s="28">
        <v>0.20482508140504099</v>
      </c>
      <c r="EB214" s="28">
        <v>0.108775469107964</v>
      </c>
      <c r="EC214" s="28">
        <v>7.9884655276183496</v>
      </c>
      <c r="ED214" s="28">
        <v>4.1237929655578496</v>
      </c>
      <c r="EE214" s="28">
        <v>2.1765245779373199</v>
      </c>
      <c r="EF214" s="28">
        <v>18.1853868707644</v>
      </c>
      <c r="EG214" s="28">
        <v>0.27720837807808502</v>
      </c>
      <c r="EH214" s="28">
        <v>9.5718484986651198E-2</v>
      </c>
      <c r="EI214" s="28">
        <v>4.4898615308494497E-2</v>
      </c>
      <c r="EJ214" s="28">
        <v>3.8097215171368299</v>
      </c>
      <c r="EK214" s="28">
        <v>0</v>
      </c>
      <c r="EL214" s="28">
        <v>4.5945728852603999E-2</v>
      </c>
      <c r="EM214" s="28">
        <v>0</v>
      </c>
      <c r="EN214" s="28">
        <v>0</v>
      </c>
      <c r="EO214" s="28">
        <v>4.1696151739311</v>
      </c>
      <c r="EP214" s="28">
        <v>0</v>
      </c>
      <c r="EQ214" s="28">
        <v>8.3434859247008206E-2</v>
      </c>
      <c r="ER214" s="28">
        <v>1.55811140453323E-2</v>
      </c>
      <c r="ES214" s="28">
        <v>10.7273330175966</v>
      </c>
      <c r="ET214" s="28">
        <v>0.788270739040274</v>
      </c>
      <c r="EU214" s="28">
        <v>5.0532234508932197E-2</v>
      </c>
      <c r="EV214" s="28">
        <v>2.7346556334011698</v>
      </c>
      <c r="EW214" s="28">
        <v>10.9104541537224</v>
      </c>
      <c r="EX214" s="28">
        <v>90.348371583941798</v>
      </c>
      <c r="EY214" s="28">
        <v>85.8873399119922</v>
      </c>
      <c r="EZ214" s="28">
        <v>263.31648708097998</v>
      </c>
      <c r="FA214" s="28">
        <v>48.720503601431901</v>
      </c>
      <c r="FB214" s="28">
        <v>36.695619861540898</v>
      </c>
      <c r="FC214" s="28">
        <v>32.185127387520097</v>
      </c>
      <c r="FD214" s="28">
        <v>1.8282984805929501</v>
      </c>
      <c r="FE214" s="28">
        <v>0</v>
      </c>
      <c r="FF214" s="28">
        <v>15.5166759399709</v>
      </c>
      <c r="FG214" s="28">
        <v>12.0819771498054</v>
      </c>
      <c r="FH214" s="28">
        <v>0.62523104320593004</v>
      </c>
      <c r="FI214" s="28">
        <v>836.30963896833896</v>
      </c>
      <c r="FJ214" s="28">
        <v>43.2004281824562</v>
      </c>
      <c r="FK214" s="28">
        <v>29.847000000000001</v>
      </c>
      <c r="FL214" s="28">
        <v>11.3667113998373</v>
      </c>
      <c r="FM214" s="28">
        <v>14.75814025</v>
      </c>
      <c r="FN214" s="28">
        <v>35.158857031558803</v>
      </c>
      <c r="FO214" s="28">
        <v>5.7056776592502496</v>
      </c>
      <c r="FP214" s="28">
        <v>56.216357936956399</v>
      </c>
      <c r="FQ214" s="28">
        <v>76.532577351204594</v>
      </c>
      <c r="FR214" s="28">
        <v>10.103064702640401</v>
      </c>
      <c r="FS214" s="28">
        <v>54.608437697186403</v>
      </c>
      <c r="FT214" s="28">
        <v>32.097373861515699</v>
      </c>
      <c r="FU214" s="28">
        <v>1619.24071545025</v>
      </c>
      <c r="FV214" s="28">
        <v>248.82379081226199</v>
      </c>
      <c r="FW214" s="28">
        <v>17.22094426</v>
      </c>
      <c r="FX214" s="28">
        <v>512.946676600763</v>
      </c>
      <c r="FY214" s="28">
        <v>24.01</v>
      </c>
      <c r="FZ214" s="28">
        <v>325.62103805670199</v>
      </c>
      <c r="GA214" s="28">
        <v>3.0682112064710498</v>
      </c>
      <c r="GB214" s="28">
        <v>27.9166872082655</v>
      </c>
      <c r="GC214" s="28">
        <v>192.37828131938201</v>
      </c>
      <c r="GD214" s="28">
        <v>105.822746015538</v>
      </c>
      <c r="GE214" s="28">
        <v>114.687125208784</v>
      </c>
      <c r="GF214" s="28">
        <v>156.86568816424199</v>
      </c>
      <c r="GG214" s="28">
        <v>988.71460273124603</v>
      </c>
      <c r="GH214" s="28">
        <v>147.211158789753</v>
      </c>
      <c r="GI214" s="28">
        <v>73.699309422601999</v>
      </c>
      <c r="GJ214" s="28">
        <v>265.87301794221702</v>
      </c>
      <c r="GK214" s="28">
        <v>68.172282474616296</v>
      </c>
      <c r="GL214" s="28">
        <v>170.84650398841001</v>
      </c>
      <c r="GM214" s="28">
        <v>408.21272513094999</v>
      </c>
      <c r="GN214" s="28">
        <v>13.629672259753001</v>
      </c>
      <c r="GO214" s="28">
        <v>13.038258242722399</v>
      </c>
      <c r="GP214" s="28">
        <v>0</v>
      </c>
      <c r="GQ214" s="21">
        <v>8482.0255005178224</v>
      </c>
      <c r="GR214" s="21">
        <v>1066.5985893702634</v>
      </c>
      <c r="GS214" s="20">
        <v>1007.0777788067219</v>
      </c>
      <c r="GT214" s="20">
        <v>59.520810563541595</v>
      </c>
      <c r="GU214" s="20">
        <v>0</v>
      </c>
      <c r="GV214" s="20">
        <v>0</v>
      </c>
      <c r="GW214" s="20">
        <v>0</v>
      </c>
      <c r="GX214" s="21">
        <v>860.72560152858796</v>
      </c>
      <c r="GY214" s="20">
        <v>860.72560152858796</v>
      </c>
      <c r="GZ214" s="20">
        <v>0</v>
      </c>
      <c r="HA214" s="20"/>
      <c r="HB214" s="21">
        <v>338.85253538841499</v>
      </c>
      <c r="HC214" s="21">
        <v>10748.202226805088</v>
      </c>
    </row>
    <row r="215" spans="2:211" s="7" customFormat="1" ht="17.25" customHeight="1">
      <c r="B215" s="26" t="s">
        <v>687</v>
      </c>
      <c r="C215" s="9" t="s">
        <v>688</v>
      </c>
      <c r="D215" s="28">
        <v>0</v>
      </c>
      <c r="E215" s="28">
        <v>0</v>
      </c>
      <c r="F215" s="28">
        <v>48.549878999999997</v>
      </c>
      <c r="G215" s="28">
        <v>10.324687000000001</v>
      </c>
      <c r="H215" s="28">
        <v>39.014330197469</v>
      </c>
      <c r="I215" s="28">
        <v>12.228406543385001</v>
      </c>
      <c r="J215" s="28">
        <v>0</v>
      </c>
      <c r="K215" s="28">
        <v>0</v>
      </c>
      <c r="L215" s="28">
        <v>5.7705868080123999</v>
      </c>
      <c r="M215" s="28">
        <v>55.699168035299998</v>
      </c>
      <c r="N215" s="28">
        <v>0</v>
      </c>
      <c r="O215" s="28">
        <v>18.7678945698745</v>
      </c>
      <c r="P215" s="28">
        <v>2.6598700000000002</v>
      </c>
      <c r="Q215" s="28">
        <v>0</v>
      </c>
      <c r="R215" s="28">
        <v>0</v>
      </c>
      <c r="S215" s="28">
        <v>200.35468700000001</v>
      </c>
      <c r="T215" s="28">
        <v>17.097999885771799</v>
      </c>
      <c r="U215" s="28">
        <v>47.888946223183602</v>
      </c>
      <c r="V215" s="28">
        <v>0</v>
      </c>
      <c r="W215" s="28">
        <v>5.35487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55.216598699999999</v>
      </c>
      <c r="AD215" s="28">
        <v>0</v>
      </c>
      <c r="AE215" s="28">
        <v>6.3343069486763</v>
      </c>
      <c r="AF215" s="28">
        <v>197.04546399773699</v>
      </c>
      <c r="AG215" s="28">
        <v>1.4099223115759401</v>
      </c>
      <c r="AH215" s="28">
        <v>0</v>
      </c>
      <c r="AI215" s="28">
        <v>0</v>
      </c>
      <c r="AJ215" s="28">
        <v>2.2118544512255198</v>
      </c>
      <c r="AK215" s="28">
        <v>0</v>
      </c>
      <c r="AL215" s="28">
        <v>0</v>
      </c>
      <c r="AM215" s="28">
        <v>0</v>
      </c>
      <c r="AN215" s="28">
        <v>0</v>
      </c>
      <c r="AO215" s="28">
        <v>5.4195304355302197E-2</v>
      </c>
      <c r="AP215" s="28">
        <v>0</v>
      </c>
      <c r="AQ215" s="28">
        <v>6.4571471485602605E-2</v>
      </c>
      <c r="AR215" s="28">
        <v>7.4178305225887906E-2</v>
      </c>
      <c r="AS215" s="28">
        <v>7.4197521711627697E-3</v>
      </c>
      <c r="AT215" s="28">
        <v>470.24847652425802</v>
      </c>
      <c r="AU215" s="28">
        <v>0.97288284991919505</v>
      </c>
      <c r="AV215" s="28">
        <v>41.054471611578599</v>
      </c>
      <c r="AW215" s="28">
        <v>71.633712883661801</v>
      </c>
      <c r="AX215" s="28">
        <v>118.53959343871701</v>
      </c>
      <c r="AY215" s="28">
        <v>0.32240607934042498</v>
      </c>
      <c r="AZ215" s="28">
        <v>14.279342168902099</v>
      </c>
      <c r="BA215" s="28">
        <v>0.76312366273910204</v>
      </c>
      <c r="BB215" s="28">
        <v>0.493265597127652</v>
      </c>
      <c r="BC215" s="28">
        <v>30.944565981809799</v>
      </c>
      <c r="BD215" s="28">
        <v>0.19986426847813299</v>
      </c>
      <c r="BE215" s="28">
        <v>103.096860163505</v>
      </c>
      <c r="BF215" s="28">
        <v>54.397244021926603</v>
      </c>
      <c r="BG215" s="28">
        <v>0.256801145342271</v>
      </c>
      <c r="BH215" s="28">
        <v>25.186391471111602</v>
      </c>
      <c r="BI215" s="28">
        <v>6.19606277382508</v>
      </c>
      <c r="BJ215" s="28">
        <v>5.8082650562371798</v>
      </c>
      <c r="BK215" s="28">
        <v>0</v>
      </c>
      <c r="BL215" s="28">
        <v>2.4223442734407201</v>
      </c>
      <c r="BM215" s="28">
        <v>0.69377448795298202</v>
      </c>
      <c r="BN215" s="28">
        <v>0.66646298250894798</v>
      </c>
      <c r="BO215" s="28">
        <v>1.2797202688661</v>
      </c>
      <c r="BP215" s="28">
        <v>7.6035323969272199E-3</v>
      </c>
      <c r="BQ215" s="28">
        <v>5.4133600326262501</v>
      </c>
      <c r="BR215" s="28">
        <v>1.1022909399666401</v>
      </c>
      <c r="BS215" s="28">
        <v>121.459355107912</v>
      </c>
      <c r="BT215" s="28">
        <v>0</v>
      </c>
      <c r="BU215" s="28">
        <v>9.3535015125308096E-2</v>
      </c>
      <c r="BV215" s="28">
        <v>11.5797836945955</v>
      </c>
      <c r="BW215" s="28">
        <v>0.459242372287824</v>
      </c>
      <c r="BX215" s="28">
        <v>11.5159226982957</v>
      </c>
      <c r="BY215" s="28">
        <v>0.63217031901269305</v>
      </c>
      <c r="BZ215" s="28">
        <v>3.3707885204282202</v>
      </c>
      <c r="CA215" s="28">
        <v>2.7387746723953099</v>
      </c>
      <c r="CB215" s="28">
        <v>18.366348922055799</v>
      </c>
      <c r="CC215" s="28">
        <v>1.0067583194272101</v>
      </c>
      <c r="CD215" s="28">
        <v>13.226923792587399</v>
      </c>
      <c r="CE215" s="28">
        <v>4.4974884605133703</v>
      </c>
      <c r="CF215" s="28">
        <v>0</v>
      </c>
      <c r="CG215" s="28">
        <v>3.8156556323756998</v>
      </c>
      <c r="CH215" s="28">
        <v>4.09974450289209</v>
      </c>
      <c r="CI215" s="28">
        <v>6.2280464172363201</v>
      </c>
      <c r="CJ215" s="28">
        <v>15.618399854632599</v>
      </c>
      <c r="CK215" s="28">
        <v>5.1210432052612296</v>
      </c>
      <c r="CL215" s="28">
        <v>7.4329472833684296</v>
      </c>
      <c r="CM215" s="28">
        <v>43.284217264855997</v>
      </c>
      <c r="CN215" s="28">
        <v>6.3627462387085103</v>
      </c>
      <c r="CO215" s="28">
        <v>14.7648245637535</v>
      </c>
      <c r="CP215" s="28">
        <v>13.9676680545004</v>
      </c>
      <c r="CQ215" s="28">
        <v>5.3724732398986799</v>
      </c>
      <c r="CR215" s="28">
        <v>3.8531058945411898</v>
      </c>
      <c r="CS215" s="28">
        <v>0.16807602838528299</v>
      </c>
      <c r="CT215" s="28">
        <v>170.63240639155401</v>
      </c>
      <c r="CU215" s="28">
        <v>3.9290582536379302</v>
      </c>
      <c r="CV215" s="28">
        <v>5.2390120123258699</v>
      </c>
      <c r="CW215" s="28">
        <v>31.965923247252601</v>
      </c>
      <c r="CX215" s="28">
        <v>2.3700368115172701</v>
      </c>
      <c r="CY215" s="28">
        <v>36.568696453901403</v>
      </c>
      <c r="CZ215" s="28">
        <v>1.47217328187862</v>
      </c>
      <c r="DA215" s="28">
        <v>34.327660136059301</v>
      </c>
      <c r="DB215" s="28">
        <v>63.680386054199502</v>
      </c>
      <c r="DC215" s="28">
        <v>18.2218361322339</v>
      </c>
      <c r="DD215" s="28">
        <v>2.5517011525620501</v>
      </c>
      <c r="DE215" s="28">
        <v>0</v>
      </c>
      <c r="DF215" s="28">
        <v>4.8539399621304504</v>
      </c>
      <c r="DG215" s="28">
        <v>40.385581347241903</v>
      </c>
      <c r="DH215" s="28">
        <v>67.276238196182007</v>
      </c>
      <c r="DI215" s="28">
        <v>6.3378860300637596</v>
      </c>
      <c r="DJ215" s="28">
        <v>1.9577149369297899</v>
      </c>
      <c r="DK215" s="28">
        <v>0.34960492628715201</v>
      </c>
      <c r="DL215" s="28">
        <v>5.9836680651444896</v>
      </c>
      <c r="DM215" s="28">
        <v>2.4711077732472102</v>
      </c>
      <c r="DN215" s="28">
        <v>9.3098871542255406</v>
      </c>
      <c r="DO215" s="28">
        <v>15.880081470508999</v>
      </c>
      <c r="DP215" s="28">
        <v>0</v>
      </c>
      <c r="DQ215" s="28">
        <v>23.0808036607812</v>
      </c>
      <c r="DR215" s="28">
        <v>31.7585107291656</v>
      </c>
      <c r="DS215" s="28">
        <v>84.646185242060994</v>
      </c>
      <c r="DT215" s="28">
        <v>1.0562371540019699</v>
      </c>
      <c r="DU215" s="28">
        <v>39.533345357714701</v>
      </c>
      <c r="DV215" s="28">
        <v>9.7152425953501194</v>
      </c>
      <c r="DW215" s="28">
        <v>0</v>
      </c>
      <c r="DX215" s="28">
        <v>5.7361721566967798</v>
      </c>
      <c r="DY215" s="28">
        <v>18.384907607757999</v>
      </c>
      <c r="DZ215" s="28">
        <v>142.54778043252799</v>
      </c>
      <c r="EA215" s="28">
        <v>0.52634514142730104</v>
      </c>
      <c r="EB215" s="28">
        <v>8.7302433085943107</v>
      </c>
      <c r="EC215" s="28">
        <v>27.147265769595698</v>
      </c>
      <c r="ED215" s="28">
        <v>41.507358447735903</v>
      </c>
      <c r="EE215" s="28">
        <v>3.0807793577975802</v>
      </c>
      <c r="EF215" s="28">
        <v>30.339912056212299</v>
      </c>
      <c r="EG215" s="28">
        <v>0.35991993333300598</v>
      </c>
      <c r="EH215" s="28">
        <v>0.124278317177801</v>
      </c>
      <c r="EI215" s="28">
        <v>5.8335510277693702E-2</v>
      </c>
      <c r="EJ215" s="28">
        <v>8.0738602249709395</v>
      </c>
      <c r="EK215" s="28">
        <v>1.9237055241486001</v>
      </c>
      <c r="EL215" s="28">
        <v>9.0634840400943801</v>
      </c>
      <c r="EM215" s="28">
        <v>2.6997314468303401E-2</v>
      </c>
      <c r="EN215" s="28">
        <v>0</v>
      </c>
      <c r="EO215" s="28">
        <v>4.1721080021980201</v>
      </c>
      <c r="EP215" s="28">
        <v>0</v>
      </c>
      <c r="EQ215" s="28">
        <v>0.32333587714634998</v>
      </c>
      <c r="ER215" s="28">
        <v>19.3314093237693</v>
      </c>
      <c r="ES215" s="28">
        <v>16.734366488560202</v>
      </c>
      <c r="ET215" s="28">
        <v>1.60675478921583</v>
      </c>
      <c r="EU215" s="28">
        <v>0.40980577122023298</v>
      </c>
      <c r="EV215" s="28">
        <v>3.2081553657861299</v>
      </c>
      <c r="EW215" s="28">
        <v>12.839252417831601</v>
      </c>
      <c r="EX215" s="28">
        <v>101.260766471162</v>
      </c>
      <c r="EY215" s="28">
        <v>44.941021018741701</v>
      </c>
      <c r="EZ215" s="28">
        <v>42.370936175383001</v>
      </c>
      <c r="FA215" s="28">
        <v>116.858394890291</v>
      </c>
      <c r="FB215" s="28">
        <v>21.169217558602199</v>
      </c>
      <c r="FC215" s="28">
        <v>7.6757260198443698</v>
      </c>
      <c r="FD215" s="28">
        <v>41.03715815228</v>
      </c>
      <c r="FE215" s="28">
        <v>12.076579981579901</v>
      </c>
      <c r="FF215" s="28">
        <v>131.527493155408</v>
      </c>
      <c r="FG215" s="28">
        <v>77.409136680652097</v>
      </c>
      <c r="FH215" s="28">
        <v>4.8194227620197303</v>
      </c>
      <c r="FI215" s="28">
        <v>185.10417889336199</v>
      </c>
      <c r="FJ215" s="28">
        <v>0</v>
      </c>
      <c r="FK215" s="28">
        <v>49.145498576007398</v>
      </c>
      <c r="FL215" s="28">
        <v>854.06477244593702</v>
      </c>
      <c r="FM215" s="28">
        <v>279.06084405546898</v>
      </c>
      <c r="FN215" s="28">
        <v>482.05134952939602</v>
      </c>
      <c r="FO215" s="28">
        <v>0.27483484463199598</v>
      </c>
      <c r="FP215" s="28">
        <v>80.378647919921804</v>
      </c>
      <c r="FQ215" s="28">
        <v>318.70399426940702</v>
      </c>
      <c r="FR215" s="28">
        <v>22.9538566174758</v>
      </c>
      <c r="FS215" s="28">
        <v>28.250926631383098</v>
      </c>
      <c r="FT215" s="28">
        <v>5.3454550140014403</v>
      </c>
      <c r="FU215" s="28">
        <v>619.18650661504398</v>
      </c>
      <c r="FV215" s="28">
        <v>19.386873893628898</v>
      </c>
      <c r="FW215" s="28">
        <v>5.9826305</v>
      </c>
      <c r="FX215" s="28">
        <v>660.50809387167305</v>
      </c>
      <c r="FY215" s="28">
        <v>60.755403170297299</v>
      </c>
      <c r="FZ215" s="28">
        <v>85.565241757975002</v>
      </c>
      <c r="GA215" s="28">
        <v>1.1819576225205799</v>
      </c>
      <c r="GB215" s="28">
        <v>42.955273994141102</v>
      </c>
      <c r="GC215" s="28">
        <v>74.286331365941905</v>
      </c>
      <c r="GD215" s="28">
        <v>336.58750645202298</v>
      </c>
      <c r="GE215" s="28">
        <v>145.395162858296</v>
      </c>
      <c r="GF215" s="28">
        <v>43.130022837370298</v>
      </c>
      <c r="GG215" s="28">
        <v>914.17382286468796</v>
      </c>
      <c r="GH215" s="28">
        <v>97.497954909892997</v>
      </c>
      <c r="GI215" s="28">
        <v>213.292251403601</v>
      </c>
      <c r="GJ215" s="28">
        <v>46.639670013705597</v>
      </c>
      <c r="GK215" s="28">
        <v>232.87519799873999</v>
      </c>
      <c r="GL215" s="28">
        <v>63.971952592676203</v>
      </c>
      <c r="GM215" s="28">
        <v>207.68645847935801</v>
      </c>
      <c r="GN215" s="28">
        <v>1.5574491787337801</v>
      </c>
      <c r="GO215" s="28">
        <v>0</v>
      </c>
      <c r="GP215" s="28">
        <v>0</v>
      </c>
      <c r="GQ215" s="21">
        <v>9852.5805945467018</v>
      </c>
      <c r="GR215" s="21">
        <v>1611.6018992530537</v>
      </c>
      <c r="GS215" s="20">
        <v>1606.5746494930538</v>
      </c>
      <c r="GT215" s="20">
        <v>0</v>
      </c>
      <c r="GU215" s="20">
        <v>5.0272497600000001</v>
      </c>
      <c r="GV215" s="20">
        <v>5.0272497600000001</v>
      </c>
      <c r="GW215" s="20">
        <v>0</v>
      </c>
      <c r="GX215" s="21">
        <v>0</v>
      </c>
      <c r="GY215" s="20">
        <v>0</v>
      </c>
      <c r="GZ215" s="20">
        <v>0</v>
      </c>
      <c r="HA215" s="20"/>
      <c r="HB215" s="21">
        <v>174.26293004001201</v>
      </c>
      <c r="HC215" s="21">
        <v>11638.445423839767</v>
      </c>
    </row>
    <row r="216" spans="2:211" s="7" customFormat="1" ht="17.25" customHeight="1">
      <c r="B216" s="26" t="s">
        <v>689</v>
      </c>
      <c r="C216" s="10" t="s">
        <v>690</v>
      </c>
      <c r="D216" s="28">
        <v>0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  <c r="EU216" s="28">
        <v>0</v>
      </c>
      <c r="EV216" s="28">
        <v>0</v>
      </c>
      <c r="EW216" s="28">
        <v>0</v>
      </c>
      <c r="EX216" s="28">
        <v>0</v>
      </c>
      <c r="EY216" s="28">
        <v>0</v>
      </c>
      <c r="EZ216" s="28">
        <v>0</v>
      </c>
      <c r="FA216" s="28">
        <v>0</v>
      </c>
      <c r="FB216" s="28">
        <v>0</v>
      </c>
      <c r="FC216" s="28">
        <v>0</v>
      </c>
      <c r="FD216" s="28">
        <v>0</v>
      </c>
      <c r="FE216" s="28">
        <v>0</v>
      </c>
      <c r="FF216" s="28">
        <v>0</v>
      </c>
      <c r="FG216" s="28">
        <v>0</v>
      </c>
      <c r="FH216" s="28">
        <v>0</v>
      </c>
      <c r="FI216" s="28">
        <v>0</v>
      </c>
      <c r="FJ216" s="28">
        <v>0</v>
      </c>
      <c r="FK216" s="28">
        <v>0</v>
      </c>
      <c r="FL216" s="28">
        <v>0</v>
      </c>
      <c r="FM216" s="28">
        <v>0</v>
      </c>
      <c r="FN216" s="28">
        <v>0</v>
      </c>
      <c r="FO216" s="28">
        <v>0</v>
      </c>
      <c r="FP216" s="28">
        <v>0</v>
      </c>
      <c r="FQ216" s="28">
        <v>0</v>
      </c>
      <c r="FR216" s="28">
        <v>0</v>
      </c>
      <c r="FS216" s="28">
        <v>0</v>
      </c>
      <c r="FT216" s="28">
        <v>0</v>
      </c>
      <c r="FU216" s="28">
        <v>0</v>
      </c>
      <c r="FV216" s="28">
        <v>0</v>
      </c>
      <c r="FW216" s="28">
        <v>0</v>
      </c>
      <c r="FX216" s="28">
        <v>0</v>
      </c>
      <c r="FY216" s="28">
        <v>0</v>
      </c>
      <c r="FZ216" s="28">
        <v>0</v>
      </c>
      <c r="GA216" s="28">
        <v>0</v>
      </c>
      <c r="GB216" s="28">
        <v>0</v>
      </c>
      <c r="GC216" s="28">
        <v>0</v>
      </c>
      <c r="GD216" s="28">
        <v>0</v>
      </c>
      <c r="GE216" s="28">
        <v>0</v>
      </c>
      <c r="GF216" s="28">
        <v>0</v>
      </c>
      <c r="GG216" s="28">
        <v>0</v>
      </c>
      <c r="GH216" s="28">
        <v>0</v>
      </c>
      <c r="GI216" s="28">
        <v>0</v>
      </c>
      <c r="GJ216" s="28">
        <v>0</v>
      </c>
      <c r="GK216" s="28">
        <v>0</v>
      </c>
      <c r="GL216" s="28">
        <v>0</v>
      </c>
      <c r="GM216" s="28">
        <v>0</v>
      </c>
      <c r="GN216" s="28">
        <v>0</v>
      </c>
      <c r="GO216" s="28">
        <v>0</v>
      </c>
      <c r="GP216" s="28">
        <v>0</v>
      </c>
      <c r="GQ216" s="21">
        <v>0</v>
      </c>
      <c r="GR216" s="21">
        <v>0</v>
      </c>
      <c r="GS216" s="20">
        <v>0</v>
      </c>
      <c r="GT216" s="20">
        <v>0</v>
      </c>
      <c r="GU216" s="20">
        <v>0</v>
      </c>
      <c r="GV216" s="20">
        <v>0</v>
      </c>
      <c r="GW216" s="20">
        <v>0</v>
      </c>
      <c r="GX216" s="21">
        <v>2112.6771939145901</v>
      </c>
      <c r="GY216" s="20">
        <v>2112.6771939145901</v>
      </c>
      <c r="GZ216" s="20">
        <v>0</v>
      </c>
      <c r="HA216" s="20"/>
      <c r="HB216" s="21">
        <v>0</v>
      </c>
      <c r="HC216" s="21">
        <v>2112.6771939145901</v>
      </c>
    </row>
    <row r="217" spans="2:211" s="7" customFormat="1" ht="17.25" customHeight="1">
      <c r="B217" s="26" t="s">
        <v>691</v>
      </c>
      <c r="C217" s="10" t="s">
        <v>692</v>
      </c>
      <c r="D217" s="28">
        <v>0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0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0</v>
      </c>
      <c r="BM217" s="28">
        <v>0</v>
      </c>
      <c r="BN217" s="28">
        <v>0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0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0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0</v>
      </c>
      <c r="CY217" s="28">
        <v>0</v>
      </c>
      <c r="CZ217" s="28">
        <v>0</v>
      </c>
      <c r="DA217" s="28">
        <v>0</v>
      </c>
      <c r="DB217" s="28">
        <v>0</v>
      </c>
      <c r="DC217" s="28">
        <v>0</v>
      </c>
      <c r="DD217" s="28">
        <v>0</v>
      </c>
      <c r="DE217" s="28">
        <v>0</v>
      </c>
      <c r="DF217" s="28">
        <v>0</v>
      </c>
      <c r="DG217" s="28">
        <v>0</v>
      </c>
      <c r="DH217" s="28">
        <v>0</v>
      </c>
      <c r="DI217" s="28">
        <v>0</v>
      </c>
      <c r="DJ217" s="28">
        <v>0</v>
      </c>
      <c r="DK217" s="28">
        <v>0</v>
      </c>
      <c r="DL217" s="28">
        <v>0</v>
      </c>
      <c r="DM217" s="28">
        <v>0</v>
      </c>
      <c r="DN217" s="28">
        <v>0</v>
      </c>
      <c r="DO217" s="28">
        <v>0</v>
      </c>
      <c r="DP217" s="28">
        <v>0</v>
      </c>
      <c r="DQ217" s="28">
        <v>0</v>
      </c>
      <c r="DR217" s="28">
        <v>0</v>
      </c>
      <c r="DS217" s="28">
        <v>0</v>
      </c>
      <c r="DT217" s="28">
        <v>0</v>
      </c>
      <c r="DU217" s="28">
        <v>0</v>
      </c>
      <c r="DV217" s="28">
        <v>0</v>
      </c>
      <c r="DW217" s="28">
        <v>0</v>
      </c>
      <c r="DX217" s="28">
        <v>0</v>
      </c>
      <c r="DY217" s="28">
        <v>0</v>
      </c>
      <c r="DZ217" s="28">
        <v>0</v>
      </c>
      <c r="EA217" s="28">
        <v>0</v>
      </c>
      <c r="EB217" s="28">
        <v>0</v>
      </c>
      <c r="EC217" s="28">
        <v>0</v>
      </c>
      <c r="ED217" s="28">
        <v>0</v>
      </c>
      <c r="EE217" s="28">
        <v>0</v>
      </c>
      <c r="EF217" s="28">
        <v>0</v>
      </c>
      <c r="EG217" s="28">
        <v>0</v>
      </c>
      <c r="EH217" s="28">
        <v>0</v>
      </c>
      <c r="EI217" s="28">
        <v>0</v>
      </c>
      <c r="EJ217" s="28">
        <v>0</v>
      </c>
      <c r="EK217" s="28">
        <v>0</v>
      </c>
      <c r="EL217" s="28">
        <v>0</v>
      </c>
      <c r="EM217" s="28">
        <v>0</v>
      </c>
      <c r="EN217" s="28">
        <v>0</v>
      </c>
      <c r="EO217" s="28">
        <v>0</v>
      </c>
      <c r="EP217" s="28">
        <v>0</v>
      </c>
      <c r="EQ217" s="28">
        <v>0</v>
      </c>
      <c r="ER217" s="28">
        <v>0</v>
      </c>
      <c r="ES217" s="28">
        <v>0</v>
      </c>
      <c r="ET217" s="28">
        <v>0</v>
      </c>
      <c r="EU217" s="28">
        <v>0</v>
      </c>
      <c r="EV217" s="28">
        <v>0</v>
      </c>
      <c r="EW217" s="28">
        <v>0</v>
      </c>
      <c r="EX217" s="28">
        <v>0</v>
      </c>
      <c r="EY217" s="28">
        <v>0</v>
      </c>
      <c r="EZ217" s="28">
        <v>0</v>
      </c>
      <c r="FA217" s="28">
        <v>0</v>
      </c>
      <c r="FB217" s="28">
        <v>0</v>
      </c>
      <c r="FC217" s="28">
        <v>0</v>
      </c>
      <c r="FD217" s="28">
        <v>0</v>
      </c>
      <c r="FE217" s="28">
        <v>0</v>
      </c>
      <c r="FF217" s="28">
        <v>0</v>
      </c>
      <c r="FG217" s="28">
        <v>0</v>
      </c>
      <c r="FH217" s="28">
        <v>0</v>
      </c>
      <c r="FI217" s="28">
        <v>0</v>
      </c>
      <c r="FJ217" s="28">
        <v>0</v>
      </c>
      <c r="FK217" s="28">
        <v>0</v>
      </c>
      <c r="FL217" s="28">
        <v>0</v>
      </c>
      <c r="FM217" s="28">
        <v>0</v>
      </c>
      <c r="FN217" s="28">
        <v>0</v>
      </c>
      <c r="FO217" s="28">
        <v>0</v>
      </c>
      <c r="FP217" s="28">
        <v>0</v>
      </c>
      <c r="FQ217" s="28">
        <v>0</v>
      </c>
      <c r="FR217" s="28">
        <v>0</v>
      </c>
      <c r="FS217" s="28">
        <v>0</v>
      </c>
      <c r="FT217" s="28">
        <v>0</v>
      </c>
      <c r="FU217" s="28">
        <v>0</v>
      </c>
      <c r="FV217" s="28">
        <v>0</v>
      </c>
      <c r="FW217" s="28">
        <v>0</v>
      </c>
      <c r="FX217" s="28">
        <v>0</v>
      </c>
      <c r="FY217" s="28">
        <v>0</v>
      </c>
      <c r="FZ217" s="28">
        <v>0</v>
      </c>
      <c r="GA217" s="28">
        <v>0</v>
      </c>
      <c r="GB217" s="28">
        <v>0</v>
      </c>
      <c r="GC217" s="28">
        <v>0</v>
      </c>
      <c r="GD217" s="28">
        <v>0</v>
      </c>
      <c r="GE217" s="28">
        <v>0</v>
      </c>
      <c r="GF217" s="28">
        <v>0</v>
      </c>
      <c r="GG217" s="28">
        <v>0</v>
      </c>
      <c r="GH217" s="28">
        <v>0</v>
      </c>
      <c r="GI217" s="28">
        <v>0</v>
      </c>
      <c r="GJ217" s="28">
        <v>0</v>
      </c>
      <c r="GK217" s="28">
        <v>0</v>
      </c>
      <c r="GL217" s="28">
        <v>0</v>
      </c>
      <c r="GM217" s="28">
        <v>0</v>
      </c>
      <c r="GN217" s="28">
        <v>0</v>
      </c>
      <c r="GO217" s="28">
        <v>0</v>
      </c>
      <c r="GP217" s="28">
        <v>0</v>
      </c>
      <c r="GQ217" s="21">
        <v>0</v>
      </c>
      <c r="GR217" s="21">
        <v>0</v>
      </c>
      <c r="GS217" s="20">
        <v>0</v>
      </c>
      <c r="GT217" s="20">
        <v>0</v>
      </c>
      <c r="GU217" s="20">
        <v>0</v>
      </c>
      <c r="GV217" s="20">
        <v>0</v>
      </c>
      <c r="GW217" s="20">
        <v>0</v>
      </c>
      <c r="GX217" s="21">
        <v>59.91</v>
      </c>
      <c r="GY217" s="20">
        <v>59.91</v>
      </c>
      <c r="GZ217" s="20">
        <v>0</v>
      </c>
      <c r="HA217" s="20"/>
      <c r="HB217" s="21">
        <v>0</v>
      </c>
      <c r="HC217" s="21">
        <v>59.91</v>
      </c>
    </row>
    <row r="218" spans="2:211" s="7" customFormat="1" ht="17.25" customHeight="1">
      <c r="B218" s="26" t="s">
        <v>693</v>
      </c>
      <c r="C218" s="10" t="s">
        <v>694</v>
      </c>
      <c r="D218" s="28">
        <v>0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  <c r="EU218" s="28">
        <v>0</v>
      </c>
      <c r="EV218" s="28">
        <v>0</v>
      </c>
      <c r="EW218" s="28">
        <v>0</v>
      </c>
      <c r="EX218" s="28">
        <v>253.41258069948199</v>
      </c>
      <c r="EY218" s="28">
        <v>0</v>
      </c>
      <c r="EZ218" s="28">
        <v>681.65798292224304</v>
      </c>
      <c r="FA218" s="28">
        <v>0</v>
      </c>
      <c r="FB218" s="28">
        <v>0</v>
      </c>
      <c r="FC218" s="28">
        <v>0</v>
      </c>
      <c r="FD218" s="28">
        <v>0</v>
      </c>
      <c r="FE218" s="28">
        <v>0</v>
      </c>
      <c r="FF218" s="28">
        <v>0</v>
      </c>
      <c r="FG218" s="28">
        <v>0</v>
      </c>
      <c r="FH218" s="28">
        <v>0</v>
      </c>
      <c r="FI218" s="28">
        <v>0</v>
      </c>
      <c r="FJ218" s="28">
        <v>0</v>
      </c>
      <c r="FK218" s="28">
        <v>0</v>
      </c>
      <c r="FL218" s="28">
        <v>0</v>
      </c>
      <c r="FM218" s="28">
        <v>0</v>
      </c>
      <c r="FN218" s="28">
        <v>0</v>
      </c>
      <c r="FO218" s="28">
        <v>0</v>
      </c>
      <c r="FP218" s="28">
        <v>0</v>
      </c>
      <c r="FQ218" s="28">
        <v>0</v>
      </c>
      <c r="FR218" s="28">
        <v>0</v>
      </c>
      <c r="FS218" s="28">
        <v>0</v>
      </c>
      <c r="FT218" s="28">
        <v>0</v>
      </c>
      <c r="FU218" s="28">
        <v>0</v>
      </c>
      <c r="FV218" s="28">
        <v>0</v>
      </c>
      <c r="FW218" s="28">
        <v>0</v>
      </c>
      <c r="FX218" s="28">
        <v>0</v>
      </c>
      <c r="FY218" s="28">
        <v>0</v>
      </c>
      <c r="FZ218" s="28">
        <v>0</v>
      </c>
      <c r="GA218" s="28">
        <v>0</v>
      </c>
      <c r="GB218" s="28">
        <v>0</v>
      </c>
      <c r="GC218" s="28">
        <v>0</v>
      </c>
      <c r="GD218" s="28">
        <v>0</v>
      </c>
      <c r="GE218" s="28">
        <v>0</v>
      </c>
      <c r="GF218" s="28">
        <v>0</v>
      </c>
      <c r="GG218" s="28">
        <v>0</v>
      </c>
      <c r="GH218" s="28">
        <v>0</v>
      </c>
      <c r="GI218" s="28">
        <v>0</v>
      </c>
      <c r="GJ218" s="28">
        <v>0</v>
      </c>
      <c r="GK218" s="28">
        <v>0</v>
      </c>
      <c r="GL218" s="28">
        <v>0</v>
      </c>
      <c r="GM218" s="28">
        <v>0</v>
      </c>
      <c r="GN218" s="28">
        <v>0</v>
      </c>
      <c r="GO218" s="28">
        <v>0</v>
      </c>
      <c r="GP218" s="28">
        <v>0</v>
      </c>
      <c r="GQ218" s="21">
        <v>934.54216362172394</v>
      </c>
      <c r="GR218" s="21">
        <v>0</v>
      </c>
      <c r="GS218" s="20">
        <v>0</v>
      </c>
      <c r="GT218" s="20">
        <v>0</v>
      </c>
      <c r="GU218" s="20">
        <v>0</v>
      </c>
      <c r="GV218" s="20">
        <v>0</v>
      </c>
      <c r="GW218" s="20">
        <v>0</v>
      </c>
      <c r="GX218" s="21">
        <v>0</v>
      </c>
      <c r="GY218" s="20">
        <v>0</v>
      </c>
      <c r="GZ218" s="20">
        <v>0</v>
      </c>
      <c r="HA218" s="20"/>
      <c r="HB218" s="21">
        <v>0</v>
      </c>
      <c r="HC218" s="21">
        <v>934.54216362172394</v>
      </c>
    </row>
    <row r="219" spans="2:211" s="7" customFormat="1" ht="17.25" customHeight="1">
      <c r="B219" s="26" t="s">
        <v>190</v>
      </c>
      <c r="C219" s="9" t="s">
        <v>695</v>
      </c>
      <c r="D219" s="28">
        <v>0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0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0</v>
      </c>
      <c r="DE219" s="28">
        <v>0</v>
      </c>
      <c r="DF219" s="28">
        <v>0</v>
      </c>
      <c r="DG219" s="28">
        <v>0</v>
      </c>
      <c r="DH219" s="28">
        <v>0</v>
      </c>
      <c r="DI219" s="28">
        <v>0</v>
      </c>
      <c r="DJ219" s="28">
        <v>0</v>
      </c>
      <c r="DK219" s="28">
        <v>0</v>
      </c>
      <c r="DL219" s="28">
        <v>0</v>
      </c>
      <c r="DM219" s="28">
        <v>0</v>
      </c>
      <c r="DN219" s="28">
        <v>0</v>
      </c>
      <c r="DO219" s="28">
        <v>0</v>
      </c>
      <c r="DP219" s="28">
        <v>0</v>
      </c>
      <c r="DQ219" s="28">
        <v>0</v>
      </c>
      <c r="DR219" s="28">
        <v>0</v>
      </c>
      <c r="DS219" s="28">
        <v>0</v>
      </c>
      <c r="DT219" s="28">
        <v>0</v>
      </c>
      <c r="DU219" s="28">
        <v>0</v>
      </c>
      <c r="DV219" s="28">
        <v>0</v>
      </c>
      <c r="DW219" s="28">
        <v>0</v>
      </c>
      <c r="DX219" s="28">
        <v>0</v>
      </c>
      <c r="DY219" s="28">
        <v>0</v>
      </c>
      <c r="DZ219" s="28">
        <v>0</v>
      </c>
      <c r="EA219" s="28">
        <v>0</v>
      </c>
      <c r="EB219" s="28">
        <v>0</v>
      </c>
      <c r="EC219" s="28">
        <v>0</v>
      </c>
      <c r="ED219" s="28">
        <v>0</v>
      </c>
      <c r="EE219" s="28">
        <v>0</v>
      </c>
      <c r="EF219" s="28">
        <v>0</v>
      </c>
      <c r="EG219" s="28">
        <v>0</v>
      </c>
      <c r="EH219" s="28">
        <v>0</v>
      </c>
      <c r="EI219" s="28">
        <v>0</v>
      </c>
      <c r="EJ219" s="28">
        <v>0</v>
      </c>
      <c r="EK219" s="28">
        <v>0</v>
      </c>
      <c r="EL219" s="28">
        <v>0</v>
      </c>
      <c r="EM219" s="28">
        <v>0</v>
      </c>
      <c r="EN219" s="28">
        <v>0</v>
      </c>
      <c r="EO219" s="28">
        <v>0</v>
      </c>
      <c r="EP219" s="28">
        <v>0</v>
      </c>
      <c r="EQ219" s="28">
        <v>0</v>
      </c>
      <c r="ER219" s="28">
        <v>0</v>
      </c>
      <c r="ES219" s="28">
        <v>0</v>
      </c>
      <c r="ET219" s="28">
        <v>0</v>
      </c>
      <c r="EU219" s="28">
        <v>0</v>
      </c>
      <c r="EV219" s="28">
        <v>0</v>
      </c>
      <c r="EW219" s="28">
        <v>0</v>
      </c>
      <c r="EX219" s="28">
        <v>0</v>
      </c>
      <c r="EY219" s="28">
        <v>0</v>
      </c>
      <c r="EZ219" s="28">
        <v>0</v>
      </c>
      <c r="FA219" s="28">
        <v>0</v>
      </c>
      <c r="FB219" s="28">
        <v>0</v>
      </c>
      <c r="FC219" s="28">
        <v>0</v>
      </c>
      <c r="FD219" s="28">
        <v>0</v>
      </c>
      <c r="FE219" s="28">
        <v>0</v>
      </c>
      <c r="FF219" s="28">
        <v>0</v>
      </c>
      <c r="FG219" s="28">
        <v>0</v>
      </c>
      <c r="FH219" s="28">
        <v>0</v>
      </c>
      <c r="FI219" s="28">
        <v>0</v>
      </c>
      <c r="FJ219" s="28">
        <v>0</v>
      </c>
      <c r="FK219" s="28">
        <v>0</v>
      </c>
      <c r="FL219" s="28">
        <v>0</v>
      </c>
      <c r="FM219" s="28">
        <v>0</v>
      </c>
      <c r="FN219" s="28">
        <v>0</v>
      </c>
      <c r="FO219" s="28">
        <v>0</v>
      </c>
      <c r="FP219" s="28">
        <v>0</v>
      </c>
      <c r="FQ219" s="28">
        <v>0</v>
      </c>
      <c r="FR219" s="28">
        <v>0</v>
      </c>
      <c r="FS219" s="28">
        <v>0</v>
      </c>
      <c r="FT219" s="28">
        <v>0</v>
      </c>
      <c r="FU219" s="28">
        <v>0</v>
      </c>
      <c r="FV219" s="28">
        <v>0</v>
      </c>
      <c r="FW219" s="28">
        <v>0</v>
      </c>
      <c r="FX219" s="28">
        <v>0</v>
      </c>
      <c r="FY219" s="28">
        <v>0</v>
      </c>
      <c r="FZ219" s="28">
        <v>0</v>
      </c>
      <c r="GA219" s="28">
        <v>0</v>
      </c>
      <c r="GB219" s="28">
        <v>0</v>
      </c>
      <c r="GC219" s="28">
        <v>0</v>
      </c>
      <c r="GD219" s="28">
        <v>0</v>
      </c>
      <c r="GE219" s="28">
        <v>0</v>
      </c>
      <c r="GF219" s="28">
        <v>0</v>
      </c>
      <c r="GG219" s="28">
        <v>0</v>
      </c>
      <c r="GH219" s="28">
        <v>0</v>
      </c>
      <c r="GI219" s="28">
        <v>0</v>
      </c>
      <c r="GJ219" s="28">
        <v>0</v>
      </c>
      <c r="GK219" s="28">
        <v>0</v>
      </c>
      <c r="GL219" s="28">
        <v>0</v>
      </c>
      <c r="GM219" s="28">
        <v>0</v>
      </c>
      <c r="GN219" s="28">
        <v>0</v>
      </c>
      <c r="GO219" s="28">
        <v>0</v>
      </c>
      <c r="GP219" s="28">
        <v>0</v>
      </c>
      <c r="GQ219" s="21">
        <v>0</v>
      </c>
      <c r="GR219" s="21">
        <v>21800.7031680205</v>
      </c>
      <c r="GS219" s="20">
        <v>2801.0794627555115</v>
      </c>
      <c r="GT219" s="20">
        <v>0</v>
      </c>
      <c r="GU219" s="20">
        <v>18999.623705264989</v>
      </c>
      <c r="GV219" s="20">
        <v>0</v>
      </c>
      <c r="GW219" s="20">
        <v>18999.623705264989</v>
      </c>
      <c r="GX219" s="21">
        <v>0</v>
      </c>
      <c r="GY219" s="20">
        <v>0</v>
      </c>
      <c r="GZ219" s="20">
        <v>0</v>
      </c>
      <c r="HA219" s="20"/>
      <c r="HB219" s="21">
        <v>0</v>
      </c>
      <c r="HC219" s="21">
        <v>21800.7031680205</v>
      </c>
    </row>
    <row r="220" spans="2:211" s="7" customFormat="1" ht="17.25" customHeight="1">
      <c r="B220" s="26" t="s">
        <v>191</v>
      </c>
      <c r="C220" s="10" t="s">
        <v>696</v>
      </c>
      <c r="D220" s="28">
        <v>0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0.74943536534358202</v>
      </c>
      <c r="AU220" s="28">
        <v>0</v>
      </c>
      <c r="AV220" s="28">
        <v>1.2866466414581801</v>
      </c>
      <c r="AW220" s="28">
        <v>15.291277537856001</v>
      </c>
      <c r="AX220" s="28">
        <v>3.8136527930189099</v>
      </c>
      <c r="AY220" s="28">
        <v>9.98607803667758E-2</v>
      </c>
      <c r="AZ220" s="28">
        <v>0.77183780534007496</v>
      </c>
      <c r="BA220" s="28">
        <v>3.1106077191610602E-2</v>
      </c>
      <c r="BB220" s="28">
        <v>0.123475967193789</v>
      </c>
      <c r="BC220" s="28">
        <v>4.4344360086117796</v>
      </c>
      <c r="BD220" s="28">
        <v>0</v>
      </c>
      <c r="BE220" s="28">
        <v>0</v>
      </c>
      <c r="BF220" s="28">
        <v>0</v>
      </c>
      <c r="BG220" s="28">
        <v>0</v>
      </c>
      <c r="BH220" s="28">
        <v>4.8355672567400196</v>
      </c>
      <c r="BI220" s="28">
        <v>5.81074962053756E-2</v>
      </c>
      <c r="BJ220" s="28">
        <v>0.862184684586221</v>
      </c>
      <c r="BK220" s="28">
        <v>0</v>
      </c>
      <c r="BL220" s="28">
        <v>0.21627658041665901</v>
      </c>
      <c r="BM220" s="28">
        <v>4.6626456039818902E-2</v>
      </c>
      <c r="BN220" s="28">
        <v>0.16006999710582001</v>
      </c>
      <c r="BO220" s="28">
        <v>0.35169899433943402</v>
      </c>
      <c r="BP220" s="28">
        <v>2.4656879139051198E-3</v>
      </c>
      <c r="BQ220" s="28">
        <v>0.30956554838227501</v>
      </c>
      <c r="BR220" s="28">
        <v>1.0167910932620899E-2</v>
      </c>
      <c r="BS220" s="28">
        <v>0</v>
      </c>
      <c r="BT220" s="28">
        <v>0</v>
      </c>
      <c r="BU220" s="28">
        <v>0.160368641170517</v>
      </c>
      <c r="BV220" s="28">
        <v>0.91597490120637004</v>
      </c>
      <c r="BW220" s="28">
        <v>0</v>
      </c>
      <c r="BX220" s="28">
        <v>0.122491627429757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0.66489503875653799</v>
      </c>
      <c r="CH220" s="28">
        <v>3.38612894788985E-2</v>
      </c>
      <c r="CI220" s="28">
        <v>0.64870089292526201</v>
      </c>
      <c r="CJ220" s="28">
        <v>0</v>
      </c>
      <c r="CK220" s="28">
        <v>0</v>
      </c>
      <c r="CL220" s="28">
        <v>5.77624282554552E-3</v>
      </c>
      <c r="CM220" s="28">
        <v>0.75277219948864904</v>
      </c>
      <c r="CN220" s="28">
        <v>0</v>
      </c>
      <c r="CO220" s="28">
        <v>0</v>
      </c>
      <c r="CP220" s="28">
        <v>7.0956587791442899E-2</v>
      </c>
      <c r="CQ220" s="28">
        <v>0</v>
      </c>
      <c r="CR220" s="28">
        <v>0.24984550490638199</v>
      </c>
      <c r="CS220" s="28">
        <v>3.5111492233123901E-3</v>
      </c>
      <c r="CT220" s="28">
        <v>0.44363901575548098</v>
      </c>
      <c r="CU220" s="28">
        <v>1.72488043297091E-2</v>
      </c>
      <c r="CV220" s="28">
        <v>1.3455066796469401E-2</v>
      </c>
      <c r="CW220" s="28">
        <v>0.28950347715837998</v>
      </c>
      <c r="CX220" s="28">
        <v>4.3744671595783904E-3</v>
      </c>
      <c r="CY220" s="28">
        <v>0.40870698685005902</v>
      </c>
      <c r="CZ220" s="28">
        <v>0</v>
      </c>
      <c r="DA220" s="28">
        <v>2.6751409063172801E-2</v>
      </c>
      <c r="DB220" s="28">
        <v>8.3297622211270003E-2</v>
      </c>
      <c r="DC220" s="28">
        <v>0</v>
      </c>
      <c r="DD220" s="28">
        <v>0</v>
      </c>
      <c r="DE220" s="28">
        <v>0</v>
      </c>
      <c r="DF220" s="28">
        <v>1.00632374355136E-2</v>
      </c>
      <c r="DG220" s="28">
        <v>2.3166193724522901</v>
      </c>
      <c r="DH220" s="28">
        <v>1.4046775460605301</v>
      </c>
      <c r="DI220" s="28">
        <v>7.6475183882442704E-2</v>
      </c>
      <c r="DJ220" s="28">
        <v>0.332730131894314</v>
      </c>
      <c r="DK220" s="28">
        <v>2.0089368623687001E-2</v>
      </c>
      <c r="DL220" s="28">
        <v>0.351426096950883</v>
      </c>
      <c r="DM220" s="28">
        <v>0</v>
      </c>
      <c r="DN220" s="28">
        <v>2.55877703562622E-2</v>
      </c>
      <c r="DO220" s="28">
        <v>0.91515799734179704</v>
      </c>
      <c r="DP220" s="28">
        <v>0</v>
      </c>
      <c r="DQ220" s="28">
        <v>0.335143532218103</v>
      </c>
      <c r="DR220" s="28">
        <v>5.9041340239623699</v>
      </c>
      <c r="DS220" s="28">
        <v>0.82687423237319002</v>
      </c>
      <c r="DT220" s="28">
        <v>2.2027649716370001E-2</v>
      </c>
      <c r="DU220" s="28">
        <v>1.30950453126993</v>
      </c>
      <c r="DV220" s="28">
        <v>0.26120897959733103</v>
      </c>
      <c r="DW220" s="28">
        <v>0</v>
      </c>
      <c r="DX220" s="28">
        <v>0.51712591388755802</v>
      </c>
      <c r="DY220" s="28">
        <v>0.50583624645463499</v>
      </c>
      <c r="DZ220" s="28">
        <v>2.0273283755303</v>
      </c>
      <c r="EA220" s="28">
        <v>9.2147447656582403E-3</v>
      </c>
      <c r="EB220" s="28">
        <v>1.7336078388740399</v>
      </c>
      <c r="EC220" s="28">
        <v>0.30144123744679002</v>
      </c>
      <c r="ED220" s="28">
        <v>0.37667673761452802</v>
      </c>
      <c r="EE220" s="28">
        <v>4.9282149337986697E-3</v>
      </c>
      <c r="EF220" s="28">
        <v>3.8458025085660599</v>
      </c>
      <c r="EG220" s="28">
        <v>3.9529282224550398E-2</v>
      </c>
      <c r="EH220" s="28">
        <v>1.3649237564089501E-2</v>
      </c>
      <c r="EI220" s="28">
        <v>6.4010822886486898E-3</v>
      </c>
      <c r="EJ220" s="28">
        <v>6.7391098784531298E-2</v>
      </c>
      <c r="EK220" s="28">
        <v>0</v>
      </c>
      <c r="EL220" s="28">
        <v>0</v>
      </c>
      <c r="EM220" s="28">
        <v>0</v>
      </c>
      <c r="EN220" s="28">
        <v>0</v>
      </c>
      <c r="EO220" s="28">
        <v>0.20959814681095101</v>
      </c>
      <c r="EP220" s="28">
        <v>0</v>
      </c>
      <c r="EQ220" s="28">
        <v>1.15848315097007E-2</v>
      </c>
      <c r="ER220" s="28">
        <v>2.09212208177799E-2</v>
      </c>
      <c r="ES220" s="28">
        <v>2.65502386580533</v>
      </c>
      <c r="ET220" s="28">
        <v>5.70068201892312E-2</v>
      </c>
      <c r="EU220" s="28">
        <v>0</v>
      </c>
      <c r="EV220" s="28">
        <v>0.33939356262625497</v>
      </c>
      <c r="EW220" s="28">
        <v>0</v>
      </c>
      <c r="EX220" s="28">
        <v>0</v>
      </c>
      <c r="EY220" s="28">
        <v>0</v>
      </c>
      <c r="EZ220" s="28">
        <v>0.81876199999999999</v>
      </c>
      <c r="FA220" s="28">
        <v>0.11477795373718799</v>
      </c>
      <c r="FB220" s="28">
        <v>6.7103527309867905E-2</v>
      </c>
      <c r="FC220" s="28">
        <v>1.1484464664259499</v>
      </c>
      <c r="FD220" s="28">
        <v>1.2836577568779299</v>
      </c>
      <c r="FE220" s="28">
        <v>0</v>
      </c>
      <c r="FF220" s="28">
        <v>0</v>
      </c>
      <c r="FG220" s="28">
        <v>0.30986004955451901</v>
      </c>
      <c r="FH220" s="28">
        <v>3.3724142366362397E-2</v>
      </c>
      <c r="FI220" s="28">
        <v>77.159771916587999</v>
      </c>
      <c r="FJ220" s="28">
        <v>0</v>
      </c>
      <c r="FK220" s="28">
        <v>0</v>
      </c>
      <c r="FL220" s="28">
        <v>0</v>
      </c>
      <c r="FM220" s="28">
        <v>0</v>
      </c>
      <c r="FN220" s="28">
        <v>2.5309589346734702</v>
      </c>
      <c r="FO220" s="28">
        <v>3.2076724903461001E-2</v>
      </c>
      <c r="FP220" s="28">
        <v>0</v>
      </c>
      <c r="FQ220" s="28">
        <v>1.1328555137024701</v>
      </c>
      <c r="FR220" s="28">
        <v>0</v>
      </c>
      <c r="FS220" s="28">
        <v>9.1358612109049204</v>
      </c>
      <c r="FT220" s="28">
        <v>35.654590630454798</v>
      </c>
      <c r="FU220" s="28">
        <v>0</v>
      </c>
      <c r="FV220" s="28">
        <v>11.020772209618301</v>
      </c>
      <c r="FW220" s="28">
        <v>0.15264420000000001</v>
      </c>
      <c r="FX220" s="28">
        <v>18.3078669200295</v>
      </c>
      <c r="FY220" s="28">
        <v>4.8043376999999996</v>
      </c>
      <c r="FZ220" s="28">
        <v>0.61269103805515801</v>
      </c>
      <c r="GA220" s="28">
        <v>2.2825829214863898E-3</v>
      </c>
      <c r="GB220" s="28">
        <v>0.52498950078440099</v>
      </c>
      <c r="GC220" s="28">
        <v>0.37697009068014398</v>
      </c>
      <c r="GD220" s="28">
        <v>2.3579495143515401</v>
      </c>
      <c r="GE220" s="28">
        <v>23.1018456488897</v>
      </c>
      <c r="GF220" s="28">
        <v>0.63817689798101396</v>
      </c>
      <c r="GG220" s="28">
        <v>11.646942281746</v>
      </c>
      <c r="GH220" s="28">
        <v>0</v>
      </c>
      <c r="GI220" s="28">
        <v>6.4089622922687699</v>
      </c>
      <c r="GJ220" s="28">
        <v>0</v>
      </c>
      <c r="GK220" s="28">
        <v>0.25962128030461301</v>
      </c>
      <c r="GL220" s="28">
        <v>0.97341770777699299</v>
      </c>
      <c r="GM220" s="28">
        <v>11.3884612461282</v>
      </c>
      <c r="GN220" s="28">
        <v>0</v>
      </c>
      <c r="GO220" s="28">
        <v>0</v>
      </c>
      <c r="GP220" s="28">
        <v>0</v>
      </c>
      <c r="GQ220" s="21">
        <v>287.22514907343395</v>
      </c>
      <c r="GR220" s="21">
        <v>3690.3662975981629</v>
      </c>
      <c r="GS220" s="20">
        <v>3690.3662975981629</v>
      </c>
      <c r="GT220" s="20">
        <v>0</v>
      </c>
      <c r="GU220" s="20">
        <v>0</v>
      </c>
      <c r="GV220" s="20">
        <v>0</v>
      </c>
      <c r="GW220" s="20">
        <v>0</v>
      </c>
      <c r="GX220" s="21">
        <v>0</v>
      </c>
      <c r="GY220" s="20">
        <v>0</v>
      </c>
      <c r="GZ220" s="20">
        <v>0</v>
      </c>
      <c r="HA220" s="20"/>
      <c r="HB220" s="21">
        <v>15.124009848970401</v>
      </c>
      <c r="HC220" s="21">
        <v>3992.7154565205669</v>
      </c>
    </row>
    <row r="221" spans="2:211" s="7" customFormat="1" ht="17.25" customHeight="1">
      <c r="B221" s="26" t="s">
        <v>192</v>
      </c>
      <c r="C221" s="10" t="s">
        <v>697</v>
      </c>
      <c r="D221" s="28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0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0</v>
      </c>
      <c r="BD221" s="28">
        <v>0</v>
      </c>
      <c r="BE221" s="28">
        <v>0</v>
      </c>
      <c r="BF221" s="28">
        <v>0</v>
      </c>
      <c r="BG221" s="28">
        <v>0</v>
      </c>
      <c r="BH221" s="28">
        <v>0</v>
      </c>
      <c r="BI221" s="28">
        <v>0</v>
      </c>
      <c r="BJ221" s="28">
        <v>0</v>
      </c>
      <c r="BK221" s="28">
        <v>0</v>
      </c>
      <c r="BL221" s="28">
        <v>0</v>
      </c>
      <c r="BM221" s="28">
        <v>0</v>
      </c>
      <c r="BN221" s="28">
        <v>0</v>
      </c>
      <c r="BO221" s="28">
        <v>0</v>
      </c>
      <c r="BP221" s="28">
        <v>0</v>
      </c>
      <c r="BQ221" s="28">
        <v>0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0</v>
      </c>
      <c r="CF221" s="28">
        <v>0</v>
      </c>
      <c r="CG221" s="28">
        <v>0</v>
      </c>
      <c r="CH221" s="28">
        <v>0</v>
      </c>
      <c r="CI221" s="28">
        <v>0</v>
      </c>
      <c r="CJ221" s="28">
        <v>0</v>
      </c>
      <c r="CK221" s="28">
        <v>0</v>
      </c>
      <c r="CL221" s="28">
        <v>0</v>
      </c>
      <c r="CM221" s="28">
        <v>0</v>
      </c>
      <c r="CN221" s="28">
        <v>0</v>
      </c>
      <c r="CO221" s="28">
        <v>0</v>
      </c>
      <c r="CP221" s="28">
        <v>0</v>
      </c>
      <c r="CQ221" s="28">
        <v>0</v>
      </c>
      <c r="CR221" s="28">
        <v>0</v>
      </c>
      <c r="CS221" s="28">
        <v>0</v>
      </c>
      <c r="CT221" s="28">
        <v>0</v>
      </c>
      <c r="CU221" s="28">
        <v>0</v>
      </c>
      <c r="CV221" s="28">
        <v>0</v>
      </c>
      <c r="CW221" s="28">
        <v>0</v>
      </c>
      <c r="CX221" s="28">
        <v>0</v>
      </c>
      <c r="CY221" s="28">
        <v>0</v>
      </c>
      <c r="CZ221" s="28">
        <v>0</v>
      </c>
      <c r="DA221" s="28">
        <v>0</v>
      </c>
      <c r="DB221" s="28">
        <v>0</v>
      </c>
      <c r="DC221" s="28">
        <v>0</v>
      </c>
      <c r="DD221" s="28">
        <v>0</v>
      </c>
      <c r="DE221" s="28">
        <v>0</v>
      </c>
      <c r="DF221" s="28">
        <v>0</v>
      </c>
      <c r="DG221" s="28">
        <v>0</v>
      </c>
      <c r="DH221" s="28">
        <v>0</v>
      </c>
      <c r="DI221" s="28">
        <v>0</v>
      </c>
      <c r="DJ221" s="28">
        <v>0</v>
      </c>
      <c r="DK221" s="28">
        <v>0</v>
      </c>
      <c r="DL221" s="28">
        <v>0</v>
      </c>
      <c r="DM221" s="28">
        <v>0</v>
      </c>
      <c r="DN221" s="28">
        <v>0</v>
      </c>
      <c r="DO221" s="28">
        <v>0</v>
      </c>
      <c r="DP221" s="28">
        <v>0</v>
      </c>
      <c r="DQ221" s="28">
        <v>0</v>
      </c>
      <c r="DR221" s="28">
        <v>0</v>
      </c>
      <c r="DS221" s="28">
        <v>0</v>
      </c>
      <c r="DT221" s="28">
        <v>0</v>
      </c>
      <c r="DU221" s="28">
        <v>0</v>
      </c>
      <c r="DV221" s="28">
        <v>0</v>
      </c>
      <c r="DW221" s="28">
        <v>0</v>
      </c>
      <c r="DX221" s="28">
        <v>0</v>
      </c>
      <c r="DY221" s="28">
        <v>0</v>
      </c>
      <c r="DZ221" s="28">
        <v>0</v>
      </c>
      <c r="EA221" s="28">
        <v>0</v>
      </c>
      <c r="EB221" s="28">
        <v>0</v>
      </c>
      <c r="EC221" s="28">
        <v>0</v>
      </c>
      <c r="ED221" s="28">
        <v>0</v>
      </c>
      <c r="EE221" s="28">
        <v>0</v>
      </c>
      <c r="EF221" s="28">
        <v>0</v>
      </c>
      <c r="EG221" s="28">
        <v>0</v>
      </c>
      <c r="EH221" s="28">
        <v>0</v>
      </c>
      <c r="EI221" s="28">
        <v>0</v>
      </c>
      <c r="EJ221" s="28">
        <v>0</v>
      </c>
      <c r="EK221" s="28">
        <v>0</v>
      </c>
      <c r="EL221" s="28">
        <v>0</v>
      </c>
      <c r="EM221" s="28">
        <v>0</v>
      </c>
      <c r="EN221" s="28">
        <v>0</v>
      </c>
      <c r="EO221" s="28">
        <v>0</v>
      </c>
      <c r="EP221" s="28">
        <v>0</v>
      </c>
      <c r="EQ221" s="28">
        <v>0</v>
      </c>
      <c r="ER221" s="28">
        <v>0</v>
      </c>
      <c r="ES221" s="28">
        <v>0</v>
      </c>
      <c r="ET221" s="28">
        <v>0</v>
      </c>
      <c r="EU221" s="28">
        <v>0</v>
      </c>
      <c r="EV221" s="28">
        <v>0</v>
      </c>
      <c r="EW221" s="28">
        <v>0</v>
      </c>
      <c r="EX221" s="28">
        <v>0</v>
      </c>
      <c r="EY221" s="28">
        <v>0</v>
      </c>
      <c r="EZ221" s="28">
        <v>0</v>
      </c>
      <c r="FA221" s="28">
        <v>0</v>
      </c>
      <c r="FB221" s="28">
        <v>0</v>
      </c>
      <c r="FC221" s="28">
        <v>0</v>
      </c>
      <c r="FD221" s="28">
        <v>0</v>
      </c>
      <c r="FE221" s="28">
        <v>0</v>
      </c>
      <c r="FF221" s="28">
        <v>0</v>
      </c>
      <c r="FG221" s="28">
        <v>0</v>
      </c>
      <c r="FH221" s="28">
        <v>0</v>
      </c>
      <c r="FI221" s="28">
        <v>0</v>
      </c>
      <c r="FJ221" s="28">
        <v>0</v>
      </c>
      <c r="FK221" s="28">
        <v>0</v>
      </c>
      <c r="FL221" s="28">
        <v>0</v>
      </c>
      <c r="FM221" s="28">
        <v>0</v>
      </c>
      <c r="FN221" s="28">
        <v>0</v>
      </c>
      <c r="FO221" s="28">
        <v>0</v>
      </c>
      <c r="FP221" s="28">
        <v>0</v>
      </c>
      <c r="FQ221" s="28">
        <v>0</v>
      </c>
      <c r="FR221" s="28">
        <v>0</v>
      </c>
      <c r="FS221" s="28">
        <v>0</v>
      </c>
      <c r="FT221" s="28">
        <v>0</v>
      </c>
      <c r="FU221" s="28">
        <v>0</v>
      </c>
      <c r="FV221" s="28">
        <v>0</v>
      </c>
      <c r="FW221" s="28">
        <v>0</v>
      </c>
      <c r="FX221" s="28">
        <v>0</v>
      </c>
      <c r="FY221" s="28">
        <v>0</v>
      </c>
      <c r="FZ221" s="28">
        <v>0</v>
      </c>
      <c r="GA221" s="28">
        <v>0</v>
      </c>
      <c r="GB221" s="28">
        <v>0</v>
      </c>
      <c r="GC221" s="28">
        <v>0</v>
      </c>
      <c r="GD221" s="28">
        <v>0</v>
      </c>
      <c r="GE221" s="28">
        <v>0</v>
      </c>
      <c r="GF221" s="28">
        <v>0</v>
      </c>
      <c r="GG221" s="28">
        <v>0</v>
      </c>
      <c r="GH221" s="28">
        <v>0</v>
      </c>
      <c r="GI221" s="28">
        <v>0</v>
      </c>
      <c r="GJ221" s="28">
        <v>0</v>
      </c>
      <c r="GK221" s="28">
        <v>0</v>
      </c>
      <c r="GL221" s="28">
        <v>0</v>
      </c>
      <c r="GM221" s="28">
        <v>0</v>
      </c>
      <c r="GN221" s="28">
        <v>0</v>
      </c>
      <c r="GO221" s="28">
        <v>0</v>
      </c>
      <c r="GP221" s="28">
        <v>0</v>
      </c>
      <c r="GQ221" s="21">
        <v>0</v>
      </c>
      <c r="GR221" s="21">
        <v>18679.4100738786</v>
      </c>
      <c r="GS221" s="20">
        <v>560.25854861652624</v>
      </c>
      <c r="GT221" s="20">
        <v>255.52624128120274</v>
      </c>
      <c r="GU221" s="20">
        <v>17863.625283980869</v>
      </c>
      <c r="GV221" s="20">
        <v>17863.625283980869</v>
      </c>
      <c r="GW221" s="20">
        <v>0</v>
      </c>
      <c r="GX221" s="21">
        <v>0</v>
      </c>
      <c r="GY221" s="20">
        <v>0</v>
      </c>
      <c r="GZ221" s="20">
        <v>0</v>
      </c>
      <c r="HA221" s="20"/>
      <c r="HB221" s="21">
        <v>0</v>
      </c>
      <c r="HC221" s="21">
        <v>18679.4100738786</v>
      </c>
    </row>
    <row r="222" spans="2:211" s="7" customFormat="1" ht="17.25" customHeight="1">
      <c r="B222" s="26" t="s">
        <v>193</v>
      </c>
      <c r="C222" s="10" t="s">
        <v>698</v>
      </c>
      <c r="D222" s="28">
        <v>0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7.7527483596783802E-3</v>
      </c>
      <c r="AU222" s="28">
        <v>0</v>
      </c>
      <c r="AV222" s="28">
        <v>1.7510601383396499E-2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0</v>
      </c>
      <c r="CT222" s="28">
        <v>0</v>
      </c>
      <c r="CU222" s="28">
        <v>0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0.27471742300209101</v>
      </c>
      <c r="DB222" s="28">
        <v>7.3900873596674996</v>
      </c>
      <c r="DC222" s="28">
        <v>0.32575397588999799</v>
      </c>
      <c r="DD222" s="28">
        <v>0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0</v>
      </c>
      <c r="DO222" s="28">
        <v>0</v>
      </c>
      <c r="DP222" s="28">
        <v>0</v>
      </c>
      <c r="DQ222" s="28">
        <v>0</v>
      </c>
      <c r="DR222" s="28">
        <v>0</v>
      </c>
      <c r="DS222" s="28">
        <v>0</v>
      </c>
      <c r="DT222" s="28">
        <v>0</v>
      </c>
      <c r="DU222" s="28">
        <v>0</v>
      </c>
      <c r="DV222" s="28">
        <v>0</v>
      </c>
      <c r="DW222" s="28">
        <v>0</v>
      </c>
      <c r="DX222" s="28">
        <v>1.34028380704678E-2</v>
      </c>
      <c r="DY222" s="28">
        <v>0</v>
      </c>
      <c r="DZ222" s="28">
        <v>0</v>
      </c>
      <c r="EA222" s="28">
        <v>0</v>
      </c>
      <c r="EB222" s="28">
        <v>0</v>
      </c>
      <c r="EC222" s="28">
        <v>0</v>
      </c>
      <c r="ED222" s="28">
        <v>0</v>
      </c>
      <c r="EE222" s="28">
        <v>6.3454852368121095E-2</v>
      </c>
      <c r="EF222" s="28">
        <v>0</v>
      </c>
      <c r="EG222" s="28">
        <v>0</v>
      </c>
      <c r="EH222" s="28">
        <v>0</v>
      </c>
      <c r="EI222" s="28">
        <v>0</v>
      </c>
      <c r="EJ222" s="28">
        <v>0</v>
      </c>
      <c r="EK222" s="28">
        <v>0</v>
      </c>
      <c r="EL222" s="28">
        <v>0</v>
      </c>
      <c r="EM222" s="28">
        <v>0</v>
      </c>
      <c r="EN222" s="28">
        <v>0</v>
      </c>
      <c r="EO222" s="28">
        <v>0</v>
      </c>
      <c r="EP222" s="28">
        <v>0</v>
      </c>
      <c r="EQ222" s="28">
        <v>0</v>
      </c>
      <c r="ER222" s="28">
        <v>0</v>
      </c>
      <c r="ES222" s="28">
        <v>0</v>
      </c>
      <c r="ET222" s="28">
        <v>0</v>
      </c>
      <c r="EU222" s="28">
        <v>0</v>
      </c>
      <c r="EV222" s="28">
        <v>0</v>
      </c>
      <c r="EW222" s="28">
        <v>0</v>
      </c>
      <c r="EX222" s="28">
        <v>1.1219957381822101E-2</v>
      </c>
      <c r="EY222" s="28">
        <v>3.89628856548987E-2</v>
      </c>
      <c r="EZ222" s="28">
        <v>1.68371910249453E-3</v>
      </c>
      <c r="FA222" s="28">
        <v>0.54706290043919603</v>
      </c>
      <c r="FB222" s="28">
        <v>0.24498527572311199</v>
      </c>
      <c r="FC222" s="28">
        <v>1.2458237279425599</v>
      </c>
      <c r="FD222" s="28">
        <v>0.41060487042142702</v>
      </c>
      <c r="FE222" s="28">
        <v>0</v>
      </c>
      <c r="FF222" s="28">
        <v>0</v>
      </c>
      <c r="FG222" s="28">
        <v>1.04344799678068</v>
      </c>
      <c r="FH222" s="28">
        <v>0.103007553002366</v>
      </c>
      <c r="FI222" s="28">
        <v>11.7316331614629</v>
      </c>
      <c r="FJ222" s="28">
        <v>0</v>
      </c>
      <c r="FK222" s="28">
        <v>0</v>
      </c>
      <c r="FL222" s="28">
        <v>0</v>
      </c>
      <c r="FM222" s="28">
        <v>7.1999999999999995E-2</v>
      </c>
      <c r="FN222" s="28">
        <v>1.5049882029417101</v>
      </c>
      <c r="FO222" s="28">
        <v>0</v>
      </c>
      <c r="FP222" s="28">
        <v>0</v>
      </c>
      <c r="FQ222" s="28">
        <v>2.9904362359199301</v>
      </c>
      <c r="FR222" s="28">
        <v>0</v>
      </c>
      <c r="FS222" s="28">
        <v>0</v>
      </c>
      <c r="FT222" s="28">
        <v>0.81772151204362098</v>
      </c>
      <c r="FU222" s="28">
        <v>8.1605778058605694</v>
      </c>
      <c r="FV222" s="28">
        <v>0</v>
      </c>
      <c r="FW222" s="28">
        <v>1.9199999999999998E-2</v>
      </c>
      <c r="FX222" s="28">
        <v>3.1199999999999999E-3</v>
      </c>
      <c r="FY222" s="28">
        <v>13.735190457030599</v>
      </c>
      <c r="FZ222" s="28">
        <v>0</v>
      </c>
      <c r="GA222" s="28">
        <v>3.97534501228611E-5</v>
      </c>
      <c r="GB222" s="28">
        <v>0.66121121088838597</v>
      </c>
      <c r="GC222" s="28">
        <v>0.47478444760305</v>
      </c>
      <c r="GD222" s="28">
        <v>0</v>
      </c>
      <c r="GE222" s="28">
        <v>0.25275253229266098</v>
      </c>
      <c r="GF222" s="28">
        <v>9.04657014325457</v>
      </c>
      <c r="GG222" s="28">
        <v>6.5848911193786801</v>
      </c>
      <c r="GH222" s="28">
        <v>0</v>
      </c>
      <c r="GI222" s="28">
        <v>0</v>
      </c>
      <c r="GJ222" s="28">
        <v>13.954352374391799</v>
      </c>
      <c r="GK222" s="28">
        <v>57.557923782360596</v>
      </c>
      <c r="GL222" s="28">
        <v>0</v>
      </c>
      <c r="GM222" s="28">
        <v>23.4136556129782</v>
      </c>
      <c r="GN222" s="28">
        <v>0</v>
      </c>
      <c r="GO222" s="28">
        <v>0</v>
      </c>
      <c r="GP222" s="28">
        <v>0</v>
      </c>
      <c r="GQ222" s="21">
        <v>162.72052703704722</v>
      </c>
      <c r="GR222" s="21">
        <v>4141.2666834515558</v>
      </c>
      <c r="GS222" s="20">
        <v>3760.6678063803697</v>
      </c>
      <c r="GT222" s="20">
        <v>0</v>
      </c>
      <c r="GU222" s="20">
        <v>380.598877071186</v>
      </c>
      <c r="GV222" s="20">
        <v>380.598877071186</v>
      </c>
      <c r="GW222" s="20">
        <v>0</v>
      </c>
      <c r="GX222" s="21">
        <v>0</v>
      </c>
      <c r="GY222" s="20">
        <v>0</v>
      </c>
      <c r="GZ222" s="20">
        <v>0</v>
      </c>
      <c r="HA222" s="20"/>
      <c r="HB222" s="21">
        <v>222.94535669971299</v>
      </c>
      <c r="HC222" s="21">
        <v>4526.9325671883153</v>
      </c>
    </row>
    <row r="223" spans="2:211" s="7" customFormat="1" ht="17.25" customHeight="1">
      <c r="B223" s="26" t="s">
        <v>194</v>
      </c>
      <c r="C223" s="9" t="s">
        <v>699</v>
      </c>
      <c r="D223" s="28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0</v>
      </c>
      <c r="BR223" s="28">
        <v>0</v>
      </c>
      <c r="BS223" s="28">
        <v>0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0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  <c r="CR223" s="28">
        <v>0</v>
      </c>
      <c r="CS223" s="28">
        <v>0</v>
      </c>
      <c r="CT223" s="28">
        <v>0</v>
      </c>
      <c r="CU223" s="28">
        <v>0</v>
      </c>
      <c r="CV223" s="28">
        <v>0</v>
      </c>
      <c r="CW223" s="28">
        <v>0</v>
      </c>
      <c r="CX223" s="28">
        <v>0</v>
      </c>
      <c r="CY223" s="28">
        <v>0</v>
      </c>
      <c r="CZ223" s="28">
        <v>0</v>
      </c>
      <c r="DA223" s="28">
        <v>0</v>
      </c>
      <c r="DB223" s="28">
        <v>0</v>
      </c>
      <c r="DC223" s="28">
        <v>0</v>
      </c>
      <c r="DD223" s="28">
        <v>0</v>
      </c>
      <c r="DE223" s="28">
        <v>0</v>
      </c>
      <c r="DF223" s="28">
        <v>0</v>
      </c>
      <c r="DG223" s="28">
        <v>0</v>
      </c>
      <c r="DH223" s="28">
        <v>0</v>
      </c>
      <c r="DI223" s="28">
        <v>0</v>
      </c>
      <c r="DJ223" s="28">
        <v>0</v>
      </c>
      <c r="DK223" s="28">
        <v>0</v>
      </c>
      <c r="DL223" s="28">
        <v>0</v>
      </c>
      <c r="DM223" s="28">
        <v>0</v>
      </c>
      <c r="DN223" s="28">
        <v>0</v>
      </c>
      <c r="DO223" s="28">
        <v>0</v>
      </c>
      <c r="DP223" s="28">
        <v>0</v>
      </c>
      <c r="DQ223" s="28">
        <v>0</v>
      </c>
      <c r="DR223" s="28">
        <v>0</v>
      </c>
      <c r="DS223" s="28">
        <v>0</v>
      </c>
      <c r="DT223" s="28">
        <v>0</v>
      </c>
      <c r="DU223" s="28">
        <v>0</v>
      </c>
      <c r="DV223" s="28">
        <v>0</v>
      </c>
      <c r="DW223" s="28">
        <v>0</v>
      </c>
      <c r="DX223" s="28">
        <v>0</v>
      </c>
      <c r="DY223" s="28">
        <v>0</v>
      </c>
      <c r="DZ223" s="28">
        <v>0</v>
      </c>
      <c r="EA223" s="28">
        <v>0</v>
      </c>
      <c r="EB223" s="28">
        <v>0</v>
      </c>
      <c r="EC223" s="28">
        <v>0</v>
      </c>
      <c r="ED223" s="28">
        <v>0</v>
      </c>
      <c r="EE223" s="28">
        <v>0</v>
      </c>
      <c r="EF223" s="28">
        <v>0</v>
      </c>
      <c r="EG223" s="28">
        <v>0</v>
      </c>
      <c r="EH223" s="28">
        <v>0</v>
      </c>
      <c r="EI223" s="28">
        <v>0</v>
      </c>
      <c r="EJ223" s="28">
        <v>0</v>
      </c>
      <c r="EK223" s="28">
        <v>0</v>
      </c>
      <c r="EL223" s="28">
        <v>0</v>
      </c>
      <c r="EM223" s="28">
        <v>0</v>
      </c>
      <c r="EN223" s="28">
        <v>0</v>
      </c>
      <c r="EO223" s="28">
        <v>0</v>
      </c>
      <c r="EP223" s="28">
        <v>0</v>
      </c>
      <c r="EQ223" s="28">
        <v>0</v>
      </c>
      <c r="ER223" s="28">
        <v>0</v>
      </c>
      <c r="ES223" s="28">
        <v>0</v>
      </c>
      <c r="ET223" s="28">
        <v>0</v>
      </c>
      <c r="EU223" s="28">
        <v>0</v>
      </c>
      <c r="EV223" s="28">
        <v>0</v>
      </c>
      <c r="EW223" s="28">
        <v>0</v>
      </c>
      <c r="EX223" s="28">
        <v>0</v>
      </c>
      <c r="EY223" s="28">
        <v>0</v>
      </c>
      <c r="EZ223" s="28">
        <v>0</v>
      </c>
      <c r="FA223" s="28">
        <v>0</v>
      </c>
      <c r="FB223" s="28">
        <v>0</v>
      </c>
      <c r="FC223" s="28">
        <v>0</v>
      </c>
      <c r="FD223" s="28">
        <v>0</v>
      </c>
      <c r="FE223" s="28">
        <v>0</v>
      </c>
      <c r="FF223" s="28">
        <v>0</v>
      </c>
      <c r="FG223" s="28">
        <v>0</v>
      </c>
      <c r="FH223" s="28">
        <v>0</v>
      </c>
      <c r="FI223" s="28">
        <v>0</v>
      </c>
      <c r="FJ223" s="28">
        <v>0</v>
      </c>
      <c r="FK223" s="28">
        <v>0</v>
      </c>
      <c r="FL223" s="28">
        <v>0</v>
      </c>
      <c r="FM223" s="28">
        <v>0</v>
      </c>
      <c r="FN223" s="28">
        <v>0</v>
      </c>
      <c r="FO223" s="28">
        <v>0</v>
      </c>
      <c r="FP223" s="28">
        <v>0</v>
      </c>
      <c r="FQ223" s="28">
        <v>0</v>
      </c>
      <c r="FR223" s="28">
        <v>0</v>
      </c>
      <c r="FS223" s="28">
        <v>0</v>
      </c>
      <c r="FT223" s="28">
        <v>0</v>
      </c>
      <c r="FU223" s="28">
        <v>0</v>
      </c>
      <c r="FV223" s="28">
        <v>0</v>
      </c>
      <c r="FW223" s="28">
        <v>0</v>
      </c>
      <c r="FX223" s="28">
        <v>0</v>
      </c>
      <c r="FY223" s="28">
        <v>0</v>
      </c>
      <c r="FZ223" s="28">
        <v>0</v>
      </c>
      <c r="GA223" s="28">
        <v>0</v>
      </c>
      <c r="GB223" s="28">
        <v>0</v>
      </c>
      <c r="GC223" s="28">
        <v>0</v>
      </c>
      <c r="GD223" s="28">
        <v>0</v>
      </c>
      <c r="GE223" s="28">
        <v>0</v>
      </c>
      <c r="GF223" s="28">
        <v>0</v>
      </c>
      <c r="GG223" s="28">
        <v>0</v>
      </c>
      <c r="GH223" s="28">
        <v>0</v>
      </c>
      <c r="GI223" s="28">
        <v>0</v>
      </c>
      <c r="GJ223" s="28">
        <v>0</v>
      </c>
      <c r="GK223" s="28">
        <v>0</v>
      </c>
      <c r="GL223" s="28">
        <v>0</v>
      </c>
      <c r="GM223" s="28">
        <v>0</v>
      </c>
      <c r="GN223" s="28">
        <v>0</v>
      </c>
      <c r="GO223" s="28">
        <v>0</v>
      </c>
      <c r="GP223" s="28">
        <v>0</v>
      </c>
      <c r="GQ223" s="21">
        <v>0</v>
      </c>
      <c r="GR223" s="21">
        <v>9590.9862731822795</v>
      </c>
      <c r="GS223" s="20">
        <v>331.5758192262274</v>
      </c>
      <c r="GT223" s="20">
        <v>247.44741292337255</v>
      </c>
      <c r="GU223" s="20">
        <v>9011.963041032679</v>
      </c>
      <c r="GV223" s="20">
        <v>9011.963041032679</v>
      </c>
      <c r="GW223" s="20">
        <v>0</v>
      </c>
      <c r="GX223" s="21">
        <v>0</v>
      </c>
      <c r="GY223" s="20">
        <v>0</v>
      </c>
      <c r="GZ223" s="20">
        <v>0</v>
      </c>
      <c r="HA223" s="20"/>
      <c r="HB223" s="21">
        <v>0</v>
      </c>
      <c r="HC223" s="21">
        <v>9590.9862731822795</v>
      </c>
    </row>
    <row r="224" spans="2:211" s="7" customFormat="1" ht="17.25" customHeight="1">
      <c r="B224" s="26" t="s">
        <v>198</v>
      </c>
      <c r="C224" s="10" t="s">
        <v>700</v>
      </c>
      <c r="D224" s="28">
        <v>0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0.105538667458882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10.502754438448299</v>
      </c>
      <c r="AU224" s="28">
        <v>1.5426905234950901</v>
      </c>
      <c r="AV224" s="28">
        <v>0.81977739763758595</v>
      </c>
      <c r="AW224" s="28">
        <v>0</v>
      </c>
      <c r="AX224" s="28">
        <v>0.4</v>
      </c>
      <c r="AY224" s="28">
        <v>2.7117575169997598E-3</v>
      </c>
      <c r="AZ224" s="28">
        <v>0.38603120487786602</v>
      </c>
      <c r="BA224" s="28">
        <v>0.52280222390671305</v>
      </c>
      <c r="BB224" s="28">
        <v>8.4447802254716597E-2</v>
      </c>
      <c r="BC224" s="28">
        <v>2.95403843807357</v>
      </c>
      <c r="BD224" s="28">
        <v>1.5354238106183899E-2</v>
      </c>
      <c r="BE224" s="28">
        <v>0</v>
      </c>
      <c r="BF224" s="28">
        <v>0</v>
      </c>
      <c r="BG224" s="28">
        <v>0</v>
      </c>
      <c r="BH224" s="28">
        <v>0.31063365401249998</v>
      </c>
      <c r="BI224" s="28">
        <v>5.3099260209426402E-2</v>
      </c>
      <c r="BJ224" s="28">
        <v>5.4733532839497397E-2</v>
      </c>
      <c r="BK224" s="28">
        <v>0</v>
      </c>
      <c r="BL224" s="28">
        <v>2.17969547778042E-2</v>
      </c>
      <c r="BM224" s="28">
        <v>3.9743964607745902E-2</v>
      </c>
      <c r="BN224" s="28">
        <v>3.7761940340006801E-2</v>
      </c>
      <c r="BO224" s="28">
        <v>6.9321674094586894E-2</v>
      </c>
      <c r="BP224" s="28">
        <v>3.9891715093996597E-4</v>
      </c>
      <c r="BQ224" s="28">
        <v>1.6575817655514701E-2</v>
      </c>
      <c r="BR224" s="28">
        <v>3.3338790392970101E-2</v>
      </c>
      <c r="BS224" s="28">
        <v>0</v>
      </c>
      <c r="BT224" s="28">
        <v>0</v>
      </c>
      <c r="BU224" s="28">
        <v>0.13549349303518499</v>
      </c>
      <c r="BV224" s="28">
        <v>3.3806561013485802E-2</v>
      </c>
      <c r="BW224" s="28">
        <v>0</v>
      </c>
      <c r="BX224" s="28">
        <v>0</v>
      </c>
      <c r="BY224" s="28">
        <v>0.53326110955009498</v>
      </c>
      <c r="BZ224" s="28">
        <v>0</v>
      </c>
      <c r="CA224" s="28">
        <v>0.112900464305026</v>
      </c>
      <c r="CB224" s="28">
        <v>1.0335175020222E-2</v>
      </c>
      <c r="CC224" s="28">
        <v>5.6652650336232603E-4</v>
      </c>
      <c r="CD224" s="28">
        <v>7.4431000388632098E-3</v>
      </c>
      <c r="CE224" s="28">
        <v>2.53084217163132E-3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0</v>
      </c>
      <c r="CL224" s="28">
        <v>0</v>
      </c>
      <c r="CM224" s="28">
        <v>0</v>
      </c>
      <c r="CN224" s="28">
        <v>0</v>
      </c>
      <c r="CO224" s="28">
        <v>0</v>
      </c>
      <c r="CP224" s="28">
        <v>2.2999999999999998</v>
      </c>
      <c r="CQ224" s="28">
        <v>0</v>
      </c>
      <c r="CR224" s="28">
        <v>0</v>
      </c>
      <c r="CS224" s="28">
        <v>3.8488182921391598E-2</v>
      </c>
      <c r="CT224" s="28">
        <v>4.8499752356168697</v>
      </c>
      <c r="CU224" s="28">
        <v>0</v>
      </c>
      <c r="CV224" s="28">
        <v>0</v>
      </c>
      <c r="CW224" s="28">
        <v>0.28620503408287601</v>
      </c>
      <c r="CX224" s="28">
        <v>0.804249909898615</v>
      </c>
      <c r="CY224" s="28">
        <v>3.3441578849982202E-2</v>
      </c>
      <c r="CZ224" s="28">
        <v>1.28966911140573E-2</v>
      </c>
      <c r="DA224" s="28">
        <v>0.23853473638931999</v>
      </c>
      <c r="DB224" s="28">
        <v>0</v>
      </c>
      <c r="DC224" s="28">
        <v>0</v>
      </c>
      <c r="DD224" s="28">
        <v>0</v>
      </c>
      <c r="DE224" s="28">
        <v>0</v>
      </c>
      <c r="DF224" s="28">
        <v>0.04</v>
      </c>
      <c r="DG224" s="28">
        <v>13.743440524108101</v>
      </c>
      <c r="DH224" s="28">
        <v>0.04</v>
      </c>
      <c r="DI224" s="28">
        <v>0.53492618842696504</v>
      </c>
      <c r="DJ224" s="28">
        <v>0.12570262157551501</v>
      </c>
      <c r="DK224" s="28">
        <v>0.22909984106489001</v>
      </c>
      <c r="DL224" s="28">
        <v>1.4246303707174</v>
      </c>
      <c r="DM224" s="28">
        <v>0.73875884507564304</v>
      </c>
      <c r="DN224" s="28">
        <v>2.2586938314734502</v>
      </c>
      <c r="DO224" s="28">
        <v>1</v>
      </c>
      <c r="DP224" s="28">
        <v>0</v>
      </c>
      <c r="DQ224" s="28">
        <v>1.0936466670664899</v>
      </c>
      <c r="DR224" s="28">
        <v>1.1704701601073999</v>
      </c>
      <c r="DS224" s="28">
        <v>1.8680708089707001</v>
      </c>
      <c r="DT224" s="28">
        <v>0.31805812435841901</v>
      </c>
      <c r="DU224" s="28">
        <v>11.28</v>
      </c>
      <c r="DV224" s="28">
        <v>1.77254956138612</v>
      </c>
      <c r="DW224" s="28">
        <v>0</v>
      </c>
      <c r="DX224" s="28">
        <v>2.1915276630429901</v>
      </c>
      <c r="DY224" s="28">
        <v>0</v>
      </c>
      <c r="DZ224" s="28">
        <v>0</v>
      </c>
      <c r="EA224" s="28">
        <v>0</v>
      </c>
      <c r="EB224" s="28">
        <v>0</v>
      </c>
      <c r="EC224" s="28">
        <v>0</v>
      </c>
      <c r="ED224" s="28">
        <v>5.3431109653518103</v>
      </c>
      <c r="EE224" s="28">
        <v>3.1967304773096398E-3</v>
      </c>
      <c r="EF224" s="28">
        <v>0.29841341512042602</v>
      </c>
      <c r="EG224" s="28">
        <v>2.33165259492982E-2</v>
      </c>
      <c r="EH224" s="28">
        <v>8.0510645258712096E-3</v>
      </c>
      <c r="EI224" s="28">
        <v>3.8041281940320599E-3</v>
      </c>
      <c r="EJ224" s="28">
        <v>0.32090375084001699</v>
      </c>
      <c r="EK224" s="28">
        <v>0</v>
      </c>
      <c r="EL224" s="28">
        <v>0</v>
      </c>
      <c r="EM224" s="28">
        <v>0</v>
      </c>
      <c r="EN224" s="28">
        <v>0</v>
      </c>
      <c r="EO224" s="28">
        <v>0</v>
      </c>
      <c r="EP224" s="28">
        <v>0</v>
      </c>
      <c r="EQ224" s="28">
        <v>0</v>
      </c>
      <c r="ER224" s="28">
        <v>0</v>
      </c>
      <c r="ES224" s="28">
        <v>0</v>
      </c>
      <c r="ET224" s="28">
        <v>0</v>
      </c>
      <c r="EU224" s="28">
        <v>0</v>
      </c>
      <c r="EV224" s="28">
        <v>2.3521513000000001</v>
      </c>
      <c r="EW224" s="28">
        <v>0</v>
      </c>
      <c r="EX224" s="28">
        <v>0</v>
      </c>
      <c r="EY224" s="28">
        <v>0</v>
      </c>
      <c r="EZ224" s="28">
        <v>7.7999999999999996E-3</v>
      </c>
      <c r="FA224" s="28">
        <v>0</v>
      </c>
      <c r="FB224" s="28">
        <v>5.7165487080443299E-2</v>
      </c>
      <c r="FC224" s="28">
        <v>0.162008448381044</v>
      </c>
      <c r="FD224" s="28">
        <v>2.5412153796203998E-2</v>
      </c>
      <c r="FE224" s="28">
        <v>0</v>
      </c>
      <c r="FF224" s="28">
        <v>0</v>
      </c>
      <c r="FG224" s="28">
        <v>5.1004468717354402E-2</v>
      </c>
      <c r="FH224" s="28">
        <v>5.9736325155189699E-4</v>
      </c>
      <c r="FI224" s="28">
        <v>2.2470003261526399</v>
      </c>
      <c r="FJ224" s="28">
        <v>0.204637716095113</v>
      </c>
      <c r="FK224" s="28">
        <v>0</v>
      </c>
      <c r="FL224" s="28">
        <v>0</v>
      </c>
      <c r="FM224" s="28">
        <v>0</v>
      </c>
      <c r="FN224" s="28">
        <v>0</v>
      </c>
      <c r="FO224" s="28">
        <v>5.41691339049152E-4</v>
      </c>
      <c r="FP224" s="28">
        <v>0.19543528708857899</v>
      </c>
      <c r="FQ224" s="28">
        <v>0.18071714454433799</v>
      </c>
      <c r="FR224" s="28">
        <v>0</v>
      </c>
      <c r="FS224" s="28">
        <v>2.2177082959101999</v>
      </c>
      <c r="FT224" s="28">
        <v>1.79603543591707</v>
      </c>
      <c r="FU224" s="28">
        <v>1.5323965704626501</v>
      </c>
      <c r="FV224" s="28">
        <v>0.23939857370498699</v>
      </c>
      <c r="FW224" s="28">
        <v>0</v>
      </c>
      <c r="FX224" s="28">
        <v>0</v>
      </c>
      <c r="FY224" s="28">
        <v>0</v>
      </c>
      <c r="FZ224" s="28">
        <v>0</v>
      </c>
      <c r="GA224" s="28">
        <v>3.9185479472600502E-4</v>
      </c>
      <c r="GB224" s="28">
        <v>8.4962101755903505E-2</v>
      </c>
      <c r="GC224" s="28">
        <v>6.1007260441293398E-2</v>
      </c>
      <c r="GD224" s="28">
        <v>0.27211114510029499</v>
      </c>
      <c r="GE224" s="28">
        <v>3.4517964141969101E-2</v>
      </c>
      <c r="GF224" s="28">
        <v>0</v>
      </c>
      <c r="GG224" s="28">
        <v>485.86399999999998</v>
      </c>
      <c r="GH224" s="28">
        <v>2.5966373363693398</v>
      </c>
      <c r="GI224" s="28">
        <v>0</v>
      </c>
      <c r="GJ224" s="28">
        <v>2.6311131097896499</v>
      </c>
      <c r="GK224" s="28">
        <v>0</v>
      </c>
      <c r="GL224" s="28">
        <v>0</v>
      </c>
      <c r="GM224" s="28">
        <v>0</v>
      </c>
      <c r="GN224" s="28">
        <v>6.4094141770871194E-2</v>
      </c>
      <c r="GO224" s="28">
        <v>0</v>
      </c>
      <c r="GP224" s="28">
        <v>0</v>
      </c>
      <c r="GQ224" s="21">
        <v>576.08289680280598</v>
      </c>
      <c r="GR224" s="21">
        <v>197.76308329718472</v>
      </c>
      <c r="GS224" s="20">
        <v>197.76308329718472</v>
      </c>
      <c r="GT224" s="20">
        <v>0</v>
      </c>
      <c r="GU224" s="20">
        <v>0</v>
      </c>
      <c r="GV224" s="20">
        <v>0</v>
      </c>
      <c r="GW224" s="20">
        <v>0</v>
      </c>
      <c r="GX224" s="21">
        <v>0</v>
      </c>
      <c r="GY224" s="20">
        <v>0</v>
      </c>
      <c r="GZ224" s="20">
        <v>0</v>
      </c>
      <c r="HA224" s="20"/>
      <c r="HB224" s="21">
        <v>0</v>
      </c>
      <c r="HC224" s="21">
        <v>773.8459800999907</v>
      </c>
    </row>
    <row r="225" spans="2:211" s="7" customFormat="1" ht="17.25" customHeight="1">
      <c r="B225" s="26" t="s">
        <v>701</v>
      </c>
      <c r="C225" s="10" t="s">
        <v>702</v>
      </c>
      <c r="D225" s="28">
        <v>0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1.4673403769230599E-2</v>
      </c>
      <c r="AU225" s="28">
        <v>0</v>
      </c>
      <c r="AV225" s="28">
        <v>0.38147485967566802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0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  <c r="CR225" s="28">
        <v>0</v>
      </c>
      <c r="CS225" s="28">
        <v>0</v>
      </c>
      <c r="CT225" s="28">
        <v>0</v>
      </c>
      <c r="CU225" s="28">
        <v>0</v>
      </c>
      <c r="CV225" s="28">
        <v>0</v>
      </c>
      <c r="CW225" s="28">
        <v>0</v>
      </c>
      <c r="CX225" s="28">
        <v>0</v>
      </c>
      <c r="CY225" s="28">
        <v>0</v>
      </c>
      <c r="CZ225" s="28">
        <v>0</v>
      </c>
      <c r="DA225" s="28">
        <v>9.2791774460166399E-2</v>
      </c>
      <c r="DB225" s="28">
        <v>0.26748048400436403</v>
      </c>
      <c r="DC225" s="28">
        <v>0</v>
      </c>
      <c r="DD225" s="28">
        <v>0</v>
      </c>
      <c r="DE225" s="28">
        <v>0</v>
      </c>
      <c r="DF225" s="28">
        <v>0</v>
      </c>
      <c r="DG225" s="28">
        <v>0</v>
      </c>
      <c r="DH225" s="28">
        <v>0</v>
      </c>
      <c r="DI225" s="28">
        <v>0</v>
      </c>
      <c r="DJ225" s="28">
        <v>0</v>
      </c>
      <c r="DK225" s="28">
        <v>0</v>
      </c>
      <c r="DL225" s="28">
        <v>0</v>
      </c>
      <c r="DM225" s="28">
        <v>0</v>
      </c>
      <c r="DN225" s="28">
        <v>0</v>
      </c>
      <c r="DO225" s="28">
        <v>0</v>
      </c>
      <c r="DP225" s="28">
        <v>0</v>
      </c>
      <c r="DQ225" s="28">
        <v>0</v>
      </c>
      <c r="DR225" s="28">
        <v>0</v>
      </c>
      <c r="DS225" s="28">
        <v>0</v>
      </c>
      <c r="DT225" s="28">
        <v>0</v>
      </c>
      <c r="DU225" s="28">
        <v>0</v>
      </c>
      <c r="DV225" s="28">
        <v>0</v>
      </c>
      <c r="DW225" s="28">
        <v>0</v>
      </c>
      <c r="DX225" s="28">
        <v>0</v>
      </c>
      <c r="DY225" s="28">
        <v>0</v>
      </c>
      <c r="DZ225" s="28">
        <v>0</v>
      </c>
      <c r="EA225" s="28">
        <v>0</v>
      </c>
      <c r="EB225" s="28">
        <v>0</v>
      </c>
      <c r="EC225" s="28">
        <v>0</v>
      </c>
      <c r="ED225" s="28">
        <v>0</v>
      </c>
      <c r="EE225" s="28">
        <v>0</v>
      </c>
      <c r="EF225" s="28">
        <v>0</v>
      </c>
      <c r="EG225" s="28">
        <v>0</v>
      </c>
      <c r="EH225" s="28">
        <v>0</v>
      </c>
      <c r="EI225" s="28">
        <v>0</v>
      </c>
      <c r="EJ225" s="28">
        <v>0</v>
      </c>
      <c r="EK225" s="28">
        <v>0</v>
      </c>
      <c r="EL225" s="28">
        <v>0</v>
      </c>
      <c r="EM225" s="28">
        <v>0</v>
      </c>
      <c r="EN225" s="28">
        <v>0</v>
      </c>
      <c r="EO225" s="28">
        <v>0</v>
      </c>
      <c r="EP225" s="28">
        <v>0</v>
      </c>
      <c r="EQ225" s="28">
        <v>0</v>
      </c>
      <c r="ER225" s="28">
        <v>0</v>
      </c>
      <c r="ES225" s="28">
        <v>0</v>
      </c>
      <c r="ET225" s="28">
        <v>0</v>
      </c>
      <c r="EU225" s="28">
        <v>0</v>
      </c>
      <c r="EV225" s="28">
        <v>0</v>
      </c>
      <c r="EW225" s="28">
        <v>0</v>
      </c>
      <c r="EX225" s="28">
        <v>11.980924038476999</v>
      </c>
      <c r="EY225" s="28">
        <v>1.233994</v>
      </c>
      <c r="EZ225" s="28">
        <v>4.2932880000000004</v>
      </c>
      <c r="FA225" s="28">
        <v>1.03151079479053</v>
      </c>
      <c r="FB225" s="28">
        <v>2.6904914079435099E-2</v>
      </c>
      <c r="FC225" s="28">
        <v>0.117865991794759</v>
      </c>
      <c r="FD225" s="28">
        <v>5.1941917562225601</v>
      </c>
      <c r="FE225" s="28">
        <v>0</v>
      </c>
      <c r="FF225" s="28">
        <v>0</v>
      </c>
      <c r="FG225" s="28">
        <v>2.07915734701088</v>
      </c>
      <c r="FH225" s="28">
        <v>0.20243708079937101</v>
      </c>
      <c r="FI225" s="28">
        <v>79.591901416706804</v>
      </c>
      <c r="FJ225" s="28">
        <v>0</v>
      </c>
      <c r="FK225" s="28">
        <v>0</v>
      </c>
      <c r="FL225" s="28">
        <v>41.099244804341403</v>
      </c>
      <c r="FM225" s="28">
        <v>6.1710070385274003</v>
      </c>
      <c r="FN225" s="28">
        <v>5.1681849395892297E-4</v>
      </c>
      <c r="FO225" s="28">
        <v>9.0071914009954193E-2</v>
      </c>
      <c r="FP225" s="28">
        <v>2.4968398985389301E-2</v>
      </c>
      <c r="FQ225" s="28">
        <v>0.96145335091105699</v>
      </c>
      <c r="FR225" s="28">
        <v>0</v>
      </c>
      <c r="FS225" s="28">
        <v>1.26374302326332</v>
      </c>
      <c r="FT225" s="28">
        <v>5.0921281714412201</v>
      </c>
      <c r="FU225" s="28">
        <v>28.160924523596901</v>
      </c>
      <c r="FV225" s="28">
        <v>3.35621965292879</v>
      </c>
      <c r="FW225" s="28">
        <v>0</v>
      </c>
      <c r="FX225" s="28">
        <v>0</v>
      </c>
      <c r="FY225" s="28">
        <v>0</v>
      </c>
      <c r="FZ225" s="28">
        <v>0</v>
      </c>
      <c r="GA225" s="28">
        <v>2.39115179666932E-4</v>
      </c>
      <c r="GB225" s="28">
        <v>3.38976116776157</v>
      </c>
      <c r="GC225" s="28">
        <v>2.4340269146065898</v>
      </c>
      <c r="GD225" s="28">
        <v>2.4418694610849099</v>
      </c>
      <c r="GE225" s="28">
        <v>2.3488285999620202</v>
      </c>
      <c r="GF225" s="28">
        <v>1.5590284937094701</v>
      </c>
      <c r="GG225" s="28">
        <v>0</v>
      </c>
      <c r="GH225" s="28">
        <v>0.47391243114980203</v>
      </c>
      <c r="GI225" s="28">
        <v>10.1156055703772</v>
      </c>
      <c r="GJ225" s="28">
        <v>0.41725512665202302</v>
      </c>
      <c r="GK225" s="28">
        <v>5.0936416967196099</v>
      </c>
      <c r="GL225" s="28">
        <v>18.2306137200842</v>
      </c>
      <c r="GM225" s="28">
        <v>0</v>
      </c>
      <c r="GN225" s="28">
        <v>0</v>
      </c>
      <c r="GO225" s="28">
        <v>0</v>
      </c>
      <c r="GP225" s="28">
        <v>0</v>
      </c>
      <c r="GQ225" s="21">
        <v>239.2336558555773</v>
      </c>
      <c r="GR225" s="21">
        <v>2382.7598566859815</v>
      </c>
      <c r="GS225" s="20">
        <v>1155.4751985926548</v>
      </c>
      <c r="GT225" s="20">
        <v>1227.2846580933267</v>
      </c>
      <c r="GU225" s="20">
        <v>0</v>
      </c>
      <c r="GV225" s="20">
        <v>0</v>
      </c>
      <c r="GW225" s="20">
        <v>0</v>
      </c>
      <c r="GX225" s="21">
        <v>0</v>
      </c>
      <c r="GY225" s="20">
        <v>0</v>
      </c>
      <c r="GZ225" s="20">
        <v>0</v>
      </c>
      <c r="HA225" s="20"/>
      <c r="HB225" s="21">
        <v>0</v>
      </c>
      <c r="HC225" s="21">
        <v>2621.9935125415586</v>
      </c>
    </row>
    <row r="226" spans="2:211" s="7" customFormat="1" ht="17.25" customHeight="1">
      <c r="B226" s="26" t="s">
        <v>703</v>
      </c>
      <c r="C226" s="10" t="s">
        <v>704</v>
      </c>
      <c r="D226" s="28">
        <v>0</v>
      </c>
      <c r="E226" s="28">
        <v>0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 s="28">
        <v>0</v>
      </c>
      <c r="AR226" s="28">
        <v>0</v>
      </c>
      <c r="AS226" s="28">
        <v>0</v>
      </c>
      <c r="AT226" s="28">
        <v>0</v>
      </c>
      <c r="AU226" s="28">
        <v>0</v>
      </c>
      <c r="AV226" s="28">
        <v>0</v>
      </c>
      <c r="AW226" s="28">
        <v>0</v>
      </c>
      <c r="AX226" s="28">
        <v>0</v>
      </c>
      <c r="AY226" s="28">
        <v>0</v>
      </c>
      <c r="AZ226" s="28">
        <v>0</v>
      </c>
      <c r="BA226" s="28">
        <v>0</v>
      </c>
      <c r="BB226" s="28">
        <v>0</v>
      </c>
      <c r="BC226" s="28">
        <v>0</v>
      </c>
      <c r="BD226" s="28">
        <v>0</v>
      </c>
      <c r="BE226" s="28">
        <v>0</v>
      </c>
      <c r="BF226" s="28">
        <v>0</v>
      </c>
      <c r="BG226" s="28">
        <v>0</v>
      </c>
      <c r="BH226" s="28">
        <v>0</v>
      </c>
      <c r="BI226" s="28">
        <v>0</v>
      </c>
      <c r="BJ226" s="28">
        <v>0</v>
      </c>
      <c r="BK226" s="28">
        <v>0</v>
      </c>
      <c r="BL226" s="28">
        <v>0</v>
      </c>
      <c r="BM226" s="28">
        <v>0</v>
      </c>
      <c r="BN226" s="28">
        <v>0</v>
      </c>
      <c r="BO226" s="28">
        <v>0</v>
      </c>
      <c r="BP226" s="28">
        <v>0</v>
      </c>
      <c r="BQ226" s="28">
        <v>0</v>
      </c>
      <c r="BR226" s="28">
        <v>0</v>
      </c>
      <c r="BS226" s="28">
        <v>0</v>
      </c>
      <c r="BT226" s="28">
        <v>0</v>
      </c>
      <c r="BU226" s="28">
        <v>0</v>
      </c>
      <c r="BV226" s="28">
        <v>0</v>
      </c>
      <c r="BW226" s="28">
        <v>0</v>
      </c>
      <c r="BX226" s="28">
        <v>0</v>
      </c>
      <c r="BY226" s="28">
        <v>0</v>
      </c>
      <c r="BZ226" s="28">
        <v>0</v>
      </c>
      <c r="CA226" s="28">
        <v>0</v>
      </c>
      <c r="CB226" s="28">
        <v>0</v>
      </c>
      <c r="CC226" s="28">
        <v>0</v>
      </c>
      <c r="CD226" s="28">
        <v>0</v>
      </c>
      <c r="CE226" s="28">
        <v>0</v>
      </c>
      <c r="CF226" s="28">
        <v>0</v>
      </c>
      <c r="CG226" s="28">
        <v>0</v>
      </c>
      <c r="CH226" s="28">
        <v>0</v>
      </c>
      <c r="CI226" s="28">
        <v>0</v>
      </c>
      <c r="CJ226" s="28">
        <v>0</v>
      </c>
      <c r="CK226" s="28">
        <v>0</v>
      </c>
      <c r="CL226" s="28">
        <v>0</v>
      </c>
      <c r="CM226" s="28">
        <v>0</v>
      </c>
      <c r="CN226" s="28">
        <v>0</v>
      </c>
      <c r="CO226" s="28">
        <v>0</v>
      </c>
      <c r="CP226" s="28">
        <v>0</v>
      </c>
      <c r="CQ226" s="28">
        <v>0</v>
      </c>
      <c r="CR226" s="28">
        <v>0</v>
      </c>
      <c r="CS226" s="28">
        <v>0</v>
      </c>
      <c r="CT226" s="28">
        <v>0</v>
      </c>
      <c r="CU226" s="28">
        <v>0</v>
      </c>
      <c r="CV226" s="28">
        <v>0</v>
      </c>
      <c r="CW226" s="28">
        <v>0</v>
      </c>
      <c r="CX226" s="28">
        <v>0</v>
      </c>
      <c r="CY226" s="28">
        <v>0</v>
      </c>
      <c r="CZ226" s="28">
        <v>0</v>
      </c>
      <c r="DA226" s="28">
        <v>0</v>
      </c>
      <c r="DB226" s="28">
        <v>0</v>
      </c>
      <c r="DC226" s="28">
        <v>0</v>
      </c>
      <c r="DD226" s="28">
        <v>0</v>
      </c>
      <c r="DE226" s="28">
        <v>0</v>
      </c>
      <c r="DF226" s="28">
        <v>0</v>
      </c>
      <c r="DG226" s="28">
        <v>0</v>
      </c>
      <c r="DH226" s="28">
        <v>0</v>
      </c>
      <c r="DI226" s="28">
        <v>0</v>
      </c>
      <c r="DJ226" s="28">
        <v>0</v>
      </c>
      <c r="DK226" s="28">
        <v>0</v>
      </c>
      <c r="DL226" s="28">
        <v>0</v>
      </c>
      <c r="DM226" s="28">
        <v>0</v>
      </c>
      <c r="DN226" s="28">
        <v>0</v>
      </c>
      <c r="DO226" s="28">
        <v>0</v>
      </c>
      <c r="DP226" s="28">
        <v>0</v>
      </c>
      <c r="DQ226" s="28">
        <v>0</v>
      </c>
      <c r="DR226" s="28">
        <v>0</v>
      </c>
      <c r="DS226" s="28">
        <v>0</v>
      </c>
      <c r="DT226" s="28">
        <v>0</v>
      </c>
      <c r="DU226" s="28">
        <v>0</v>
      </c>
      <c r="DV226" s="28">
        <v>0</v>
      </c>
      <c r="DW226" s="28">
        <v>0</v>
      </c>
      <c r="DX226" s="28">
        <v>0</v>
      </c>
      <c r="DY226" s="28">
        <v>0</v>
      </c>
      <c r="DZ226" s="28">
        <v>0</v>
      </c>
      <c r="EA226" s="28">
        <v>0</v>
      </c>
      <c r="EB226" s="28">
        <v>0</v>
      </c>
      <c r="EC226" s="28">
        <v>0</v>
      </c>
      <c r="ED226" s="28">
        <v>0</v>
      </c>
      <c r="EE226" s="28">
        <v>0</v>
      </c>
      <c r="EF226" s="28">
        <v>0</v>
      </c>
      <c r="EG226" s="28">
        <v>0</v>
      </c>
      <c r="EH226" s="28">
        <v>0</v>
      </c>
      <c r="EI226" s="28">
        <v>0</v>
      </c>
      <c r="EJ226" s="28">
        <v>0</v>
      </c>
      <c r="EK226" s="28">
        <v>0</v>
      </c>
      <c r="EL226" s="28">
        <v>0</v>
      </c>
      <c r="EM226" s="28">
        <v>0</v>
      </c>
      <c r="EN226" s="28">
        <v>0</v>
      </c>
      <c r="EO226" s="28">
        <v>0</v>
      </c>
      <c r="EP226" s="28">
        <v>0</v>
      </c>
      <c r="EQ226" s="28">
        <v>0</v>
      </c>
      <c r="ER226" s="28">
        <v>0</v>
      </c>
      <c r="ES226" s="28">
        <v>0</v>
      </c>
      <c r="ET226" s="28">
        <v>0</v>
      </c>
      <c r="EU226" s="28">
        <v>0</v>
      </c>
      <c r="EV226" s="28">
        <v>0</v>
      </c>
      <c r="EW226" s="28">
        <v>0</v>
      </c>
      <c r="EX226" s="28">
        <v>0</v>
      </c>
      <c r="EY226" s="28">
        <v>0</v>
      </c>
      <c r="EZ226" s="28">
        <v>0</v>
      </c>
      <c r="FA226" s="28">
        <v>0</v>
      </c>
      <c r="FB226" s="28">
        <v>7.1595105303896706E-2</v>
      </c>
      <c r="FC226" s="28">
        <v>0</v>
      </c>
      <c r="FD226" s="28">
        <v>0</v>
      </c>
      <c r="FE226" s="28">
        <v>0</v>
      </c>
      <c r="FF226" s="28">
        <v>0</v>
      </c>
      <c r="FG226" s="28">
        <v>0</v>
      </c>
      <c r="FH226" s="28">
        <v>0</v>
      </c>
      <c r="FI226" s="28">
        <v>0</v>
      </c>
      <c r="FJ226" s="28">
        <v>0</v>
      </c>
      <c r="FK226" s="28">
        <v>0</v>
      </c>
      <c r="FL226" s="28">
        <v>0</v>
      </c>
      <c r="FM226" s="28">
        <v>0</v>
      </c>
      <c r="FN226" s="28">
        <v>0</v>
      </c>
      <c r="FO226" s="28">
        <v>0</v>
      </c>
      <c r="FP226" s="28">
        <v>0</v>
      </c>
      <c r="FQ226" s="28">
        <v>0</v>
      </c>
      <c r="FR226" s="28">
        <v>0</v>
      </c>
      <c r="FS226" s="28">
        <v>0</v>
      </c>
      <c r="FT226" s="28">
        <v>16.699029934510499</v>
      </c>
      <c r="FU226" s="28">
        <v>0</v>
      </c>
      <c r="FV226" s="28">
        <v>0</v>
      </c>
      <c r="FW226" s="28">
        <v>0</v>
      </c>
      <c r="FX226" s="28">
        <v>0</v>
      </c>
      <c r="FY226" s="28">
        <v>0</v>
      </c>
      <c r="FZ226" s="28">
        <v>0</v>
      </c>
      <c r="GA226" s="28">
        <v>0</v>
      </c>
      <c r="GB226" s="28">
        <v>0</v>
      </c>
      <c r="GC226" s="28">
        <v>0</v>
      </c>
      <c r="GD226" s="28">
        <v>0</v>
      </c>
      <c r="GE226" s="28">
        <v>0</v>
      </c>
      <c r="GF226" s="28">
        <v>0</v>
      </c>
      <c r="GG226" s="28">
        <v>1.47646402166</v>
      </c>
      <c r="GH226" s="28">
        <v>0</v>
      </c>
      <c r="GI226" s="28">
        <v>0</v>
      </c>
      <c r="GJ226" s="28">
        <v>0</v>
      </c>
      <c r="GK226" s="28">
        <v>0</v>
      </c>
      <c r="GL226" s="28">
        <v>0</v>
      </c>
      <c r="GM226" s="28">
        <v>0</v>
      </c>
      <c r="GN226" s="28">
        <v>0</v>
      </c>
      <c r="GO226" s="28">
        <v>0</v>
      </c>
      <c r="GP226" s="28">
        <v>0</v>
      </c>
      <c r="GQ226" s="21">
        <v>18.247089061474394</v>
      </c>
      <c r="GR226" s="21">
        <v>9074.6471577000957</v>
      </c>
      <c r="GS226" s="20">
        <v>8528.6682669992133</v>
      </c>
      <c r="GT226" s="20">
        <v>33.387874508915232</v>
      </c>
      <c r="GU226" s="20">
        <v>512.59101619196701</v>
      </c>
      <c r="GV226" s="20">
        <v>512.59101619196701</v>
      </c>
      <c r="GW226" s="20">
        <v>0</v>
      </c>
      <c r="GX226" s="21">
        <v>0</v>
      </c>
      <c r="GY226" s="20">
        <v>0</v>
      </c>
      <c r="GZ226" s="20">
        <v>0</v>
      </c>
      <c r="HA226" s="20"/>
      <c r="HB226" s="21">
        <v>3.4550000000000001</v>
      </c>
      <c r="HC226" s="21">
        <v>9096.3492467615706</v>
      </c>
    </row>
    <row r="227" spans="2:211" s="7" customFormat="1" ht="17.25" customHeight="1">
      <c r="B227" s="26" t="s">
        <v>705</v>
      </c>
      <c r="C227" s="9" t="s">
        <v>706</v>
      </c>
      <c r="D227" s="28">
        <v>0</v>
      </c>
      <c r="E227" s="28">
        <v>0</v>
      </c>
      <c r="F227" s="28">
        <v>0</v>
      </c>
      <c r="G227" s="28">
        <v>0</v>
      </c>
      <c r="H227" s="28">
        <v>0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 s="28">
        <v>1.64350485621841</v>
      </c>
      <c r="AR227" s="28">
        <v>0</v>
      </c>
      <c r="AS227" s="28">
        <v>0</v>
      </c>
      <c r="AT227" s="28">
        <v>55.584581529749798</v>
      </c>
      <c r="AU227" s="28">
        <v>0.24044153787278399</v>
      </c>
      <c r="AV227" s="28">
        <v>0</v>
      </c>
      <c r="AW227" s="28">
        <v>0</v>
      </c>
      <c r="AX227" s="28">
        <v>27.888087346983198</v>
      </c>
      <c r="AY227" s="28">
        <v>0</v>
      </c>
      <c r="AZ227" s="28">
        <v>0</v>
      </c>
      <c r="BA227" s="28">
        <v>0</v>
      </c>
      <c r="BB227" s="28">
        <v>0</v>
      </c>
      <c r="BC227" s="28">
        <v>0</v>
      </c>
      <c r="BD227" s="28">
        <v>0</v>
      </c>
      <c r="BE227" s="28">
        <v>0</v>
      </c>
      <c r="BF227" s="28">
        <v>0</v>
      </c>
      <c r="BG227" s="28">
        <v>0</v>
      </c>
      <c r="BH227" s="28">
        <v>0</v>
      </c>
      <c r="BI227" s="28">
        <v>0</v>
      </c>
      <c r="BJ227" s="28">
        <v>0</v>
      </c>
      <c r="BK227" s="28">
        <v>0</v>
      </c>
      <c r="BL227" s="28">
        <v>0</v>
      </c>
      <c r="BM227" s="28">
        <v>0</v>
      </c>
      <c r="BN227" s="28">
        <v>0</v>
      </c>
      <c r="BO227" s="28">
        <v>0</v>
      </c>
      <c r="BP227" s="28">
        <v>0</v>
      </c>
      <c r="BQ227" s="28">
        <v>0</v>
      </c>
      <c r="BR227" s="28">
        <v>0</v>
      </c>
      <c r="BS227" s="28">
        <v>0</v>
      </c>
      <c r="BT227" s="28">
        <v>0</v>
      </c>
      <c r="BU227" s="28">
        <v>0</v>
      </c>
      <c r="BV227" s="28">
        <v>0</v>
      </c>
      <c r="BW227" s="28">
        <v>0</v>
      </c>
      <c r="BX227" s="28">
        <v>0</v>
      </c>
      <c r="BY227" s="28">
        <v>0</v>
      </c>
      <c r="BZ227" s="28">
        <v>0</v>
      </c>
      <c r="CA227" s="28">
        <v>0</v>
      </c>
      <c r="CB227" s="28">
        <v>0</v>
      </c>
      <c r="CC227" s="28">
        <v>0</v>
      </c>
      <c r="CD227" s="28">
        <v>0</v>
      </c>
      <c r="CE227" s="28">
        <v>0</v>
      </c>
      <c r="CF227" s="28">
        <v>0</v>
      </c>
      <c r="CG227" s="28">
        <v>0</v>
      </c>
      <c r="CH227" s="28">
        <v>0</v>
      </c>
      <c r="CI227" s="28">
        <v>0</v>
      </c>
      <c r="CJ227" s="28">
        <v>0</v>
      </c>
      <c r="CK227" s="28">
        <v>0</v>
      </c>
      <c r="CL227" s="28">
        <v>0</v>
      </c>
      <c r="CM227" s="28">
        <v>0</v>
      </c>
      <c r="CN227" s="28">
        <v>0</v>
      </c>
      <c r="CO227" s="28">
        <v>0</v>
      </c>
      <c r="CP227" s="28">
        <v>0</v>
      </c>
      <c r="CQ227" s="28">
        <v>0</v>
      </c>
      <c r="CR227" s="28">
        <v>0</v>
      </c>
      <c r="CS227" s="28">
        <v>0</v>
      </c>
      <c r="CT227" s="28">
        <v>0</v>
      </c>
      <c r="CU227" s="28">
        <v>0</v>
      </c>
      <c r="CV227" s="28">
        <v>0</v>
      </c>
      <c r="CW227" s="28">
        <v>0</v>
      </c>
      <c r="CX227" s="28">
        <v>0</v>
      </c>
      <c r="CY227" s="28">
        <v>0</v>
      </c>
      <c r="CZ227" s="28">
        <v>0</v>
      </c>
      <c r="DA227" s="28">
        <v>0</v>
      </c>
      <c r="DB227" s="28">
        <v>0</v>
      </c>
      <c r="DC227" s="28">
        <v>0</v>
      </c>
      <c r="DD227" s="28">
        <v>0</v>
      </c>
      <c r="DE227" s="28">
        <v>0</v>
      </c>
      <c r="DF227" s="28">
        <v>0</v>
      </c>
      <c r="DG227" s="28">
        <v>0</v>
      </c>
      <c r="DH227" s="28">
        <v>0</v>
      </c>
      <c r="DI227" s="28">
        <v>0</v>
      </c>
      <c r="DJ227" s="28">
        <v>0</v>
      </c>
      <c r="DK227" s="28">
        <v>0</v>
      </c>
      <c r="DL227" s="28">
        <v>0</v>
      </c>
      <c r="DM227" s="28">
        <v>0</v>
      </c>
      <c r="DN227" s="28">
        <v>0</v>
      </c>
      <c r="DO227" s="28">
        <v>0</v>
      </c>
      <c r="DP227" s="28">
        <v>0</v>
      </c>
      <c r="DQ227" s="28">
        <v>0</v>
      </c>
      <c r="DR227" s="28">
        <v>0</v>
      </c>
      <c r="DS227" s="28">
        <v>0</v>
      </c>
      <c r="DT227" s="28">
        <v>0</v>
      </c>
      <c r="DU227" s="28">
        <v>0</v>
      </c>
      <c r="DV227" s="28">
        <v>0</v>
      </c>
      <c r="DW227" s="28">
        <v>0</v>
      </c>
      <c r="DX227" s="28">
        <v>0</v>
      </c>
      <c r="DY227" s="28">
        <v>0</v>
      </c>
      <c r="DZ227" s="28">
        <v>0</v>
      </c>
      <c r="EA227" s="28">
        <v>0</v>
      </c>
      <c r="EB227" s="28">
        <v>0</v>
      </c>
      <c r="EC227" s="28">
        <v>0</v>
      </c>
      <c r="ED227" s="28">
        <v>0</v>
      </c>
      <c r="EE227" s="28">
        <v>0</v>
      </c>
      <c r="EF227" s="28">
        <v>0</v>
      </c>
      <c r="EG227" s="28">
        <v>0</v>
      </c>
      <c r="EH227" s="28">
        <v>0</v>
      </c>
      <c r="EI227" s="28">
        <v>0</v>
      </c>
      <c r="EJ227" s="28">
        <v>0</v>
      </c>
      <c r="EK227" s="28">
        <v>0</v>
      </c>
      <c r="EL227" s="28">
        <v>0</v>
      </c>
      <c r="EM227" s="28">
        <v>0</v>
      </c>
      <c r="EN227" s="28">
        <v>0</v>
      </c>
      <c r="EO227" s="28">
        <v>0</v>
      </c>
      <c r="EP227" s="28">
        <v>0</v>
      </c>
      <c r="EQ227" s="28">
        <v>0</v>
      </c>
      <c r="ER227" s="28">
        <v>0</v>
      </c>
      <c r="ES227" s="28">
        <v>0</v>
      </c>
      <c r="ET227" s="28">
        <v>0</v>
      </c>
      <c r="EU227" s="28">
        <v>0</v>
      </c>
      <c r="EV227" s="28">
        <v>0</v>
      </c>
      <c r="EW227" s="28">
        <v>0</v>
      </c>
      <c r="EX227" s="28">
        <v>0</v>
      </c>
      <c r="EY227" s="28">
        <v>0</v>
      </c>
      <c r="EZ227" s="28">
        <v>0</v>
      </c>
      <c r="FA227" s="28">
        <v>0</v>
      </c>
      <c r="FB227" s="28">
        <v>0</v>
      </c>
      <c r="FC227" s="28">
        <v>0</v>
      </c>
      <c r="FD227" s="28">
        <v>0</v>
      </c>
      <c r="FE227" s="28">
        <v>0</v>
      </c>
      <c r="FF227" s="28">
        <v>0</v>
      </c>
      <c r="FG227" s="28">
        <v>1.8992056783467699</v>
      </c>
      <c r="FH227" s="28">
        <v>0</v>
      </c>
      <c r="FI227" s="28">
        <v>0</v>
      </c>
      <c r="FJ227" s="28">
        <v>0</v>
      </c>
      <c r="FK227" s="28">
        <v>0</v>
      </c>
      <c r="FL227" s="28">
        <v>0</v>
      </c>
      <c r="FM227" s="28">
        <v>0</v>
      </c>
      <c r="FN227" s="28">
        <v>0</v>
      </c>
      <c r="FO227" s="28">
        <v>0</v>
      </c>
      <c r="FP227" s="28">
        <v>0</v>
      </c>
      <c r="FQ227" s="28">
        <v>0</v>
      </c>
      <c r="FR227" s="28">
        <v>0</v>
      </c>
      <c r="FS227" s="28">
        <v>9.0908954771934791</v>
      </c>
      <c r="FT227" s="28">
        <v>36.810343262093703</v>
      </c>
      <c r="FU227" s="28">
        <v>0</v>
      </c>
      <c r="FV227" s="28">
        <v>0</v>
      </c>
      <c r="FW227" s="28">
        <v>1.14562538</v>
      </c>
      <c r="FX227" s="28">
        <v>33.4542172318856</v>
      </c>
      <c r="FY227" s="28">
        <v>0</v>
      </c>
      <c r="FZ227" s="28">
        <v>0</v>
      </c>
      <c r="GA227" s="28">
        <v>0</v>
      </c>
      <c r="GB227" s="28">
        <v>0</v>
      </c>
      <c r="GC227" s="28">
        <v>0</v>
      </c>
      <c r="GD227" s="28">
        <v>0</v>
      </c>
      <c r="GE227" s="28">
        <v>0.765996782518655</v>
      </c>
      <c r="GF227" s="28">
        <v>14.958653645571101</v>
      </c>
      <c r="GG227" s="28">
        <v>0</v>
      </c>
      <c r="GH227" s="28">
        <v>0</v>
      </c>
      <c r="GI227" s="28">
        <v>31.209714071745498</v>
      </c>
      <c r="GJ227" s="28">
        <v>33.216240107432697</v>
      </c>
      <c r="GK227" s="28">
        <v>40.167681433106601</v>
      </c>
      <c r="GL227" s="28">
        <v>0</v>
      </c>
      <c r="GM227" s="28">
        <v>0</v>
      </c>
      <c r="GN227" s="28">
        <v>0</v>
      </c>
      <c r="GO227" s="28">
        <v>8.1539234890753995</v>
      </c>
      <c r="GP227" s="28">
        <v>0</v>
      </c>
      <c r="GQ227" s="21">
        <v>296.22911182979379</v>
      </c>
      <c r="GR227" s="21">
        <v>1310.1417150776026</v>
      </c>
      <c r="GS227" s="20">
        <v>1310.1417150776026</v>
      </c>
      <c r="GT227" s="20">
        <v>0</v>
      </c>
      <c r="GU227" s="20">
        <v>0</v>
      </c>
      <c r="GV227" s="20">
        <v>0</v>
      </c>
      <c r="GW227" s="20">
        <v>0</v>
      </c>
      <c r="GX227" s="21">
        <v>0</v>
      </c>
      <c r="GY227" s="20">
        <v>0</v>
      </c>
      <c r="GZ227" s="20">
        <v>0</v>
      </c>
      <c r="HA227" s="20"/>
      <c r="HB227" s="21">
        <v>19.981840002751198</v>
      </c>
      <c r="HC227" s="21">
        <v>1626.3526669101475</v>
      </c>
    </row>
    <row r="228" spans="2:211" s="7" customFormat="1" ht="17.25" customHeight="1">
      <c r="B228" s="26" t="s">
        <v>707</v>
      </c>
      <c r="C228" s="10" t="s">
        <v>708</v>
      </c>
      <c r="D228" s="28">
        <v>0</v>
      </c>
      <c r="E228" s="28">
        <v>0</v>
      </c>
      <c r="F228" s="28">
        <v>0</v>
      </c>
      <c r="G228" s="28">
        <v>0</v>
      </c>
      <c r="H228" s="28">
        <v>0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0</v>
      </c>
      <c r="AG228" s="28">
        <v>0</v>
      </c>
      <c r="AH228" s="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 s="28">
        <v>0</v>
      </c>
      <c r="AR228" s="28">
        <v>0</v>
      </c>
      <c r="AS228" s="28">
        <v>0</v>
      </c>
      <c r="AT228" s="28">
        <v>0</v>
      </c>
      <c r="AU228" s="28">
        <v>0</v>
      </c>
      <c r="AV228" s="28">
        <v>0</v>
      </c>
      <c r="AW228" s="28">
        <v>0</v>
      </c>
      <c r="AX228" s="28">
        <v>0</v>
      </c>
      <c r="AY228" s="28">
        <v>0</v>
      </c>
      <c r="AZ228" s="28">
        <v>0</v>
      </c>
      <c r="BA228" s="28">
        <v>0</v>
      </c>
      <c r="BB228" s="28">
        <v>0</v>
      </c>
      <c r="BC228" s="28">
        <v>0</v>
      </c>
      <c r="BD228" s="28">
        <v>0</v>
      </c>
      <c r="BE228" s="28">
        <v>0</v>
      </c>
      <c r="BF228" s="28">
        <v>0</v>
      </c>
      <c r="BG228" s="28">
        <v>0</v>
      </c>
      <c r="BH228" s="28">
        <v>0</v>
      </c>
      <c r="BI228" s="28">
        <v>0</v>
      </c>
      <c r="BJ228" s="28">
        <v>0</v>
      </c>
      <c r="BK228" s="28">
        <v>0</v>
      </c>
      <c r="BL228" s="28">
        <v>0</v>
      </c>
      <c r="BM228" s="28">
        <v>0</v>
      </c>
      <c r="BN228" s="28">
        <v>0</v>
      </c>
      <c r="BO228" s="28">
        <v>0</v>
      </c>
      <c r="BP228" s="28">
        <v>0</v>
      </c>
      <c r="BQ228" s="28">
        <v>0</v>
      </c>
      <c r="BR228" s="28">
        <v>0</v>
      </c>
      <c r="BS228" s="28">
        <v>0</v>
      </c>
      <c r="BT228" s="28">
        <v>0</v>
      </c>
      <c r="BU228" s="28">
        <v>0</v>
      </c>
      <c r="BV228" s="28">
        <v>0</v>
      </c>
      <c r="BW228" s="28">
        <v>0</v>
      </c>
      <c r="BX228" s="28">
        <v>0</v>
      </c>
      <c r="BY228" s="28">
        <v>0</v>
      </c>
      <c r="BZ228" s="28">
        <v>0</v>
      </c>
      <c r="CA228" s="28">
        <v>0</v>
      </c>
      <c r="CB228" s="28">
        <v>0</v>
      </c>
      <c r="CC228" s="28">
        <v>0</v>
      </c>
      <c r="CD228" s="28">
        <v>0</v>
      </c>
      <c r="CE228" s="28">
        <v>0</v>
      </c>
      <c r="CF228" s="28">
        <v>0</v>
      </c>
      <c r="CG228" s="28">
        <v>0</v>
      </c>
      <c r="CH228" s="28">
        <v>0</v>
      </c>
      <c r="CI228" s="28">
        <v>0</v>
      </c>
      <c r="CJ228" s="28">
        <v>0</v>
      </c>
      <c r="CK228" s="28">
        <v>0</v>
      </c>
      <c r="CL228" s="28">
        <v>0</v>
      </c>
      <c r="CM228" s="28">
        <v>0</v>
      </c>
      <c r="CN228" s="28">
        <v>0</v>
      </c>
      <c r="CO228" s="28">
        <v>0</v>
      </c>
      <c r="CP228" s="28">
        <v>0</v>
      </c>
      <c r="CQ228" s="28">
        <v>0</v>
      </c>
      <c r="CR228" s="28">
        <v>0</v>
      </c>
      <c r="CS228" s="28">
        <v>0</v>
      </c>
      <c r="CT228" s="28">
        <v>0</v>
      </c>
      <c r="CU228" s="28">
        <v>0</v>
      </c>
      <c r="CV228" s="28">
        <v>0</v>
      </c>
      <c r="CW228" s="28">
        <v>0</v>
      </c>
      <c r="CX228" s="28">
        <v>0</v>
      </c>
      <c r="CY228" s="28">
        <v>0</v>
      </c>
      <c r="CZ228" s="28">
        <v>0</v>
      </c>
      <c r="DA228" s="28">
        <v>0</v>
      </c>
      <c r="DB228" s="28">
        <v>0</v>
      </c>
      <c r="DC228" s="28">
        <v>0</v>
      </c>
      <c r="DD228" s="28">
        <v>0</v>
      </c>
      <c r="DE228" s="28">
        <v>0</v>
      </c>
      <c r="DF228" s="28">
        <v>0</v>
      </c>
      <c r="DG228" s="28">
        <v>0</v>
      </c>
      <c r="DH228" s="28">
        <v>0</v>
      </c>
      <c r="DI228" s="28">
        <v>0</v>
      </c>
      <c r="DJ228" s="28">
        <v>0</v>
      </c>
      <c r="DK228" s="28">
        <v>0</v>
      </c>
      <c r="DL228" s="28">
        <v>0</v>
      </c>
      <c r="DM228" s="28">
        <v>0</v>
      </c>
      <c r="DN228" s="28">
        <v>0</v>
      </c>
      <c r="DO228" s="28">
        <v>0</v>
      </c>
      <c r="DP228" s="28">
        <v>0</v>
      </c>
      <c r="DQ228" s="28">
        <v>0</v>
      </c>
      <c r="DR228" s="28">
        <v>0</v>
      </c>
      <c r="DS228" s="28">
        <v>0</v>
      </c>
      <c r="DT228" s="28">
        <v>0</v>
      </c>
      <c r="DU228" s="28">
        <v>0</v>
      </c>
      <c r="DV228" s="28">
        <v>0</v>
      </c>
      <c r="DW228" s="28">
        <v>0</v>
      </c>
      <c r="DX228" s="28">
        <v>0</v>
      </c>
      <c r="DY228" s="28">
        <v>0</v>
      </c>
      <c r="DZ228" s="28">
        <v>0</v>
      </c>
      <c r="EA228" s="28">
        <v>0</v>
      </c>
      <c r="EB228" s="28">
        <v>0</v>
      </c>
      <c r="EC228" s="28">
        <v>0</v>
      </c>
      <c r="ED228" s="28">
        <v>0</v>
      </c>
      <c r="EE228" s="28">
        <v>0</v>
      </c>
      <c r="EF228" s="28">
        <v>0</v>
      </c>
      <c r="EG228" s="28">
        <v>0</v>
      </c>
      <c r="EH228" s="28">
        <v>0</v>
      </c>
      <c r="EI228" s="28">
        <v>0</v>
      </c>
      <c r="EJ228" s="28">
        <v>0</v>
      </c>
      <c r="EK228" s="28">
        <v>0</v>
      </c>
      <c r="EL228" s="28">
        <v>0</v>
      </c>
      <c r="EM228" s="28">
        <v>0</v>
      </c>
      <c r="EN228" s="28">
        <v>0</v>
      </c>
      <c r="EO228" s="28">
        <v>0</v>
      </c>
      <c r="EP228" s="28">
        <v>0</v>
      </c>
      <c r="EQ228" s="28">
        <v>0</v>
      </c>
      <c r="ER228" s="28">
        <v>0</v>
      </c>
      <c r="ES228" s="28">
        <v>0</v>
      </c>
      <c r="ET228" s="28">
        <v>0</v>
      </c>
      <c r="EU228" s="28">
        <v>0</v>
      </c>
      <c r="EV228" s="28">
        <v>0</v>
      </c>
      <c r="EW228" s="28">
        <v>0</v>
      </c>
      <c r="EX228" s="28">
        <v>0</v>
      </c>
      <c r="EY228" s="28">
        <v>0</v>
      </c>
      <c r="EZ228" s="28">
        <v>0</v>
      </c>
      <c r="FA228" s="28">
        <v>0</v>
      </c>
      <c r="FB228" s="28">
        <v>0</v>
      </c>
      <c r="FC228" s="28">
        <v>0</v>
      </c>
      <c r="FD228" s="28">
        <v>0</v>
      </c>
      <c r="FE228" s="28">
        <v>0</v>
      </c>
      <c r="FF228" s="28">
        <v>0</v>
      </c>
      <c r="FG228" s="28">
        <v>0</v>
      </c>
      <c r="FH228" s="28">
        <v>0</v>
      </c>
      <c r="FI228" s="28">
        <v>0</v>
      </c>
      <c r="FJ228" s="28">
        <v>0</v>
      </c>
      <c r="FK228" s="28">
        <v>0</v>
      </c>
      <c r="FL228" s="28">
        <v>0</v>
      </c>
      <c r="FM228" s="28">
        <v>0</v>
      </c>
      <c r="FN228" s="28">
        <v>0</v>
      </c>
      <c r="FO228" s="28">
        <v>0</v>
      </c>
      <c r="FP228" s="28">
        <v>0</v>
      </c>
      <c r="FQ228" s="28">
        <v>0</v>
      </c>
      <c r="FR228" s="28">
        <v>0</v>
      </c>
      <c r="FS228" s="28">
        <v>0</v>
      </c>
      <c r="FT228" s="28">
        <v>0</v>
      </c>
      <c r="FU228" s="28">
        <v>0</v>
      </c>
      <c r="FV228" s="28">
        <v>0</v>
      </c>
      <c r="FW228" s="28">
        <v>0</v>
      </c>
      <c r="FX228" s="28">
        <v>0</v>
      </c>
      <c r="FY228" s="28">
        <v>0</v>
      </c>
      <c r="FZ228" s="28">
        <v>0</v>
      </c>
      <c r="GA228" s="28">
        <v>0</v>
      </c>
      <c r="GB228" s="28">
        <v>0</v>
      </c>
      <c r="GC228" s="28">
        <v>0</v>
      </c>
      <c r="GD228" s="28">
        <v>0</v>
      </c>
      <c r="GE228" s="28">
        <v>0</v>
      </c>
      <c r="GF228" s="28">
        <v>0</v>
      </c>
      <c r="GG228" s="28">
        <v>0</v>
      </c>
      <c r="GH228" s="28">
        <v>0</v>
      </c>
      <c r="GI228" s="28">
        <v>0</v>
      </c>
      <c r="GJ228" s="28">
        <v>0</v>
      </c>
      <c r="GK228" s="28">
        <v>0</v>
      </c>
      <c r="GL228" s="28">
        <v>0</v>
      </c>
      <c r="GM228" s="28">
        <v>0</v>
      </c>
      <c r="GN228" s="28">
        <v>0</v>
      </c>
      <c r="GO228" s="28">
        <v>0</v>
      </c>
      <c r="GP228" s="28">
        <v>0</v>
      </c>
      <c r="GQ228" s="21">
        <v>0</v>
      </c>
      <c r="GR228" s="21">
        <v>1766.0250000000001</v>
      </c>
      <c r="GS228" s="20">
        <v>1766.0250000000001</v>
      </c>
      <c r="GT228" s="20">
        <v>0</v>
      </c>
      <c r="GU228" s="20">
        <v>0</v>
      </c>
      <c r="GV228" s="20">
        <v>0</v>
      </c>
      <c r="GW228" s="20">
        <v>0</v>
      </c>
      <c r="GX228" s="21">
        <v>0</v>
      </c>
      <c r="GY228" s="20">
        <v>0</v>
      </c>
      <c r="GZ228" s="20">
        <v>0</v>
      </c>
      <c r="HA228" s="20"/>
      <c r="HB228" s="21">
        <v>0</v>
      </c>
      <c r="HC228" s="21">
        <v>1766.0250000000001</v>
      </c>
    </row>
    <row r="229" spans="2:211" s="7" customFormat="1" ht="17.25" customHeight="1">
      <c r="B229" s="26" t="s">
        <v>709</v>
      </c>
      <c r="C229" s="10" t="s">
        <v>710</v>
      </c>
      <c r="D229" s="28">
        <v>0</v>
      </c>
      <c r="E229" s="28">
        <v>0</v>
      </c>
      <c r="F229" s="28">
        <v>0</v>
      </c>
      <c r="G229" s="28">
        <v>0</v>
      </c>
      <c r="H229" s="28">
        <v>0</v>
      </c>
      <c r="I229" s="28">
        <v>0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0</v>
      </c>
      <c r="AQ229" s="28">
        <v>0</v>
      </c>
      <c r="AR229" s="28">
        <v>0</v>
      </c>
      <c r="AS229" s="28">
        <v>0</v>
      </c>
      <c r="AT229" s="28">
        <v>0</v>
      </c>
      <c r="AU229" s="28">
        <v>0</v>
      </c>
      <c r="AV229" s="28">
        <v>0</v>
      </c>
      <c r="AW229" s="28">
        <v>0</v>
      </c>
      <c r="AX229" s="28">
        <v>0</v>
      </c>
      <c r="AY229" s="28">
        <v>0</v>
      </c>
      <c r="AZ229" s="28">
        <v>0</v>
      </c>
      <c r="BA229" s="28">
        <v>0</v>
      </c>
      <c r="BB229" s="28">
        <v>0</v>
      </c>
      <c r="BC229" s="28">
        <v>0</v>
      </c>
      <c r="BD229" s="28">
        <v>0</v>
      </c>
      <c r="BE229" s="28">
        <v>0</v>
      </c>
      <c r="BF229" s="28">
        <v>0</v>
      </c>
      <c r="BG229" s="28">
        <v>0</v>
      </c>
      <c r="BH229" s="28">
        <v>0</v>
      </c>
      <c r="BI229" s="28">
        <v>0</v>
      </c>
      <c r="BJ229" s="28">
        <v>0</v>
      </c>
      <c r="BK229" s="28">
        <v>0</v>
      </c>
      <c r="BL229" s="28">
        <v>0</v>
      </c>
      <c r="BM229" s="28">
        <v>0</v>
      </c>
      <c r="BN229" s="28">
        <v>0</v>
      </c>
      <c r="BO229" s="28">
        <v>0</v>
      </c>
      <c r="BP229" s="28">
        <v>0</v>
      </c>
      <c r="BQ229" s="28">
        <v>0</v>
      </c>
      <c r="BR229" s="28">
        <v>0</v>
      </c>
      <c r="BS229" s="28">
        <v>0</v>
      </c>
      <c r="BT229" s="28">
        <v>0</v>
      </c>
      <c r="BU229" s="28">
        <v>0</v>
      </c>
      <c r="BV229" s="28">
        <v>0</v>
      </c>
      <c r="BW229" s="28">
        <v>0</v>
      </c>
      <c r="BX229" s="28">
        <v>0</v>
      </c>
      <c r="BY229" s="28">
        <v>0</v>
      </c>
      <c r="BZ229" s="28">
        <v>0</v>
      </c>
      <c r="CA229" s="28">
        <v>0</v>
      </c>
      <c r="CB229" s="28">
        <v>0</v>
      </c>
      <c r="CC229" s="28">
        <v>0</v>
      </c>
      <c r="CD229" s="28">
        <v>0</v>
      </c>
      <c r="CE229" s="28">
        <v>0</v>
      </c>
      <c r="CF229" s="28">
        <v>0</v>
      </c>
      <c r="CG229" s="28">
        <v>0</v>
      </c>
      <c r="CH229" s="28">
        <v>0</v>
      </c>
      <c r="CI229" s="28">
        <v>0</v>
      </c>
      <c r="CJ229" s="28">
        <v>0</v>
      </c>
      <c r="CK229" s="28">
        <v>0</v>
      </c>
      <c r="CL229" s="28">
        <v>0</v>
      </c>
      <c r="CM229" s="28">
        <v>0</v>
      </c>
      <c r="CN229" s="28">
        <v>0</v>
      </c>
      <c r="CO229" s="28">
        <v>0</v>
      </c>
      <c r="CP229" s="28">
        <v>0</v>
      </c>
      <c r="CQ229" s="28">
        <v>0</v>
      </c>
      <c r="CR229" s="28">
        <v>0</v>
      </c>
      <c r="CS229" s="28">
        <v>0</v>
      </c>
      <c r="CT229" s="28">
        <v>0</v>
      </c>
      <c r="CU229" s="28">
        <v>0</v>
      </c>
      <c r="CV229" s="28">
        <v>0</v>
      </c>
      <c r="CW229" s="28">
        <v>0</v>
      </c>
      <c r="CX229" s="28">
        <v>0</v>
      </c>
      <c r="CY229" s="28">
        <v>0</v>
      </c>
      <c r="CZ229" s="28">
        <v>0</v>
      </c>
      <c r="DA229" s="28">
        <v>0</v>
      </c>
      <c r="DB229" s="28">
        <v>0</v>
      </c>
      <c r="DC229" s="28">
        <v>0</v>
      </c>
      <c r="DD229" s="28">
        <v>0</v>
      </c>
      <c r="DE229" s="28">
        <v>0</v>
      </c>
      <c r="DF229" s="28">
        <v>0</v>
      </c>
      <c r="DG229" s="28">
        <v>0</v>
      </c>
      <c r="DH229" s="28">
        <v>0</v>
      </c>
      <c r="DI229" s="28">
        <v>0</v>
      </c>
      <c r="DJ229" s="28">
        <v>0</v>
      </c>
      <c r="DK229" s="28">
        <v>0</v>
      </c>
      <c r="DL229" s="28">
        <v>0</v>
      </c>
      <c r="DM229" s="28">
        <v>0</v>
      </c>
      <c r="DN229" s="28">
        <v>0</v>
      </c>
      <c r="DO229" s="28">
        <v>0</v>
      </c>
      <c r="DP229" s="28">
        <v>0</v>
      </c>
      <c r="DQ229" s="28">
        <v>0</v>
      </c>
      <c r="DR229" s="28">
        <v>0</v>
      </c>
      <c r="DS229" s="28">
        <v>0</v>
      </c>
      <c r="DT229" s="28">
        <v>0</v>
      </c>
      <c r="DU229" s="28">
        <v>0</v>
      </c>
      <c r="DV229" s="28">
        <v>0</v>
      </c>
      <c r="DW229" s="28">
        <v>0</v>
      </c>
      <c r="DX229" s="28">
        <v>0</v>
      </c>
      <c r="DY229" s="28">
        <v>0</v>
      </c>
      <c r="DZ229" s="28">
        <v>0</v>
      </c>
      <c r="EA229" s="28">
        <v>0</v>
      </c>
      <c r="EB229" s="28">
        <v>0</v>
      </c>
      <c r="EC229" s="28">
        <v>0</v>
      </c>
      <c r="ED229" s="28">
        <v>0</v>
      </c>
      <c r="EE229" s="28">
        <v>0</v>
      </c>
      <c r="EF229" s="28">
        <v>0</v>
      </c>
      <c r="EG229" s="28">
        <v>0</v>
      </c>
      <c r="EH229" s="28">
        <v>0</v>
      </c>
      <c r="EI229" s="28">
        <v>0</v>
      </c>
      <c r="EJ229" s="28">
        <v>0</v>
      </c>
      <c r="EK229" s="28">
        <v>0</v>
      </c>
      <c r="EL229" s="28">
        <v>0</v>
      </c>
      <c r="EM229" s="28">
        <v>0</v>
      </c>
      <c r="EN229" s="28">
        <v>0</v>
      </c>
      <c r="EO229" s="28">
        <v>0</v>
      </c>
      <c r="EP229" s="28">
        <v>0</v>
      </c>
      <c r="EQ229" s="28">
        <v>0</v>
      </c>
      <c r="ER229" s="28">
        <v>0</v>
      </c>
      <c r="ES229" s="28">
        <v>0</v>
      </c>
      <c r="ET229" s="28">
        <v>0</v>
      </c>
      <c r="EU229" s="28">
        <v>0</v>
      </c>
      <c r="EV229" s="28">
        <v>0</v>
      </c>
      <c r="EW229" s="28">
        <v>0</v>
      </c>
      <c r="EX229" s="28">
        <v>0</v>
      </c>
      <c r="EY229" s="28">
        <v>0</v>
      </c>
      <c r="EZ229" s="28">
        <v>0</v>
      </c>
      <c r="FA229" s="28">
        <v>0</v>
      </c>
      <c r="FB229" s="28">
        <v>0</v>
      </c>
      <c r="FC229" s="28">
        <v>0</v>
      </c>
      <c r="FD229" s="28">
        <v>0</v>
      </c>
      <c r="FE229" s="28">
        <v>0</v>
      </c>
      <c r="FF229" s="28">
        <v>0</v>
      </c>
      <c r="FG229" s="28">
        <v>0</v>
      </c>
      <c r="FH229" s="28">
        <v>0</v>
      </c>
      <c r="FI229" s="28">
        <v>0</v>
      </c>
      <c r="FJ229" s="28">
        <v>0</v>
      </c>
      <c r="FK229" s="28">
        <v>0</v>
      </c>
      <c r="FL229" s="28">
        <v>0</v>
      </c>
      <c r="FM229" s="28">
        <v>0</v>
      </c>
      <c r="FN229" s="28">
        <v>0</v>
      </c>
      <c r="FO229" s="28">
        <v>0</v>
      </c>
      <c r="FP229" s="28">
        <v>0</v>
      </c>
      <c r="FQ229" s="28">
        <v>0</v>
      </c>
      <c r="FR229" s="28">
        <v>0</v>
      </c>
      <c r="FS229" s="28">
        <v>0</v>
      </c>
      <c r="FT229" s="28">
        <v>0</v>
      </c>
      <c r="FU229" s="28">
        <v>0</v>
      </c>
      <c r="FV229" s="28">
        <v>0</v>
      </c>
      <c r="FW229" s="28">
        <v>0</v>
      </c>
      <c r="FX229" s="28">
        <v>0</v>
      </c>
      <c r="FY229" s="28">
        <v>0</v>
      </c>
      <c r="FZ229" s="28">
        <v>0</v>
      </c>
      <c r="GA229" s="28">
        <v>0</v>
      </c>
      <c r="GB229" s="28">
        <v>0</v>
      </c>
      <c r="GC229" s="28">
        <v>0</v>
      </c>
      <c r="GD229" s="28">
        <v>0</v>
      </c>
      <c r="GE229" s="28">
        <v>0</v>
      </c>
      <c r="GF229" s="28">
        <v>0</v>
      </c>
      <c r="GG229" s="28">
        <v>0</v>
      </c>
      <c r="GH229" s="28">
        <v>0</v>
      </c>
      <c r="GI229" s="28">
        <v>0</v>
      </c>
      <c r="GJ229" s="28">
        <v>0</v>
      </c>
      <c r="GK229" s="28">
        <v>0</v>
      </c>
      <c r="GL229" s="28">
        <v>0</v>
      </c>
      <c r="GM229" s="28">
        <v>0</v>
      </c>
      <c r="GN229" s="28">
        <v>0</v>
      </c>
      <c r="GO229" s="28">
        <v>0</v>
      </c>
      <c r="GP229" s="28">
        <v>0</v>
      </c>
      <c r="GQ229" s="21">
        <v>0</v>
      </c>
      <c r="GR229" s="21">
        <v>-445.37308977102816</v>
      </c>
      <c r="GS229" s="20">
        <v>-445.37308977102816</v>
      </c>
      <c r="GT229" s="20">
        <v>0</v>
      </c>
      <c r="GU229" s="20">
        <v>0</v>
      </c>
      <c r="GV229" s="20">
        <v>0</v>
      </c>
      <c r="GW229" s="20">
        <v>0</v>
      </c>
      <c r="GX229" s="21">
        <v>0</v>
      </c>
      <c r="GY229" s="20">
        <v>0</v>
      </c>
      <c r="GZ229" s="20">
        <v>0</v>
      </c>
      <c r="HA229" s="20"/>
      <c r="HB229" s="21">
        <v>2023.0444789902288</v>
      </c>
      <c r="HC229" s="21">
        <v>1577.6713892192006</v>
      </c>
    </row>
    <row r="230" spans="2:211" s="7" customFormat="1" ht="17.25" customHeight="1">
      <c r="B230" s="22" t="s">
        <v>711</v>
      </c>
      <c r="C230" s="23" t="s">
        <v>712</v>
      </c>
      <c r="D230" s="29">
        <f t="shared" ref="D230:BO230" si="0">SUM(D14:D229)</f>
        <v>379.53355759043882</v>
      </c>
      <c r="E230" s="29">
        <f t="shared" si="0"/>
        <v>779.9810978335006</v>
      </c>
      <c r="F230" s="29">
        <f t="shared" si="0"/>
        <v>1471.6218039904968</v>
      </c>
      <c r="G230" s="29">
        <f t="shared" si="0"/>
        <v>193.63439097822138</v>
      </c>
      <c r="H230" s="29">
        <f t="shared" si="0"/>
        <v>661.46483824931056</v>
      </c>
      <c r="I230" s="29">
        <f t="shared" si="0"/>
        <v>344.78598413965392</v>
      </c>
      <c r="J230" s="29">
        <f t="shared" si="0"/>
        <v>113.47090815566696</v>
      </c>
      <c r="K230" s="29">
        <f t="shared" si="0"/>
        <v>30.976110191252619</v>
      </c>
      <c r="L230" s="29">
        <f t="shared" si="0"/>
        <v>87.512171035883071</v>
      </c>
      <c r="M230" s="29">
        <f t="shared" si="0"/>
        <v>763.79769024445363</v>
      </c>
      <c r="N230" s="29">
        <f t="shared" si="0"/>
        <v>147.6992335559296</v>
      </c>
      <c r="O230" s="29">
        <f t="shared" si="0"/>
        <v>195.93542440844467</v>
      </c>
      <c r="P230" s="29">
        <f t="shared" si="0"/>
        <v>53.667445196088416</v>
      </c>
      <c r="Q230" s="29">
        <f t="shared" si="0"/>
        <v>530.8564886709587</v>
      </c>
      <c r="R230" s="29">
        <f t="shared" si="0"/>
        <v>575.71434595163771</v>
      </c>
      <c r="S230" s="29">
        <f t="shared" si="0"/>
        <v>2843.1023277856475</v>
      </c>
      <c r="T230" s="29">
        <f t="shared" si="0"/>
        <v>197.0957056232786</v>
      </c>
      <c r="U230" s="29">
        <f t="shared" si="0"/>
        <v>502.78423349970592</v>
      </c>
      <c r="V230" s="29">
        <f t="shared" si="0"/>
        <v>7.7472913565134576</v>
      </c>
      <c r="W230" s="29">
        <f t="shared" si="0"/>
        <v>93.214209261993119</v>
      </c>
      <c r="X230" s="29">
        <f t="shared" si="0"/>
        <v>62.135303716914734</v>
      </c>
      <c r="Y230" s="29">
        <f t="shared" si="0"/>
        <v>14.441474411580078</v>
      </c>
      <c r="Z230" s="29">
        <f t="shared" si="0"/>
        <v>257.87008011285849</v>
      </c>
      <c r="AA230" s="29">
        <f t="shared" si="0"/>
        <v>30.324886968849448</v>
      </c>
      <c r="AB230" s="29">
        <f t="shared" si="0"/>
        <v>25.102880887830135</v>
      </c>
      <c r="AC230" s="29">
        <f t="shared" si="0"/>
        <v>783.84769620196857</v>
      </c>
      <c r="AD230" s="29">
        <f t="shared" si="0"/>
        <v>9.7250893908132063</v>
      </c>
      <c r="AE230" s="29">
        <f t="shared" si="0"/>
        <v>469.3429095397496</v>
      </c>
      <c r="AF230" s="29">
        <f t="shared" si="0"/>
        <v>3634.0514701261282</v>
      </c>
      <c r="AG230" s="29">
        <f t="shared" si="0"/>
        <v>829.19599060009659</v>
      </c>
      <c r="AH230" s="29">
        <f t="shared" si="0"/>
        <v>108.14200126535057</v>
      </c>
      <c r="AI230" s="29">
        <f t="shared" si="0"/>
        <v>198.76730118357568</v>
      </c>
      <c r="AJ230" s="29">
        <f t="shared" si="0"/>
        <v>61.36503843832125</v>
      </c>
      <c r="AK230" s="29">
        <f t="shared" si="0"/>
        <v>50.954444537637578</v>
      </c>
      <c r="AL230" s="29">
        <f t="shared" si="0"/>
        <v>2319.5947768728356</v>
      </c>
      <c r="AM230" s="29">
        <f t="shared" si="0"/>
        <v>57.646623220468328</v>
      </c>
      <c r="AN230" s="29">
        <f t="shared" si="0"/>
        <v>225.60352019343807</v>
      </c>
      <c r="AO230" s="29">
        <f t="shared" si="0"/>
        <v>13.82487302987832</v>
      </c>
      <c r="AP230" s="29">
        <f t="shared" si="0"/>
        <v>74.031803977702396</v>
      </c>
      <c r="AQ230" s="29">
        <f t="shared" si="0"/>
        <v>157.86630691670433</v>
      </c>
      <c r="AR230" s="29">
        <f t="shared" si="0"/>
        <v>56.627938201614832</v>
      </c>
      <c r="AS230" s="29">
        <f t="shared" si="0"/>
        <v>8.1102423059826373E-2</v>
      </c>
      <c r="AT230" s="29">
        <f t="shared" si="0"/>
        <v>7187.4616979364519</v>
      </c>
      <c r="AU230" s="29">
        <f t="shared" si="0"/>
        <v>472.23725957552284</v>
      </c>
      <c r="AV230" s="29">
        <f t="shared" si="0"/>
        <v>508.48128710931633</v>
      </c>
      <c r="AW230" s="29">
        <f t="shared" si="0"/>
        <v>1605.619295581869</v>
      </c>
      <c r="AX230" s="29">
        <f t="shared" si="0"/>
        <v>4254.8480962326857</v>
      </c>
      <c r="AY230" s="29">
        <f t="shared" si="0"/>
        <v>2.6170151120806922</v>
      </c>
      <c r="AZ230" s="29">
        <f t="shared" si="0"/>
        <v>251.83680198983842</v>
      </c>
      <c r="BA230" s="29">
        <f t="shared" si="0"/>
        <v>195.46740522369635</v>
      </c>
      <c r="BB230" s="29">
        <f t="shared" si="0"/>
        <v>24.727733730801678</v>
      </c>
      <c r="BC230" s="29">
        <f t="shared" si="0"/>
        <v>1052.4985633798499</v>
      </c>
      <c r="BD230" s="29">
        <f t="shared" si="0"/>
        <v>17.780116533594278</v>
      </c>
      <c r="BE230" s="29">
        <f t="shared" si="0"/>
        <v>3880.2087565782094</v>
      </c>
      <c r="BF230" s="29">
        <f t="shared" si="0"/>
        <v>1876.1864614978065</v>
      </c>
      <c r="BG230" s="29">
        <f t="shared" si="0"/>
        <v>533.09364712285014</v>
      </c>
      <c r="BH230" s="29">
        <f t="shared" si="0"/>
        <v>3888.3190355712613</v>
      </c>
      <c r="BI230" s="29">
        <f t="shared" si="0"/>
        <v>25.270521153477066</v>
      </c>
      <c r="BJ230" s="29">
        <f t="shared" si="0"/>
        <v>577.86566936442489</v>
      </c>
      <c r="BK230" s="29">
        <f t="shared" si="0"/>
        <v>167.73955048595101</v>
      </c>
      <c r="BL230" s="29">
        <f t="shared" si="0"/>
        <v>674.16783260822444</v>
      </c>
      <c r="BM230" s="29">
        <f t="shared" si="0"/>
        <v>391.89258066737665</v>
      </c>
      <c r="BN230" s="29">
        <f t="shared" si="0"/>
        <v>364.6419367767673</v>
      </c>
      <c r="BO230" s="29">
        <f t="shared" si="0"/>
        <v>381.8575792798182</v>
      </c>
      <c r="BP230" s="29">
        <f t="shared" ref="BP230:EA230" si="1">SUM(BP14:BP229)</f>
        <v>523.34541737715392</v>
      </c>
      <c r="BQ230" s="29">
        <f t="shared" si="1"/>
        <v>764.97658642160161</v>
      </c>
      <c r="BR230" s="29">
        <f t="shared" si="1"/>
        <v>226.91296443971484</v>
      </c>
      <c r="BS230" s="29">
        <f t="shared" si="1"/>
        <v>1549.9321693724319</v>
      </c>
      <c r="BT230" s="29">
        <f t="shared" si="1"/>
        <v>1564.5075217040167</v>
      </c>
      <c r="BU230" s="29">
        <f t="shared" si="1"/>
        <v>454.36811762517794</v>
      </c>
      <c r="BV230" s="29">
        <f t="shared" si="1"/>
        <v>951.10796591197482</v>
      </c>
      <c r="BW230" s="29">
        <f t="shared" si="1"/>
        <v>230.55627986121419</v>
      </c>
      <c r="BX230" s="29">
        <f t="shared" si="1"/>
        <v>571.40473238024026</v>
      </c>
      <c r="BY230" s="29">
        <f t="shared" si="1"/>
        <v>386.88608697818074</v>
      </c>
      <c r="BZ230" s="29">
        <f t="shared" si="1"/>
        <v>76.394936803127507</v>
      </c>
      <c r="CA230" s="29">
        <f t="shared" si="1"/>
        <v>1292.743458846973</v>
      </c>
      <c r="CB230" s="29">
        <f t="shared" si="1"/>
        <v>3233.1822722673228</v>
      </c>
      <c r="CC230" s="29">
        <f t="shared" si="1"/>
        <v>200.43264288588975</v>
      </c>
      <c r="CD230" s="29">
        <f t="shared" si="1"/>
        <v>1696.5767853280131</v>
      </c>
      <c r="CE230" s="29">
        <f t="shared" si="1"/>
        <v>528.87259291415444</v>
      </c>
      <c r="CF230" s="29">
        <f t="shared" si="1"/>
        <v>0</v>
      </c>
      <c r="CG230" s="29">
        <f t="shared" si="1"/>
        <v>512.48346131826088</v>
      </c>
      <c r="CH230" s="29">
        <f t="shared" si="1"/>
        <v>392.32436855968382</v>
      </c>
      <c r="CI230" s="29">
        <f t="shared" si="1"/>
        <v>471.63224389627158</v>
      </c>
      <c r="CJ230" s="29">
        <f t="shared" si="1"/>
        <v>462.1082665697387</v>
      </c>
      <c r="CK230" s="29">
        <f t="shared" si="1"/>
        <v>80.165165161425733</v>
      </c>
      <c r="CL230" s="29">
        <f t="shared" si="1"/>
        <v>419.8930714128752</v>
      </c>
      <c r="CM230" s="29">
        <f t="shared" si="1"/>
        <v>817.86746135367196</v>
      </c>
      <c r="CN230" s="29">
        <f t="shared" si="1"/>
        <v>123.44080288286681</v>
      </c>
      <c r="CO230" s="29">
        <f t="shared" si="1"/>
        <v>163.99419362917982</v>
      </c>
      <c r="CP230" s="29">
        <f t="shared" si="1"/>
        <v>1388.0300905214106</v>
      </c>
      <c r="CQ230" s="29">
        <f t="shared" si="1"/>
        <v>135.65495837347115</v>
      </c>
      <c r="CR230" s="29">
        <f t="shared" si="1"/>
        <v>322.02423213024667</v>
      </c>
      <c r="CS230" s="29">
        <f t="shared" si="1"/>
        <v>394.13526413338178</v>
      </c>
      <c r="CT230" s="29">
        <f t="shared" si="1"/>
        <v>2026.8605633485263</v>
      </c>
      <c r="CU230" s="29">
        <f t="shared" si="1"/>
        <v>177.317991469508</v>
      </c>
      <c r="CV230" s="29">
        <f t="shared" si="1"/>
        <v>196.00170096335441</v>
      </c>
      <c r="CW230" s="29">
        <f t="shared" si="1"/>
        <v>446.00146046614418</v>
      </c>
      <c r="CX230" s="29">
        <f t="shared" si="1"/>
        <v>89.635549936286679</v>
      </c>
      <c r="CY230" s="29">
        <f t="shared" si="1"/>
        <v>521.64829042961117</v>
      </c>
      <c r="CZ230" s="29">
        <f t="shared" si="1"/>
        <v>31.683609528994861</v>
      </c>
      <c r="DA230" s="29">
        <f t="shared" si="1"/>
        <v>662.38680239067753</v>
      </c>
      <c r="DB230" s="29">
        <f t="shared" si="1"/>
        <v>681.46400200863445</v>
      </c>
      <c r="DC230" s="29">
        <f t="shared" si="1"/>
        <v>819.93597477439312</v>
      </c>
      <c r="DD230" s="29">
        <f t="shared" si="1"/>
        <v>17.888976351806782</v>
      </c>
      <c r="DE230" s="29">
        <f t="shared" si="1"/>
        <v>0</v>
      </c>
      <c r="DF230" s="29">
        <f t="shared" si="1"/>
        <v>223.1307474903264</v>
      </c>
      <c r="DG230" s="29">
        <f t="shared" si="1"/>
        <v>953.7498906180308</v>
      </c>
      <c r="DH230" s="29">
        <f t="shared" si="1"/>
        <v>1128.4413352742315</v>
      </c>
      <c r="DI230" s="29">
        <f t="shared" si="1"/>
        <v>94.013078725355868</v>
      </c>
      <c r="DJ230" s="29">
        <f t="shared" si="1"/>
        <v>6106.808456857445</v>
      </c>
      <c r="DK230" s="29">
        <f t="shared" si="1"/>
        <v>11.23249931581632</v>
      </c>
      <c r="DL230" s="29">
        <f t="shared" si="1"/>
        <v>234.16356066906593</v>
      </c>
      <c r="DM230" s="29">
        <f t="shared" si="1"/>
        <v>41.540307575996209</v>
      </c>
      <c r="DN230" s="29">
        <f t="shared" si="1"/>
        <v>121.38609389924616</v>
      </c>
      <c r="DO230" s="29">
        <f t="shared" si="1"/>
        <v>58.424370177900926</v>
      </c>
      <c r="DP230" s="29">
        <f t="shared" si="1"/>
        <v>0</v>
      </c>
      <c r="DQ230" s="29">
        <f t="shared" si="1"/>
        <v>459.35690175633277</v>
      </c>
      <c r="DR230" s="29">
        <f t="shared" si="1"/>
        <v>1145.1987509910107</v>
      </c>
      <c r="DS230" s="29">
        <f t="shared" si="1"/>
        <v>756.60113081977704</v>
      </c>
      <c r="DT230" s="29">
        <f t="shared" si="1"/>
        <v>20.929752605331171</v>
      </c>
      <c r="DU230" s="29">
        <f t="shared" si="1"/>
        <v>1915.0376149158978</v>
      </c>
      <c r="DV230" s="29">
        <f t="shared" si="1"/>
        <v>285.88249223313983</v>
      </c>
      <c r="DW230" s="29">
        <f t="shared" si="1"/>
        <v>0</v>
      </c>
      <c r="DX230" s="29">
        <f t="shared" si="1"/>
        <v>358.52311329684596</v>
      </c>
      <c r="DY230" s="29">
        <f t="shared" si="1"/>
        <v>357.44056103422082</v>
      </c>
      <c r="DZ230" s="29">
        <f t="shared" si="1"/>
        <v>1473.5164031443755</v>
      </c>
      <c r="EA230" s="29">
        <f t="shared" si="1"/>
        <v>37.306269570179495</v>
      </c>
      <c r="EB230" s="29">
        <f t="shared" ref="EB230:GM230" si="2">SUM(EB14:EB229)</f>
        <v>158.83077974505713</v>
      </c>
      <c r="EC230" s="29">
        <f t="shared" si="2"/>
        <v>717.5561890657309</v>
      </c>
      <c r="ED230" s="29">
        <f t="shared" si="2"/>
        <v>392.1777466840831</v>
      </c>
      <c r="EE230" s="29">
        <f t="shared" si="2"/>
        <v>2119.0283674149737</v>
      </c>
      <c r="EF230" s="29">
        <f t="shared" si="2"/>
        <v>6294.2345291065412</v>
      </c>
      <c r="EG230" s="29">
        <f t="shared" si="2"/>
        <v>575.52616714547946</v>
      </c>
      <c r="EH230" s="29">
        <f t="shared" si="2"/>
        <v>40.004153966861189</v>
      </c>
      <c r="EI230" s="29">
        <f t="shared" si="2"/>
        <v>35.734021874507633</v>
      </c>
      <c r="EJ230" s="29">
        <f t="shared" si="2"/>
        <v>911.00413269678063</v>
      </c>
      <c r="EK230" s="29">
        <f t="shared" si="2"/>
        <v>24.734104405759695</v>
      </c>
      <c r="EL230" s="29">
        <f t="shared" si="2"/>
        <v>175.46261953137295</v>
      </c>
      <c r="EM230" s="29">
        <f t="shared" si="2"/>
        <v>11.33115768478751</v>
      </c>
      <c r="EN230" s="29">
        <f t="shared" si="2"/>
        <v>95.478954429129217</v>
      </c>
      <c r="EO230" s="29">
        <f t="shared" si="2"/>
        <v>126.76434287030237</v>
      </c>
      <c r="EP230" s="29">
        <f t="shared" si="2"/>
        <v>0</v>
      </c>
      <c r="EQ230" s="29">
        <f t="shared" si="2"/>
        <v>36.515685535041072</v>
      </c>
      <c r="ER230" s="29">
        <f t="shared" si="2"/>
        <v>166.49164484071611</v>
      </c>
      <c r="ES230" s="29">
        <f t="shared" si="2"/>
        <v>1060.0173548473626</v>
      </c>
      <c r="ET230" s="29">
        <f t="shared" si="2"/>
        <v>1034.7245595088025</v>
      </c>
      <c r="EU230" s="29">
        <f t="shared" si="2"/>
        <v>4.9362571685905214</v>
      </c>
      <c r="EV230" s="29">
        <f t="shared" si="2"/>
        <v>276.09600051852163</v>
      </c>
      <c r="EW230" s="29">
        <f t="shared" si="2"/>
        <v>564.95800645117538</v>
      </c>
      <c r="EX230" s="29">
        <f t="shared" si="2"/>
        <v>1308.1501453820224</v>
      </c>
      <c r="EY230" s="29">
        <f t="shared" si="2"/>
        <v>317.76990317032147</v>
      </c>
      <c r="EZ230" s="29">
        <f t="shared" si="2"/>
        <v>3760.3077545484707</v>
      </c>
      <c r="FA230" s="29">
        <f t="shared" si="2"/>
        <v>563.97682438493257</v>
      </c>
      <c r="FB230" s="29">
        <f t="shared" si="2"/>
        <v>247.54016800102323</v>
      </c>
      <c r="FC230" s="29">
        <f t="shared" si="2"/>
        <v>7501.7553725263078</v>
      </c>
      <c r="FD230" s="29">
        <f t="shared" si="2"/>
        <v>4547.3414685233056</v>
      </c>
      <c r="FE230" s="29">
        <f t="shared" si="2"/>
        <v>991.969521496536</v>
      </c>
      <c r="FF230" s="29">
        <f t="shared" si="2"/>
        <v>716.58596676108982</v>
      </c>
      <c r="FG230" s="29">
        <f t="shared" si="2"/>
        <v>10901.877987828639</v>
      </c>
      <c r="FH230" s="29">
        <f t="shared" si="2"/>
        <v>442.00964575620367</v>
      </c>
      <c r="FI230" s="29">
        <f t="shared" si="2"/>
        <v>12495.744939647928</v>
      </c>
      <c r="FJ230" s="29">
        <f t="shared" si="2"/>
        <v>1787.1268795183896</v>
      </c>
      <c r="FK230" s="29">
        <f t="shared" si="2"/>
        <v>195.82321172152479</v>
      </c>
      <c r="FL230" s="29">
        <f t="shared" si="2"/>
        <v>6729.8698544904737</v>
      </c>
      <c r="FM230" s="29">
        <f t="shared" si="2"/>
        <v>7456.9307066458132</v>
      </c>
      <c r="FN230" s="29">
        <f t="shared" si="2"/>
        <v>2087.7619009688692</v>
      </c>
      <c r="FO230" s="29">
        <f t="shared" si="2"/>
        <v>20.515824886164943</v>
      </c>
      <c r="FP230" s="29">
        <f t="shared" si="2"/>
        <v>348.50490183380987</v>
      </c>
      <c r="FQ230" s="29">
        <f t="shared" si="2"/>
        <v>1210.8075603650655</v>
      </c>
      <c r="FR230" s="29">
        <f t="shared" si="2"/>
        <v>89.056440508201007</v>
      </c>
      <c r="FS230" s="29">
        <f t="shared" si="2"/>
        <v>997.80791668141751</v>
      </c>
      <c r="FT230" s="29">
        <f t="shared" si="2"/>
        <v>16493.663574161914</v>
      </c>
      <c r="FU230" s="29">
        <f t="shared" si="2"/>
        <v>5726.0372994601485</v>
      </c>
      <c r="FV230" s="29">
        <f t="shared" si="2"/>
        <v>636.433002783814</v>
      </c>
      <c r="FW230" s="29">
        <f t="shared" si="2"/>
        <v>119.73059353289977</v>
      </c>
      <c r="FX230" s="29">
        <f t="shared" si="2"/>
        <v>4116.7913679736212</v>
      </c>
      <c r="FY230" s="29">
        <f t="shared" si="2"/>
        <v>1573.4000079431873</v>
      </c>
      <c r="FZ230" s="29">
        <f t="shared" si="2"/>
        <v>573.10453750058969</v>
      </c>
      <c r="GA230" s="29">
        <f t="shared" si="2"/>
        <v>1396.3179507690136</v>
      </c>
      <c r="GB230" s="29">
        <f t="shared" si="2"/>
        <v>457.43542794191296</v>
      </c>
      <c r="GC230" s="29">
        <f t="shared" si="2"/>
        <v>497.17319234168247</v>
      </c>
      <c r="GD230" s="29">
        <f t="shared" si="2"/>
        <v>1835.5024228603556</v>
      </c>
      <c r="GE230" s="29">
        <f t="shared" si="2"/>
        <v>1829.6917309879752</v>
      </c>
      <c r="GF230" s="29">
        <f t="shared" si="2"/>
        <v>1509.56516476098</v>
      </c>
      <c r="GG230" s="29">
        <f t="shared" si="2"/>
        <v>8262.1949190129544</v>
      </c>
      <c r="GH230" s="29">
        <f t="shared" si="2"/>
        <v>1039.5656299443856</v>
      </c>
      <c r="GI230" s="29">
        <f t="shared" si="2"/>
        <v>1202.2138817360724</v>
      </c>
      <c r="GJ230" s="29">
        <f t="shared" si="2"/>
        <v>1405.6958263291324</v>
      </c>
      <c r="GK230" s="29">
        <f t="shared" si="2"/>
        <v>2258.2386971475439</v>
      </c>
      <c r="GL230" s="29">
        <f t="shared" si="2"/>
        <v>989.1665821145001</v>
      </c>
      <c r="GM230" s="29">
        <f t="shared" si="2"/>
        <v>3249.1658409892011</v>
      </c>
      <c r="GN230" s="29">
        <f t="shared" ref="GN230:GP230" si="3">SUM(GN14:GN229)</f>
        <v>222.73740341040261</v>
      </c>
      <c r="GO230" s="29">
        <f t="shared" si="3"/>
        <v>339.79128778882767</v>
      </c>
      <c r="GP230" s="29">
        <f t="shared" si="3"/>
        <v>0</v>
      </c>
      <c r="GQ230" s="21">
        <v>224413.87798977565</v>
      </c>
      <c r="GR230" s="21">
        <v>260621.35706418561</v>
      </c>
      <c r="GS230" s="20">
        <v>210245.92143235682</v>
      </c>
      <c r="GT230" s="20">
        <v>2151.0796896780389</v>
      </c>
      <c r="GU230" s="20">
        <v>48224.355942150716</v>
      </c>
      <c r="GV230" s="20">
        <v>29224.732236885724</v>
      </c>
      <c r="GW230" s="20">
        <v>18999.623705264989</v>
      </c>
      <c r="GX230" s="21">
        <v>77360.415746101018</v>
      </c>
      <c r="GY230" s="20">
        <v>73365.902399310085</v>
      </c>
      <c r="GZ230" s="20">
        <v>3306.821778729749</v>
      </c>
      <c r="HA230" s="20">
        <v>687.69156806118599</v>
      </c>
      <c r="HB230" s="21">
        <v>62008.27524069955</v>
      </c>
      <c r="HC230" s="21">
        <v>624403.92604076164</v>
      </c>
    </row>
    <row r="231" spans="2:211" s="7" customFormat="1" ht="17.25" customHeight="1">
      <c r="B231" s="22" t="s">
        <v>713</v>
      </c>
      <c r="C231" s="23" t="s">
        <v>714</v>
      </c>
      <c r="D231" s="30">
        <f t="shared" ref="D231:BO231" si="4">SUM(D232:D234)</f>
        <v>798.05331207804875</v>
      </c>
      <c r="E231" s="30">
        <f t="shared" si="4"/>
        <v>1376.4586198044501</v>
      </c>
      <c r="F231" s="30">
        <f t="shared" si="4"/>
        <v>2611.1006247063569</v>
      </c>
      <c r="G231" s="30">
        <f t="shared" si="4"/>
        <v>414.0895588519175</v>
      </c>
      <c r="H231" s="30">
        <f t="shared" si="4"/>
        <v>1192.8357420330394</v>
      </c>
      <c r="I231" s="30">
        <f t="shared" si="4"/>
        <v>1199.9502285220331</v>
      </c>
      <c r="J231" s="30">
        <f t="shared" si="4"/>
        <v>284.67524331884317</v>
      </c>
      <c r="K231" s="30">
        <f t="shared" si="4"/>
        <v>72.479470921815377</v>
      </c>
      <c r="L231" s="30">
        <f t="shared" si="4"/>
        <v>353.64605370150645</v>
      </c>
      <c r="M231" s="30">
        <f t="shared" si="4"/>
        <v>3073.8216512495846</v>
      </c>
      <c r="N231" s="30">
        <f t="shared" si="4"/>
        <v>496.37179237491847</v>
      </c>
      <c r="O231" s="30">
        <f t="shared" si="4"/>
        <v>652.99891018302947</v>
      </c>
      <c r="P231" s="30">
        <f t="shared" si="4"/>
        <v>93.215253300795055</v>
      </c>
      <c r="Q231" s="30">
        <f t="shared" si="4"/>
        <v>1824.9930413178042</v>
      </c>
      <c r="R231" s="30">
        <f t="shared" si="4"/>
        <v>1604.0372991036372</v>
      </c>
      <c r="S231" s="30">
        <f t="shared" si="4"/>
        <v>5134.3993487219886</v>
      </c>
      <c r="T231" s="30">
        <f t="shared" si="4"/>
        <v>292.09101670242001</v>
      </c>
      <c r="U231" s="30">
        <f t="shared" si="4"/>
        <v>636.05279517978784</v>
      </c>
      <c r="V231" s="30">
        <f t="shared" si="4"/>
        <v>13.021267617265099</v>
      </c>
      <c r="W231" s="30">
        <f t="shared" si="4"/>
        <v>201.40197083339058</v>
      </c>
      <c r="X231" s="30">
        <f t="shared" si="4"/>
        <v>179.00156513321699</v>
      </c>
      <c r="Y231" s="30">
        <f t="shared" si="4"/>
        <v>48.254738554934434</v>
      </c>
      <c r="Z231" s="30">
        <f t="shared" si="4"/>
        <v>459.65325411034848</v>
      </c>
      <c r="AA231" s="30">
        <f t="shared" si="4"/>
        <v>78.169823703354794</v>
      </c>
      <c r="AB231" s="30">
        <f t="shared" si="4"/>
        <v>32.307516782701597</v>
      </c>
      <c r="AC231" s="30">
        <f t="shared" si="4"/>
        <v>1296.2487994609103</v>
      </c>
      <c r="AD231" s="30">
        <f t="shared" si="4"/>
        <v>21.321475959709002</v>
      </c>
      <c r="AE231" s="30">
        <f t="shared" si="4"/>
        <v>2338.0862305808355</v>
      </c>
      <c r="AF231" s="30">
        <f t="shared" si="4"/>
        <v>7538.4579933782952</v>
      </c>
      <c r="AG231" s="30">
        <f t="shared" si="4"/>
        <v>1791.2088964506399</v>
      </c>
      <c r="AH231" s="30">
        <f t="shared" si="4"/>
        <v>208.659268144224</v>
      </c>
      <c r="AI231" s="30">
        <f t="shared" si="4"/>
        <v>378.839004393126</v>
      </c>
      <c r="AJ231" s="30">
        <f t="shared" si="4"/>
        <v>79.7467265658602</v>
      </c>
      <c r="AK231" s="30">
        <f t="shared" si="4"/>
        <v>225.90320037960899</v>
      </c>
      <c r="AL231" s="30">
        <f t="shared" si="4"/>
        <v>4852.9119455606897</v>
      </c>
      <c r="AM231" s="30">
        <f t="shared" si="4"/>
        <v>296.19689273788799</v>
      </c>
      <c r="AN231" s="30">
        <f t="shared" si="4"/>
        <v>551.932654427898</v>
      </c>
      <c r="AO231" s="30">
        <f t="shared" si="4"/>
        <v>139.626395749425</v>
      </c>
      <c r="AP231" s="30">
        <f t="shared" si="4"/>
        <v>601.807823278353</v>
      </c>
      <c r="AQ231" s="30">
        <f t="shared" si="4"/>
        <v>263.81838828010802</v>
      </c>
      <c r="AR231" s="30">
        <f t="shared" si="4"/>
        <v>68.075896894309693</v>
      </c>
      <c r="AS231" s="30">
        <f t="shared" si="4"/>
        <v>3.27283993855922</v>
      </c>
      <c r="AT231" s="30">
        <f t="shared" si="4"/>
        <v>23411.354277233888</v>
      </c>
      <c r="AU231" s="30">
        <f t="shared" si="4"/>
        <v>2049.2968780971501</v>
      </c>
      <c r="AV231" s="30">
        <f t="shared" si="4"/>
        <v>2564.96632670502</v>
      </c>
      <c r="AW231" s="30">
        <f t="shared" si="4"/>
        <v>6017.6823492189096</v>
      </c>
      <c r="AX231" s="30">
        <f t="shared" si="4"/>
        <v>10195.2793493394</v>
      </c>
      <c r="AY231" s="30">
        <f t="shared" si="4"/>
        <v>3.28</v>
      </c>
      <c r="AZ231" s="30">
        <f t="shared" si="4"/>
        <v>341</v>
      </c>
      <c r="BA231" s="30">
        <f t="shared" si="4"/>
        <v>374.315690160808</v>
      </c>
      <c r="BB231" s="30">
        <f t="shared" si="4"/>
        <v>66</v>
      </c>
      <c r="BC231" s="30">
        <f t="shared" si="4"/>
        <v>1959.73234495113</v>
      </c>
      <c r="BD231" s="30">
        <f t="shared" si="4"/>
        <v>57.91</v>
      </c>
      <c r="BE231" s="30">
        <f t="shared" si="4"/>
        <v>5519.2322848436988</v>
      </c>
      <c r="BF231" s="30">
        <f t="shared" si="4"/>
        <v>2287.480951395396</v>
      </c>
      <c r="BG231" s="30">
        <f t="shared" si="4"/>
        <v>696.61322196099195</v>
      </c>
      <c r="BH231" s="30">
        <f t="shared" si="4"/>
        <v>4839.303980098246</v>
      </c>
      <c r="BI231" s="30">
        <f t="shared" si="4"/>
        <v>157.49410418543201</v>
      </c>
      <c r="BJ231" s="30">
        <f t="shared" si="4"/>
        <v>800.26230342855001</v>
      </c>
      <c r="BK231" s="30">
        <f t="shared" si="4"/>
        <v>204.854997334194</v>
      </c>
      <c r="BL231" s="30">
        <f t="shared" si="4"/>
        <v>912.63153339036205</v>
      </c>
      <c r="BM231" s="30">
        <f t="shared" si="4"/>
        <v>467.031745614356</v>
      </c>
      <c r="BN231" s="30">
        <f t="shared" si="4"/>
        <v>486.64252115356697</v>
      </c>
      <c r="BO231" s="30">
        <f t="shared" si="4"/>
        <v>595.84894482124969</v>
      </c>
      <c r="BP231" s="30">
        <f t="shared" ref="BP231:EA231" si="5">SUM(BP232:BP234)</f>
        <v>552.58641887538397</v>
      </c>
      <c r="BQ231" s="30">
        <f t="shared" si="5"/>
        <v>1053.13829800961</v>
      </c>
      <c r="BR231" s="30">
        <f t="shared" si="5"/>
        <v>385.74950294812498</v>
      </c>
      <c r="BS231" s="30">
        <f t="shared" si="5"/>
        <v>1927.86882790499</v>
      </c>
      <c r="BT231" s="30">
        <f t="shared" si="5"/>
        <v>3122.7226354243871</v>
      </c>
      <c r="BU231" s="30">
        <f t="shared" si="5"/>
        <v>797.69628388308797</v>
      </c>
      <c r="BV231" s="30">
        <f t="shared" si="5"/>
        <v>1379.7225655094001</v>
      </c>
      <c r="BW231" s="30">
        <f t="shared" si="5"/>
        <v>427.08566774003901</v>
      </c>
      <c r="BX231" s="30">
        <f t="shared" si="5"/>
        <v>1235.88328528288</v>
      </c>
      <c r="BY231" s="30">
        <f t="shared" si="5"/>
        <v>860.79556730342699</v>
      </c>
      <c r="BZ231" s="30">
        <f t="shared" si="5"/>
        <v>121.459355107912</v>
      </c>
      <c r="CA231" s="30">
        <f t="shared" si="5"/>
        <v>1945.78582405315</v>
      </c>
      <c r="CB231" s="30">
        <f t="shared" si="5"/>
        <v>3965.0929015040401</v>
      </c>
      <c r="CC231" s="30">
        <f t="shared" si="5"/>
        <v>217.348057734935</v>
      </c>
      <c r="CD231" s="30">
        <f t="shared" si="5"/>
        <v>2855.54749402271</v>
      </c>
      <c r="CE231" s="30">
        <f t="shared" si="5"/>
        <v>970.95833499942898</v>
      </c>
      <c r="CF231" s="30">
        <f t="shared" si="5"/>
        <v>0</v>
      </c>
      <c r="CG231" s="30">
        <f t="shared" si="5"/>
        <v>776.13505315087798</v>
      </c>
      <c r="CH231" s="30">
        <f t="shared" si="5"/>
        <v>554.16298393440104</v>
      </c>
      <c r="CI231" s="30">
        <f t="shared" si="5"/>
        <v>864.45509572290496</v>
      </c>
      <c r="CJ231" s="30">
        <f t="shared" si="5"/>
        <v>607.87472255320097</v>
      </c>
      <c r="CK231" s="30">
        <f t="shared" si="5"/>
        <v>152.867400713054</v>
      </c>
      <c r="CL231" s="30">
        <f t="shared" si="5"/>
        <v>516.44829999029616</v>
      </c>
      <c r="CM231" s="30">
        <f t="shared" si="5"/>
        <v>2685.2822677081485</v>
      </c>
      <c r="CN231" s="30">
        <f t="shared" si="5"/>
        <v>218.52187829633263</v>
      </c>
      <c r="CO231" s="30">
        <f t="shared" si="5"/>
        <v>511.99516212155999</v>
      </c>
      <c r="CP231" s="30">
        <f t="shared" si="5"/>
        <v>2569.9240482350879</v>
      </c>
      <c r="CQ231" s="30">
        <f t="shared" si="5"/>
        <v>273.82511631166898</v>
      </c>
      <c r="CR231" s="30">
        <f t="shared" si="5"/>
        <v>531.20190472508</v>
      </c>
      <c r="CS231" s="30">
        <f t="shared" si="5"/>
        <v>545.89709082497404</v>
      </c>
      <c r="CT231" s="30">
        <f t="shared" si="5"/>
        <v>3673.3293437510561</v>
      </c>
      <c r="CU231" s="30">
        <f t="shared" si="5"/>
        <v>321.48895453778402</v>
      </c>
      <c r="CV231" s="30">
        <f t="shared" si="5"/>
        <v>230.13672387233399</v>
      </c>
      <c r="CW231" s="30">
        <f t="shared" si="5"/>
        <v>724.80922020528601</v>
      </c>
      <c r="CX231" s="30">
        <f t="shared" si="5"/>
        <v>136.91372446592999</v>
      </c>
      <c r="CY231" s="30">
        <f t="shared" si="5"/>
        <v>873.46962788965948</v>
      </c>
      <c r="CZ231" s="30">
        <f t="shared" si="5"/>
        <v>47.849809721001101</v>
      </c>
      <c r="DA231" s="30">
        <f t="shared" si="5"/>
        <v>1035.3006141352121</v>
      </c>
      <c r="DB231" s="30">
        <f t="shared" si="5"/>
        <v>1044.7975033885</v>
      </c>
      <c r="DC231" s="30">
        <f t="shared" si="5"/>
        <v>1078.7550507199282</v>
      </c>
      <c r="DD231" s="30">
        <f t="shared" si="5"/>
        <v>46.13791064384904</v>
      </c>
      <c r="DE231" s="30">
        <f t="shared" si="5"/>
        <v>0</v>
      </c>
      <c r="DF231" s="30">
        <f t="shared" si="5"/>
        <v>295.48570492832602</v>
      </c>
      <c r="DG231" s="30">
        <f t="shared" si="5"/>
        <v>1556.6505381214899</v>
      </c>
      <c r="DH231" s="30">
        <f t="shared" si="5"/>
        <v>1749.3771814307399</v>
      </c>
      <c r="DI231" s="30">
        <f t="shared" si="5"/>
        <v>174.93771814307399</v>
      </c>
      <c r="DJ231" s="30">
        <f t="shared" si="5"/>
        <v>8218.0029595409305</v>
      </c>
      <c r="DK231" s="30">
        <f t="shared" si="5"/>
        <v>26.757139580071399</v>
      </c>
      <c r="DL231" s="30">
        <f t="shared" si="5"/>
        <v>542.06679895810896</v>
      </c>
      <c r="DM231" s="30">
        <f t="shared" si="5"/>
        <v>63.469117926126302</v>
      </c>
      <c r="DN231" s="30">
        <f t="shared" si="5"/>
        <v>391.80480458748599</v>
      </c>
      <c r="DO231" s="30">
        <f t="shared" si="5"/>
        <v>119.590082958103</v>
      </c>
      <c r="DP231" s="30">
        <f t="shared" si="5"/>
        <v>0</v>
      </c>
      <c r="DQ231" s="30">
        <f t="shared" si="5"/>
        <v>730.68628666708003</v>
      </c>
      <c r="DR231" s="30">
        <f t="shared" si="5"/>
        <v>2195.5384162304199</v>
      </c>
      <c r="DS231" s="30">
        <f t="shared" si="5"/>
        <v>1078.3825644952899</v>
      </c>
      <c r="DT231" s="30">
        <f t="shared" si="5"/>
        <v>27.805716444811299</v>
      </c>
      <c r="DU231" s="30">
        <f t="shared" si="5"/>
        <v>2570.7769642732601</v>
      </c>
      <c r="DV231" s="30">
        <f t="shared" si="5"/>
        <v>608.97378294929104</v>
      </c>
      <c r="DW231" s="30">
        <f t="shared" si="5"/>
        <v>0</v>
      </c>
      <c r="DX231" s="30">
        <f t="shared" si="5"/>
        <v>556.62896992985702</v>
      </c>
      <c r="DY231" s="30">
        <f t="shared" si="5"/>
        <v>1259.1074881828399</v>
      </c>
      <c r="DZ231" s="30">
        <f t="shared" si="5"/>
        <v>3309.82570863407</v>
      </c>
      <c r="EA231" s="30">
        <f t="shared" si="5"/>
        <v>71.482495142399998</v>
      </c>
      <c r="EB231" s="30">
        <f t="shared" ref="EB231:GM231" si="6">SUM(EB232:EB234)</f>
        <v>336.13631858743798</v>
      </c>
      <c r="EC231" s="30">
        <f t="shared" si="6"/>
        <v>1323.62734418884</v>
      </c>
      <c r="ED231" s="30">
        <f t="shared" si="6"/>
        <v>746.51085191353195</v>
      </c>
      <c r="EE231" s="30">
        <f t="shared" si="6"/>
        <v>2292.6430212988298</v>
      </c>
      <c r="EF231" s="30">
        <f t="shared" si="6"/>
        <v>7149.2572246370801</v>
      </c>
      <c r="EG231" s="30">
        <f t="shared" si="6"/>
        <v>596.11308015951704</v>
      </c>
      <c r="EH231" s="30">
        <f t="shared" si="6"/>
        <v>83</v>
      </c>
      <c r="EI231" s="30">
        <f t="shared" si="6"/>
        <v>88.0658581629948</v>
      </c>
      <c r="EJ231" s="30">
        <f t="shared" si="6"/>
        <v>1567.5083059752701</v>
      </c>
      <c r="EK231" s="30">
        <f t="shared" si="6"/>
        <v>43.388461999999997</v>
      </c>
      <c r="EL231" s="30">
        <f t="shared" si="6"/>
        <v>359.04105348131299</v>
      </c>
      <c r="EM231" s="30">
        <f t="shared" si="6"/>
        <v>22.295939000000001</v>
      </c>
      <c r="EN231" s="30">
        <f t="shared" si="6"/>
        <v>156.29696733328501</v>
      </c>
      <c r="EO231" s="30">
        <f t="shared" si="6"/>
        <v>184.564008</v>
      </c>
      <c r="EP231" s="30">
        <f t="shared" si="6"/>
        <v>0</v>
      </c>
      <c r="EQ231" s="30">
        <f t="shared" si="6"/>
        <v>56.816881331455399</v>
      </c>
      <c r="ER231" s="30">
        <f t="shared" si="6"/>
        <v>400.78401100000002</v>
      </c>
      <c r="ES231" s="30">
        <f t="shared" si="6"/>
        <v>2106.7132295476499</v>
      </c>
      <c r="ET231" s="30">
        <f t="shared" si="6"/>
        <v>1765.1297093982987</v>
      </c>
      <c r="EU231" s="30">
        <f t="shared" si="6"/>
        <v>10.011844515288386</v>
      </c>
      <c r="EV231" s="30">
        <f t="shared" si="6"/>
        <v>525.20754755176756</v>
      </c>
      <c r="EW231" s="30">
        <f t="shared" si="6"/>
        <v>1517.02893454223</v>
      </c>
      <c r="EX231" s="30">
        <f t="shared" si="6"/>
        <v>2562.2334103489779</v>
      </c>
      <c r="EY231" s="30">
        <f t="shared" si="6"/>
        <v>1133.1775586318399</v>
      </c>
      <c r="EZ231" s="30">
        <f t="shared" si="6"/>
        <v>5448.4181161523065</v>
      </c>
      <c r="FA231" s="30">
        <f t="shared" si="6"/>
        <v>1271.9644769451349</v>
      </c>
      <c r="FB231" s="30">
        <f t="shared" si="6"/>
        <v>907.72003928303604</v>
      </c>
      <c r="FC231" s="30">
        <f t="shared" si="6"/>
        <v>15395.498765554799</v>
      </c>
      <c r="FD231" s="30">
        <f t="shared" si="6"/>
        <v>8954.6444083974602</v>
      </c>
      <c r="FE231" s="30">
        <f t="shared" si="6"/>
        <v>2055.9994543876601</v>
      </c>
      <c r="FF231" s="30">
        <f t="shared" si="6"/>
        <v>2477.8034782422237</v>
      </c>
      <c r="FG231" s="30">
        <f t="shared" si="6"/>
        <v>18049.9353024681</v>
      </c>
      <c r="FH231" s="30">
        <f t="shared" si="6"/>
        <v>654.551145597296</v>
      </c>
      <c r="FI231" s="30">
        <f t="shared" si="6"/>
        <v>35885.661398293101</v>
      </c>
      <c r="FJ231" s="30">
        <f t="shared" si="6"/>
        <v>4624.0098381242396</v>
      </c>
      <c r="FK231" s="30">
        <f t="shared" si="6"/>
        <v>472.97818000000001</v>
      </c>
      <c r="FL231" s="30">
        <f t="shared" si="6"/>
        <v>11421.9485904924</v>
      </c>
      <c r="FM231" s="30">
        <f t="shared" si="6"/>
        <v>12115.238352673499</v>
      </c>
      <c r="FN231" s="30">
        <f t="shared" si="6"/>
        <v>2609.1342576826</v>
      </c>
      <c r="FO231" s="30">
        <f t="shared" si="6"/>
        <v>33.501137732109001</v>
      </c>
      <c r="FP231" s="30">
        <f t="shared" si="6"/>
        <v>2689.06228630742</v>
      </c>
      <c r="FQ231" s="30">
        <f t="shared" si="6"/>
        <v>2648.5443130953399</v>
      </c>
      <c r="FR231" s="30">
        <f t="shared" si="6"/>
        <v>181.18866793509201</v>
      </c>
      <c r="FS231" s="30">
        <f t="shared" si="6"/>
        <v>2331.5930485100498</v>
      </c>
      <c r="FT231" s="30">
        <f t="shared" si="6"/>
        <v>28932.907194610525</v>
      </c>
      <c r="FU231" s="30">
        <f t="shared" si="6"/>
        <v>13041.7630422774</v>
      </c>
      <c r="FV231" s="30">
        <f t="shared" si="6"/>
        <v>1272.32755344781</v>
      </c>
      <c r="FW231" s="30">
        <f t="shared" si="6"/>
        <v>833.96808849358399</v>
      </c>
      <c r="FX231" s="30">
        <f t="shared" si="6"/>
        <v>15303.582546015599</v>
      </c>
      <c r="FY231" s="30">
        <f t="shared" si="6"/>
        <v>2563.4755704696272</v>
      </c>
      <c r="FZ231" s="30">
        <f t="shared" si="6"/>
        <v>1799.70800437462</v>
      </c>
      <c r="GA231" s="30">
        <f t="shared" si="6"/>
        <v>20295.654778551248</v>
      </c>
      <c r="GB231" s="30">
        <f t="shared" si="6"/>
        <v>4016.4110900241299</v>
      </c>
      <c r="GC231" s="30">
        <f t="shared" si="6"/>
        <v>1651.8046429999999</v>
      </c>
      <c r="GD231" s="30">
        <f t="shared" si="6"/>
        <v>4463.1137172618701</v>
      </c>
      <c r="GE231" s="30">
        <f t="shared" si="6"/>
        <v>6523.6115241791704</v>
      </c>
      <c r="GF231" s="30">
        <f t="shared" si="6"/>
        <v>3233.95064874833</v>
      </c>
      <c r="GG231" s="30">
        <f t="shared" si="6"/>
        <v>24125.241189586712</v>
      </c>
      <c r="GH231" s="30">
        <f t="shared" si="6"/>
        <v>3532.2408733385801</v>
      </c>
      <c r="GI231" s="30">
        <f t="shared" si="6"/>
        <v>18879.807678886998</v>
      </c>
      <c r="GJ231" s="30">
        <f t="shared" si="6"/>
        <v>3590.4459623102198</v>
      </c>
      <c r="GK231" s="30">
        <f t="shared" si="6"/>
        <v>9188.8015696122093</v>
      </c>
      <c r="GL231" s="30">
        <f t="shared" si="6"/>
        <v>2476.4240130097201</v>
      </c>
      <c r="GM231" s="30">
        <f t="shared" si="6"/>
        <v>7689.3560880727937</v>
      </c>
      <c r="GN231" s="30">
        <f t="shared" ref="GN231:GP231" si="7">SUM(GN232:GN234)</f>
        <v>858.37621099384103</v>
      </c>
      <c r="GO231" s="30">
        <f t="shared" si="7"/>
        <v>1575.14261169627</v>
      </c>
      <c r="GP231" s="30">
        <f t="shared" si="7"/>
        <v>1766.0250000000001</v>
      </c>
      <c r="GQ231" s="30">
        <v>508044.86572040617</v>
      </c>
      <c r="GR231" s="31"/>
      <c r="GS231" s="31"/>
      <c r="GT231" s="31"/>
      <c r="GU231" s="31"/>
      <c r="GV231" s="31"/>
      <c r="GW231" s="31"/>
      <c r="GX231" s="31"/>
      <c r="GY231" s="31"/>
      <c r="GZ231" s="31"/>
      <c r="HA231" s="15"/>
      <c r="HB231" s="15"/>
      <c r="HC231" s="15"/>
    </row>
    <row r="232" spans="2:211" s="7" customFormat="1" ht="17.25" customHeight="1">
      <c r="B232" s="12" t="s">
        <v>715</v>
      </c>
      <c r="C232" s="13" t="s">
        <v>716</v>
      </c>
      <c r="D232" s="32">
        <v>778.17032376268696</v>
      </c>
      <c r="E232" s="32">
        <v>1376.4586198044501</v>
      </c>
      <c r="F232" s="32">
        <v>2610.8776275268401</v>
      </c>
      <c r="G232" s="32">
        <v>414.08356943851498</v>
      </c>
      <c r="H232" s="32">
        <v>1192.77155531939</v>
      </c>
      <c r="I232" s="32">
        <v>1199.26382471183</v>
      </c>
      <c r="J232" s="32">
        <v>284.00854636315501</v>
      </c>
      <c r="K232" s="32">
        <v>72.379497945417796</v>
      </c>
      <c r="L232" s="32">
        <v>352.98999753176003</v>
      </c>
      <c r="M232" s="32">
        <v>3016.9705525377399</v>
      </c>
      <c r="N232" s="32">
        <v>495.73197869813202</v>
      </c>
      <c r="O232" s="32">
        <v>652.23495875764195</v>
      </c>
      <c r="P232" s="32">
        <v>93.213340396863401</v>
      </c>
      <c r="Q232" s="32">
        <v>1822.8988868000899</v>
      </c>
      <c r="R232" s="32">
        <v>1602.57154763885</v>
      </c>
      <c r="S232" s="32">
        <v>5134.3981994139203</v>
      </c>
      <c r="T232" s="32">
        <v>292.09088651890698</v>
      </c>
      <c r="U232" s="32">
        <v>635.93923272523205</v>
      </c>
      <c r="V232" s="32">
        <v>13.021267617265099</v>
      </c>
      <c r="W232" s="32">
        <v>201.40026178470401</v>
      </c>
      <c r="X232" s="32">
        <v>179.001327666815</v>
      </c>
      <c r="Y232" s="32">
        <v>48.2430960006253</v>
      </c>
      <c r="Z232" s="32">
        <v>459.65315462569998</v>
      </c>
      <c r="AA232" s="32">
        <v>77.825702981632801</v>
      </c>
      <c r="AB232" s="32">
        <v>32.307516782701597</v>
      </c>
      <c r="AC232" s="32">
        <v>1296.2486202212201</v>
      </c>
      <c r="AD232" s="32">
        <v>21.321475959709002</v>
      </c>
      <c r="AE232" s="32">
        <v>2310.2989891277298</v>
      </c>
      <c r="AF232" s="32">
        <v>7372.2581062397803</v>
      </c>
      <c r="AG232" s="32">
        <v>1791.2088964506399</v>
      </c>
      <c r="AH232" s="32">
        <v>208.659268144224</v>
      </c>
      <c r="AI232" s="32">
        <v>378.839004393126</v>
      </c>
      <c r="AJ232" s="32">
        <v>79.7467265658602</v>
      </c>
      <c r="AK232" s="32">
        <v>225.90320037960899</v>
      </c>
      <c r="AL232" s="32">
        <v>4852.9119455606897</v>
      </c>
      <c r="AM232" s="32">
        <v>296.19689273788799</v>
      </c>
      <c r="AN232" s="32">
        <v>551.932654427898</v>
      </c>
      <c r="AO232" s="32">
        <v>139.626395749425</v>
      </c>
      <c r="AP232" s="32">
        <v>601.807823278353</v>
      </c>
      <c r="AQ232" s="32">
        <v>237.155665397208</v>
      </c>
      <c r="AR232" s="32">
        <v>25.564700905481601</v>
      </c>
      <c r="AS232" s="32">
        <v>3.27283993855922</v>
      </c>
      <c r="AT232" s="32">
        <v>23372.2958765685</v>
      </c>
      <c r="AU232" s="32">
        <v>2049.2968780971501</v>
      </c>
      <c r="AV232" s="32">
        <v>2564.96632670502</v>
      </c>
      <c r="AW232" s="32">
        <v>6017.6823492189096</v>
      </c>
      <c r="AX232" s="32">
        <v>10195.2793493394</v>
      </c>
      <c r="AY232" s="32">
        <v>3.28</v>
      </c>
      <c r="AZ232" s="32">
        <v>341</v>
      </c>
      <c r="BA232" s="32">
        <v>374.315690160808</v>
      </c>
      <c r="BB232" s="32">
        <v>66</v>
      </c>
      <c r="BC232" s="32">
        <v>1959.73234495113</v>
      </c>
      <c r="BD232" s="32">
        <v>57.91</v>
      </c>
      <c r="BE232" s="32">
        <v>5503.6210804819602</v>
      </c>
      <c r="BF232" s="32">
        <v>2089.7789001537299</v>
      </c>
      <c r="BG232" s="32">
        <v>696.61322196099195</v>
      </c>
      <c r="BH232" s="32">
        <v>4584.56423602007</v>
      </c>
      <c r="BI232" s="32">
        <v>157.49410418543201</v>
      </c>
      <c r="BJ232" s="32">
        <v>774.07303877775803</v>
      </c>
      <c r="BK232" s="32">
        <v>204.854997334194</v>
      </c>
      <c r="BL232" s="32">
        <v>912.63153339036205</v>
      </c>
      <c r="BM232" s="32">
        <v>467.031745614356</v>
      </c>
      <c r="BN232" s="32">
        <v>486.64252115356697</v>
      </c>
      <c r="BO232" s="32">
        <v>594.68299942640203</v>
      </c>
      <c r="BP232" s="32">
        <v>426.01046711545598</v>
      </c>
      <c r="BQ232" s="32">
        <v>1053.13829800961</v>
      </c>
      <c r="BR232" s="32">
        <v>385.74950294812498</v>
      </c>
      <c r="BS232" s="32">
        <v>1927.86882790499</v>
      </c>
      <c r="BT232" s="32">
        <v>2998.41321773661</v>
      </c>
      <c r="BU232" s="32">
        <v>797.69628388308797</v>
      </c>
      <c r="BV232" s="32">
        <v>1379.7225655094001</v>
      </c>
      <c r="BW232" s="32">
        <v>427.08566774003901</v>
      </c>
      <c r="BX232" s="32">
        <v>1235.88328528288</v>
      </c>
      <c r="BY232" s="32">
        <v>860.79556730342699</v>
      </c>
      <c r="BZ232" s="32">
        <v>121.459355107912</v>
      </c>
      <c r="CA232" s="32">
        <v>1945.78582405315</v>
      </c>
      <c r="CB232" s="32">
        <v>3965.0929015040401</v>
      </c>
      <c r="CC232" s="32">
        <v>217.348057734935</v>
      </c>
      <c r="CD232" s="32">
        <v>2855.54749402271</v>
      </c>
      <c r="CE232" s="32">
        <v>970.95833499942898</v>
      </c>
      <c r="CF232" s="32">
        <v>0</v>
      </c>
      <c r="CG232" s="32">
        <v>776.13505315087798</v>
      </c>
      <c r="CH232" s="32">
        <v>554.16298393440104</v>
      </c>
      <c r="CI232" s="32">
        <v>864.45509572290496</v>
      </c>
      <c r="CJ232" s="32">
        <v>607.87472255320097</v>
      </c>
      <c r="CK232" s="32">
        <v>152.867400713054</v>
      </c>
      <c r="CL232" s="32">
        <v>513.94680113680397</v>
      </c>
      <c r="CM232" s="32">
        <v>2683.1904372819399</v>
      </c>
      <c r="CN232" s="32">
        <v>213.43004787012401</v>
      </c>
      <c r="CO232" s="32">
        <v>511.99516212155999</v>
      </c>
      <c r="CP232" s="32">
        <v>2529.0187772383401</v>
      </c>
      <c r="CQ232" s="32">
        <v>273.82511631166898</v>
      </c>
      <c r="CR232" s="32">
        <v>531.20190472508</v>
      </c>
      <c r="CS232" s="32">
        <v>545.89709082497404</v>
      </c>
      <c r="CT232" s="32">
        <v>3649.23005115551</v>
      </c>
      <c r="CU232" s="32">
        <v>321.48895453778402</v>
      </c>
      <c r="CV232" s="32">
        <v>230.13672387233399</v>
      </c>
      <c r="CW232" s="32">
        <v>724.80922020528601</v>
      </c>
      <c r="CX232" s="32">
        <v>136.91372446592999</v>
      </c>
      <c r="CY232" s="32">
        <v>871.72260648124598</v>
      </c>
      <c r="CZ232" s="32">
        <v>47.849809721001101</v>
      </c>
      <c r="DA232" s="32">
        <v>1035.12573882313</v>
      </c>
      <c r="DB232" s="32">
        <v>1044.7975033885</v>
      </c>
      <c r="DC232" s="32">
        <v>1073.9453942826501</v>
      </c>
      <c r="DD232" s="32">
        <v>45.933116691568202</v>
      </c>
      <c r="DE232" s="32">
        <v>0</v>
      </c>
      <c r="DF232" s="32">
        <v>295.48570492832602</v>
      </c>
      <c r="DG232" s="32">
        <v>1556.6505381214899</v>
      </c>
      <c r="DH232" s="32">
        <v>1749.3771814307399</v>
      </c>
      <c r="DI232" s="32">
        <v>174.93771814307399</v>
      </c>
      <c r="DJ232" s="32">
        <v>8218.0029595409305</v>
      </c>
      <c r="DK232" s="32">
        <v>26.757139580071399</v>
      </c>
      <c r="DL232" s="32">
        <v>542.06679895810896</v>
      </c>
      <c r="DM232" s="32">
        <v>63.469117926126302</v>
      </c>
      <c r="DN232" s="32">
        <v>391.80480458748599</v>
      </c>
      <c r="DO232" s="32">
        <v>119.590082958103</v>
      </c>
      <c r="DP232" s="32">
        <v>0</v>
      </c>
      <c r="DQ232" s="32">
        <v>730.68628666708003</v>
      </c>
      <c r="DR232" s="32">
        <v>2195.5384162304199</v>
      </c>
      <c r="DS232" s="32">
        <v>1078.3825644952899</v>
      </c>
      <c r="DT232" s="32">
        <v>27.805716444811299</v>
      </c>
      <c r="DU232" s="32">
        <v>2570.7769642732601</v>
      </c>
      <c r="DV232" s="32">
        <v>608.97378294929104</v>
      </c>
      <c r="DW232" s="32">
        <v>0</v>
      </c>
      <c r="DX232" s="32">
        <v>556.62896992985702</v>
      </c>
      <c r="DY232" s="32">
        <v>1259.1074881828399</v>
      </c>
      <c r="DZ232" s="32">
        <v>3309.82570863407</v>
      </c>
      <c r="EA232" s="32">
        <v>71.482495142399998</v>
      </c>
      <c r="EB232" s="32">
        <v>336.13631858743798</v>
      </c>
      <c r="EC232" s="32">
        <v>1323.62734418884</v>
      </c>
      <c r="ED232" s="32">
        <v>746.51085191353195</v>
      </c>
      <c r="EE232" s="32">
        <v>2292.6430212988298</v>
      </c>
      <c r="EF232" s="32">
        <v>7149.2572246370801</v>
      </c>
      <c r="EG232" s="32">
        <v>596.11308015951704</v>
      </c>
      <c r="EH232" s="32">
        <v>83</v>
      </c>
      <c r="EI232" s="32">
        <v>88.0658581629948</v>
      </c>
      <c r="EJ232" s="32">
        <v>1567.5083059752701</v>
      </c>
      <c r="EK232" s="32">
        <v>43.388461999999997</v>
      </c>
      <c r="EL232" s="32">
        <v>359.04105348131299</v>
      </c>
      <c r="EM232" s="32">
        <v>22.295939000000001</v>
      </c>
      <c r="EN232" s="32">
        <v>156.29696733328501</v>
      </c>
      <c r="EO232" s="32">
        <v>184.564008</v>
      </c>
      <c r="EP232" s="32">
        <v>0</v>
      </c>
      <c r="EQ232" s="32">
        <v>56.816881331455399</v>
      </c>
      <c r="ER232" s="32">
        <v>400.78401100000002</v>
      </c>
      <c r="ES232" s="32">
        <v>2104.7132295476499</v>
      </c>
      <c r="ET232" s="32">
        <v>1757.70586897214</v>
      </c>
      <c r="EU232" s="32">
        <v>9.8786679132497603</v>
      </c>
      <c r="EV232" s="32">
        <v>522.54490165266895</v>
      </c>
      <c r="EW232" s="32">
        <v>1517.02893454223</v>
      </c>
      <c r="EX232" s="32">
        <v>2558.77519745772</v>
      </c>
      <c r="EY232" s="32">
        <v>1133.1775586318399</v>
      </c>
      <c r="EZ232" s="32">
        <v>5448.19680716125</v>
      </c>
      <c r="FA232" s="32">
        <v>1126.9181748220799</v>
      </c>
      <c r="FB232" s="32">
        <v>907.72003928303604</v>
      </c>
      <c r="FC232" s="32">
        <v>15395.498765554799</v>
      </c>
      <c r="FD232" s="32">
        <v>8954.6444083974602</v>
      </c>
      <c r="FE232" s="32">
        <v>2055.9994543876601</v>
      </c>
      <c r="FF232" s="32">
        <v>2435.28255735832</v>
      </c>
      <c r="FG232" s="32">
        <v>18049.9353024681</v>
      </c>
      <c r="FH232" s="32">
        <v>654.551145597296</v>
      </c>
      <c r="FI232" s="32">
        <v>35885.661398293101</v>
      </c>
      <c r="FJ232" s="32">
        <v>4624.0098381242396</v>
      </c>
      <c r="FK232" s="32">
        <v>472.97818000000001</v>
      </c>
      <c r="FL232" s="32">
        <v>11421.9485904924</v>
      </c>
      <c r="FM232" s="32">
        <v>12115.238352673499</v>
      </c>
      <c r="FN232" s="32">
        <v>2609.1342576826</v>
      </c>
      <c r="FO232" s="32">
        <v>33.501137732109001</v>
      </c>
      <c r="FP232" s="32">
        <v>2689.06228630742</v>
      </c>
      <c r="FQ232" s="32">
        <v>2648.5443130953399</v>
      </c>
      <c r="FR232" s="32">
        <v>181.18866793509201</v>
      </c>
      <c r="FS232" s="32">
        <v>2331.5930485100498</v>
      </c>
      <c r="FT232" s="32">
        <v>28304.7117678377</v>
      </c>
      <c r="FU232" s="32">
        <v>13041.7630422774</v>
      </c>
      <c r="FV232" s="32">
        <v>1272.32755344781</v>
      </c>
      <c r="FW232" s="32">
        <v>640.60488050000004</v>
      </c>
      <c r="FX232" s="32">
        <v>15303.582546015599</v>
      </c>
      <c r="FY232" s="32">
        <v>2554.7323419693298</v>
      </c>
      <c r="FZ232" s="32">
        <v>1799.70800437462</v>
      </c>
      <c r="GA232" s="32">
        <v>5653.82207890265</v>
      </c>
      <c r="GB232" s="32">
        <v>4016.4110900241299</v>
      </c>
      <c r="GC232" s="32">
        <v>1651.8046429999999</v>
      </c>
      <c r="GD232" s="32">
        <v>4463.1137172618701</v>
      </c>
      <c r="GE232" s="32">
        <v>6523.6115241791704</v>
      </c>
      <c r="GF232" s="32">
        <v>3233.95064874833</v>
      </c>
      <c r="GG232" s="32">
        <v>767.35963932125196</v>
      </c>
      <c r="GH232" s="32">
        <v>3532.2408733385801</v>
      </c>
      <c r="GI232" s="32">
        <v>200.39760500840001</v>
      </c>
      <c r="GJ232" s="32">
        <v>3590.4459623102198</v>
      </c>
      <c r="GK232" s="32">
        <v>82.778105083469598</v>
      </c>
      <c r="GL232" s="32">
        <v>1031.3637078043801</v>
      </c>
      <c r="GM232" s="32">
        <v>7421.9619789688204</v>
      </c>
      <c r="GN232" s="32">
        <v>858.37621099384103</v>
      </c>
      <c r="GO232" s="32">
        <v>1575.14261169627</v>
      </c>
      <c r="GP232" s="32">
        <v>1766.0250000000001</v>
      </c>
      <c r="GQ232" s="32">
        <v>438298.78134428419</v>
      </c>
      <c r="GR232" s="31"/>
      <c r="GS232" s="33"/>
      <c r="GT232" s="33"/>
      <c r="GU232" s="33"/>
      <c r="GV232" s="33"/>
      <c r="GW232" s="33"/>
      <c r="GX232" s="33"/>
      <c r="GY232" s="33"/>
      <c r="GZ232" s="33"/>
      <c r="HA232" s="5"/>
      <c r="HB232" s="5"/>
      <c r="HC232" s="5"/>
    </row>
    <row r="233" spans="2:211" s="7" customFormat="1" ht="17.25" customHeight="1">
      <c r="B233" s="12" t="s">
        <v>717</v>
      </c>
      <c r="C233" s="13" t="s">
        <v>718</v>
      </c>
      <c r="D233" s="32">
        <v>19.8829883153618</v>
      </c>
      <c r="E233" s="32">
        <v>0</v>
      </c>
      <c r="F233" s="32">
        <v>0.22299717951695899</v>
      </c>
      <c r="G233" s="32">
        <v>5.9894134024967198E-3</v>
      </c>
      <c r="H233" s="32">
        <v>6.4186713649331498E-2</v>
      </c>
      <c r="I233" s="32">
        <v>0.68640381020305896</v>
      </c>
      <c r="J233" s="32">
        <v>0.666696955688165</v>
      </c>
      <c r="K233" s="32">
        <v>9.9972976397585303E-2</v>
      </c>
      <c r="L233" s="32">
        <v>0.65605616974639902</v>
      </c>
      <c r="M233" s="32">
        <v>56.851098711844799</v>
      </c>
      <c r="N233" s="32">
        <v>0.63981367678646694</v>
      </c>
      <c r="O233" s="32">
        <v>0.76395142538753802</v>
      </c>
      <c r="P233" s="32">
        <v>1.9129039316581099E-3</v>
      </c>
      <c r="Q233" s="32">
        <v>2.0941545177143999</v>
      </c>
      <c r="R233" s="32">
        <v>1.4657514647872001</v>
      </c>
      <c r="S233" s="32">
        <v>1.1493080682215501E-3</v>
      </c>
      <c r="T233" s="32">
        <v>1.30183512994674E-4</v>
      </c>
      <c r="U233" s="32">
        <v>0.11356245455573701</v>
      </c>
      <c r="V233" s="32">
        <v>0</v>
      </c>
      <c r="W233" s="32">
        <v>1.7090486865730999E-3</v>
      </c>
      <c r="X233" s="32">
        <v>2.3746640198182601E-4</v>
      </c>
      <c r="Y233" s="32">
        <v>1.1642554309131499E-2</v>
      </c>
      <c r="Z233" s="32">
        <v>9.9484648505589695E-5</v>
      </c>
      <c r="AA233" s="32">
        <v>0.34412072172199798</v>
      </c>
      <c r="AB233" s="32">
        <v>0</v>
      </c>
      <c r="AC233" s="32">
        <v>1.7923969018149001E-4</v>
      </c>
      <c r="AD233" s="32">
        <v>0</v>
      </c>
      <c r="AE233" s="32">
        <v>27.787241453105601</v>
      </c>
      <c r="AF233" s="32">
        <v>166.19988713851501</v>
      </c>
      <c r="AG233" s="32">
        <v>0</v>
      </c>
      <c r="AH233" s="32">
        <v>0</v>
      </c>
      <c r="AI233" s="32">
        <v>0</v>
      </c>
      <c r="AJ233" s="32">
        <v>0</v>
      </c>
      <c r="AK233" s="32">
        <v>0</v>
      </c>
      <c r="AL233" s="32">
        <v>0</v>
      </c>
      <c r="AM233" s="32">
        <v>0</v>
      </c>
      <c r="AN233" s="32">
        <v>0</v>
      </c>
      <c r="AO233" s="32">
        <v>0</v>
      </c>
      <c r="AP233" s="32">
        <v>0</v>
      </c>
      <c r="AQ233" s="32">
        <v>26.662722882899999</v>
      </c>
      <c r="AR233" s="32">
        <v>42.511195988828099</v>
      </c>
      <c r="AS233" s="32">
        <v>0</v>
      </c>
      <c r="AT233" s="32">
        <v>39.058400665388596</v>
      </c>
      <c r="AU233" s="32">
        <v>0</v>
      </c>
      <c r="AV233" s="32">
        <v>0</v>
      </c>
      <c r="AW233" s="32">
        <v>0</v>
      </c>
      <c r="AX233" s="32">
        <v>0</v>
      </c>
      <c r="AY233" s="32">
        <v>0</v>
      </c>
      <c r="AZ233" s="32">
        <v>0</v>
      </c>
      <c r="BA233" s="32">
        <v>0</v>
      </c>
      <c r="BB233" s="32">
        <v>0</v>
      </c>
      <c r="BC233" s="32">
        <v>0</v>
      </c>
      <c r="BD233" s="32">
        <v>0</v>
      </c>
      <c r="BE233" s="32">
        <v>15.6112043617384</v>
      </c>
      <c r="BF233" s="32">
        <v>197.702051241666</v>
      </c>
      <c r="BG233" s="32">
        <v>0</v>
      </c>
      <c r="BH233" s="32">
        <v>254.73974407817599</v>
      </c>
      <c r="BI233" s="32">
        <v>0</v>
      </c>
      <c r="BJ233" s="32">
        <v>26.189264650792001</v>
      </c>
      <c r="BK233" s="32">
        <v>0</v>
      </c>
      <c r="BL233" s="32">
        <v>0</v>
      </c>
      <c r="BM233" s="32">
        <v>0</v>
      </c>
      <c r="BN233" s="32">
        <v>0</v>
      </c>
      <c r="BO233" s="32">
        <v>1.1659453948477101</v>
      </c>
      <c r="BP233" s="32">
        <v>126.575951759928</v>
      </c>
      <c r="BQ233" s="32">
        <v>0</v>
      </c>
      <c r="BR233" s="32">
        <v>0</v>
      </c>
      <c r="BS233" s="32">
        <v>0</v>
      </c>
      <c r="BT233" s="32">
        <v>124.309417687777</v>
      </c>
      <c r="BU233" s="32">
        <v>0</v>
      </c>
      <c r="BV233" s="32">
        <v>0</v>
      </c>
      <c r="BW233" s="32">
        <v>0</v>
      </c>
      <c r="BX233" s="32">
        <v>0</v>
      </c>
      <c r="BY233" s="32">
        <v>0</v>
      </c>
      <c r="BZ233" s="32">
        <v>0</v>
      </c>
      <c r="CA233" s="32">
        <v>0</v>
      </c>
      <c r="CB233" s="32">
        <v>0</v>
      </c>
      <c r="CC233" s="32">
        <v>0</v>
      </c>
      <c r="CD233" s="32">
        <v>0</v>
      </c>
      <c r="CE233" s="32">
        <v>0</v>
      </c>
      <c r="CF233" s="32">
        <v>0</v>
      </c>
      <c r="CG233" s="32">
        <v>0</v>
      </c>
      <c r="CH233" s="32">
        <v>0</v>
      </c>
      <c r="CI233" s="32">
        <v>0</v>
      </c>
      <c r="CJ233" s="32">
        <v>0</v>
      </c>
      <c r="CK233" s="32">
        <v>0</v>
      </c>
      <c r="CL233" s="32">
        <v>2.5014988534921598</v>
      </c>
      <c r="CM233" s="32">
        <v>2.0918304262086198</v>
      </c>
      <c r="CN233" s="32">
        <v>5.0918304262086203</v>
      </c>
      <c r="CO233" s="32">
        <v>0</v>
      </c>
      <c r="CP233" s="32">
        <v>40.905270996747902</v>
      </c>
      <c r="CQ233" s="32">
        <v>0</v>
      </c>
      <c r="CR233" s="32">
        <v>0</v>
      </c>
      <c r="CS233" s="32">
        <v>0</v>
      </c>
      <c r="CT233" s="32">
        <v>24.099292595546299</v>
      </c>
      <c r="CU233" s="32">
        <v>0</v>
      </c>
      <c r="CV233" s="32">
        <v>0</v>
      </c>
      <c r="CW233" s="32">
        <v>0</v>
      </c>
      <c r="CX233" s="32">
        <v>0</v>
      </c>
      <c r="CY233" s="32">
        <v>1.7470214084135001</v>
      </c>
      <c r="CZ233" s="32">
        <v>0</v>
      </c>
      <c r="DA233" s="32">
        <v>0.17487531208210599</v>
      </c>
      <c r="DB233" s="32">
        <v>0</v>
      </c>
      <c r="DC233" s="32">
        <v>4.8096564372781598</v>
      </c>
      <c r="DD233" s="32">
        <v>0.20479395228083699</v>
      </c>
      <c r="DE233" s="32">
        <v>0</v>
      </c>
      <c r="DF233" s="32">
        <v>0</v>
      </c>
      <c r="DG233" s="32">
        <v>0</v>
      </c>
      <c r="DH233" s="32">
        <v>0</v>
      </c>
      <c r="DI233" s="32">
        <v>0</v>
      </c>
      <c r="DJ233" s="32">
        <v>0</v>
      </c>
      <c r="DK233" s="32">
        <v>0</v>
      </c>
      <c r="DL233" s="32">
        <v>0</v>
      </c>
      <c r="DM233" s="32">
        <v>0</v>
      </c>
      <c r="DN233" s="32">
        <v>0</v>
      </c>
      <c r="DO233" s="32">
        <v>0</v>
      </c>
      <c r="DP233" s="32">
        <v>0</v>
      </c>
      <c r="DQ233" s="32">
        <v>0</v>
      </c>
      <c r="DR233" s="32">
        <v>0</v>
      </c>
      <c r="DS233" s="32">
        <v>0</v>
      </c>
      <c r="DT233" s="32">
        <v>0</v>
      </c>
      <c r="DU233" s="32">
        <v>0</v>
      </c>
      <c r="DV233" s="32">
        <v>0</v>
      </c>
      <c r="DW233" s="32">
        <v>0</v>
      </c>
      <c r="DX233" s="32">
        <v>0</v>
      </c>
      <c r="DY233" s="32">
        <v>0</v>
      </c>
      <c r="DZ233" s="32">
        <v>0</v>
      </c>
      <c r="EA233" s="32">
        <v>0</v>
      </c>
      <c r="EB233" s="32">
        <v>0</v>
      </c>
      <c r="EC233" s="32">
        <v>0</v>
      </c>
      <c r="ED233" s="32">
        <v>0</v>
      </c>
      <c r="EE233" s="32">
        <v>0</v>
      </c>
      <c r="EF233" s="32">
        <v>0</v>
      </c>
      <c r="EG233" s="32">
        <v>0</v>
      </c>
      <c r="EH233" s="32">
        <v>0</v>
      </c>
      <c r="EI233" s="32">
        <v>0</v>
      </c>
      <c r="EJ233" s="32">
        <v>0</v>
      </c>
      <c r="EK233" s="32">
        <v>0</v>
      </c>
      <c r="EL233" s="32">
        <v>0</v>
      </c>
      <c r="EM233" s="32">
        <v>0</v>
      </c>
      <c r="EN233" s="32">
        <v>0</v>
      </c>
      <c r="EO233" s="32">
        <v>0</v>
      </c>
      <c r="EP233" s="32">
        <v>0</v>
      </c>
      <c r="EQ233" s="32">
        <v>0</v>
      </c>
      <c r="ER233" s="32">
        <v>0</v>
      </c>
      <c r="ES233" s="32">
        <v>2</v>
      </c>
      <c r="ET233" s="32">
        <v>7.4238404261586197</v>
      </c>
      <c r="EU233" s="32">
        <v>0.133176602038626</v>
      </c>
      <c r="EV233" s="32">
        <v>2.6626458990986399</v>
      </c>
      <c r="EW233" s="32">
        <v>0</v>
      </c>
      <c r="EX233" s="32">
        <v>3.4582128912579702</v>
      </c>
      <c r="EY233" s="32">
        <v>0</v>
      </c>
      <c r="EZ233" s="32">
        <v>0.22130899105691501</v>
      </c>
      <c r="FA233" s="32">
        <v>0</v>
      </c>
      <c r="FB233" s="32">
        <v>0</v>
      </c>
      <c r="FC233" s="32">
        <v>0</v>
      </c>
      <c r="FD233" s="32">
        <v>0</v>
      </c>
      <c r="FE233" s="32">
        <v>0</v>
      </c>
      <c r="FF233" s="32">
        <v>42.520920883903798</v>
      </c>
      <c r="FG233" s="32">
        <v>0</v>
      </c>
      <c r="FH233" s="32">
        <v>0</v>
      </c>
      <c r="FI233" s="32">
        <v>0</v>
      </c>
      <c r="FJ233" s="32">
        <v>0</v>
      </c>
      <c r="FK233" s="32">
        <v>0</v>
      </c>
      <c r="FL233" s="32">
        <v>0</v>
      </c>
      <c r="FM233" s="32">
        <v>0</v>
      </c>
      <c r="FN233" s="32">
        <v>0</v>
      </c>
      <c r="FO233" s="32">
        <v>0</v>
      </c>
      <c r="FP233" s="32">
        <v>0</v>
      </c>
      <c r="FQ233" s="32">
        <v>0</v>
      </c>
      <c r="FR233" s="32">
        <v>0</v>
      </c>
      <c r="FS233" s="32">
        <v>0</v>
      </c>
      <c r="FT233" s="32">
        <v>628.19542677282402</v>
      </c>
      <c r="FU233" s="32">
        <v>0</v>
      </c>
      <c r="FV233" s="32">
        <v>0</v>
      </c>
      <c r="FW233" s="32">
        <v>0</v>
      </c>
      <c r="FX233" s="32">
        <v>0</v>
      </c>
      <c r="FY233" s="32">
        <v>0</v>
      </c>
      <c r="FZ233" s="32">
        <v>0</v>
      </c>
      <c r="GA233" s="32">
        <v>14641.832699648599</v>
      </c>
      <c r="GB233" s="32">
        <v>0</v>
      </c>
      <c r="GC233" s="32">
        <v>0</v>
      </c>
      <c r="GD233" s="32">
        <v>0</v>
      </c>
      <c r="GE233" s="32">
        <v>0</v>
      </c>
      <c r="GF233" s="32">
        <v>0</v>
      </c>
      <c r="GG233" s="32">
        <v>559.62455739945995</v>
      </c>
      <c r="GH233" s="32">
        <v>0</v>
      </c>
      <c r="GI233" s="32">
        <v>0</v>
      </c>
      <c r="GJ233" s="32">
        <v>0</v>
      </c>
      <c r="GK233" s="32">
        <v>0</v>
      </c>
      <c r="GL233" s="32">
        <v>0</v>
      </c>
      <c r="GM233" s="32">
        <v>214.99438401176101</v>
      </c>
      <c r="GN233" s="32">
        <v>0</v>
      </c>
      <c r="GO233" s="32">
        <v>0</v>
      </c>
      <c r="GP233" s="32">
        <v>0</v>
      </c>
      <c r="GQ233" s="32">
        <v>17317.78107593409</v>
      </c>
      <c r="GR233" s="31"/>
      <c r="GS233" s="33"/>
      <c r="GT233" s="33"/>
      <c r="GU233" s="33"/>
      <c r="GV233" s="33"/>
      <c r="GW233" s="33"/>
      <c r="GX233" s="33"/>
      <c r="GY233" s="33"/>
      <c r="GZ233" s="33"/>
      <c r="HA233" s="5"/>
      <c r="HB233" s="5"/>
      <c r="HC233" s="5"/>
    </row>
    <row r="234" spans="2:211" s="7" customFormat="1" ht="17.25" customHeight="1">
      <c r="B234" s="12" t="s">
        <v>719</v>
      </c>
      <c r="C234" s="13" t="s">
        <v>720</v>
      </c>
      <c r="D234" s="32">
        <v>0</v>
      </c>
      <c r="E234" s="32">
        <v>0</v>
      </c>
      <c r="F234" s="32">
        <v>0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0</v>
      </c>
      <c r="V234" s="32">
        <v>0</v>
      </c>
      <c r="W234" s="32">
        <v>0</v>
      </c>
      <c r="X234" s="32">
        <v>0</v>
      </c>
      <c r="Y234" s="32">
        <v>0</v>
      </c>
      <c r="Z234" s="32">
        <v>0</v>
      </c>
      <c r="AA234" s="32">
        <v>0</v>
      </c>
      <c r="AB234" s="32">
        <v>0</v>
      </c>
      <c r="AC234" s="32">
        <v>0</v>
      </c>
      <c r="AD234" s="32">
        <v>0</v>
      </c>
      <c r="AE234" s="32">
        <v>0</v>
      </c>
      <c r="AF234" s="32">
        <v>0</v>
      </c>
      <c r="AG234" s="32">
        <v>0</v>
      </c>
      <c r="AH234" s="32">
        <v>0</v>
      </c>
      <c r="AI234" s="32">
        <v>0</v>
      </c>
      <c r="AJ234" s="32">
        <v>0</v>
      </c>
      <c r="AK234" s="32">
        <v>0</v>
      </c>
      <c r="AL234" s="32">
        <v>0</v>
      </c>
      <c r="AM234" s="32">
        <v>0</v>
      </c>
      <c r="AN234" s="32">
        <v>0</v>
      </c>
      <c r="AO234" s="32">
        <v>0</v>
      </c>
      <c r="AP234" s="32">
        <v>0</v>
      </c>
      <c r="AQ234" s="32">
        <v>0</v>
      </c>
      <c r="AR234" s="32">
        <v>0</v>
      </c>
      <c r="AS234" s="32">
        <v>0</v>
      </c>
      <c r="AT234" s="32">
        <v>0</v>
      </c>
      <c r="AU234" s="32">
        <v>0</v>
      </c>
      <c r="AV234" s="32">
        <v>0</v>
      </c>
      <c r="AW234" s="32">
        <v>0</v>
      </c>
      <c r="AX234" s="32">
        <v>0</v>
      </c>
      <c r="AY234" s="32">
        <v>0</v>
      </c>
      <c r="AZ234" s="32">
        <v>0</v>
      </c>
      <c r="BA234" s="32">
        <v>0</v>
      </c>
      <c r="BB234" s="32">
        <v>0</v>
      </c>
      <c r="BC234" s="32">
        <v>0</v>
      </c>
      <c r="BD234" s="32">
        <v>0</v>
      </c>
      <c r="BE234" s="32">
        <v>0</v>
      </c>
      <c r="BF234" s="32">
        <v>0</v>
      </c>
      <c r="BG234" s="32">
        <v>0</v>
      </c>
      <c r="BH234" s="32">
        <v>0</v>
      </c>
      <c r="BI234" s="32">
        <v>0</v>
      </c>
      <c r="BJ234" s="32">
        <v>0</v>
      </c>
      <c r="BK234" s="32">
        <v>0</v>
      </c>
      <c r="BL234" s="32">
        <v>0</v>
      </c>
      <c r="BM234" s="32">
        <v>0</v>
      </c>
      <c r="BN234" s="32">
        <v>0</v>
      </c>
      <c r="BO234" s="32">
        <v>0</v>
      </c>
      <c r="BP234" s="32">
        <v>0</v>
      </c>
      <c r="BQ234" s="32">
        <v>0</v>
      </c>
      <c r="BR234" s="32">
        <v>0</v>
      </c>
      <c r="BS234" s="32">
        <v>0</v>
      </c>
      <c r="BT234" s="32">
        <v>0</v>
      </c>
      <c r="BU234" s="32">
        <v>0</v>
      </c>
      <c r="BV234" s="32">
        <v>0</v>
      </c>
      <c r="BW234" s="32">
        <v>0</v>
      </c>
      <c r="BX234" s="32">
        <v>0</v>
      </c>
      <c r="BY234" s="32">
        <v>0</v>
      </c>
      <c r="BZ234" s="32">
        <v>0</v>
      </c>
      <c r="CA234" s="32">
        <v>0</v>
      </c>
      <c r="CB234" s="32">
        <v>0</v>
      </c>
      <c r="CC234" s="32">
        <v>0</v>
      </c>
      <c r="CD234" s="32">
        <v>0</v>
      </c>
      <c r="CE234" s="32">
        <v>0</v>
      </c>
      <c r="CF234" s="32">
        <v>0</v>
      </c>
      <c r="CG234" s="32">
        <v>0</v>
      </c>
      <c r="CH234" s="32">
        <v>0</v>
      </c>
      <c r="CI234" s="32">
        <v>0</v>
      </c>
      <c r="CJ234" s="32">
        <v>0</v>
      </c>
      <c r="CK234" s="32">
        <v>0</v>
      </c>
      <c r="CL234" s="32">
        <v>0</v>
      </c>
      <c r="CM234" s="32">
        <v>0</v>
      </c>
      <c r="CN234" s="32">
        <v>0</v>
      </c>
      <c r="CO234" s="32">
        <v>0</v>
      </c>
      <c r="CP234" s="32">
        <v>0</v>
      </c>
      <c r="CQ234" s="32">
        <v>0</v>
      </c>
      <c r="CR234" s="32">
        <v>0</v>
      </c>
      <c r="CS234" s="32">
        <v>0</v>
      </c>
      <c r="CT234" s="32">
        <v>0</v>
      </c>
      <c r="CU234" s="32">
        <v>0</v>
      </c>
      <c r="CV234" s="32">
        <v>0</v>
      </c>
      <c r="CW234" s="32">
        <v>0</v>
      </c>
      <c r="CX234" s="32">
        <v>0</v>
      </c>
      <c r="CY234" s="32">
        <v>0</v>
      </c>
      <c r="CZ234" s="32">
        <v>0</v>
      </c>
      <c r="DA234" s="32">
        <v>0</v>
      </c>
      <c r="DB234" s="32">
        <v>0</v>
      </c>
      <c r="DC234" s="32">
        <v>0</v>
      </c>
      <c r="DD234" s="32">
        <v>0</v>
      </c>
      <c r="DE234" s="32">
        <v>0</v>
      </c>
      <c r="DF234" s="32">
        <v>0</v>
      </c>
      <c r="DG234" s="32">
        <v>0</v>
      </c>
      <c r="DH234" s="32">
        <v>0</v>
      </c>
      <c r="DI234" s="32">
        <v>0</v>
      </c>
      <c r="DJ234" s="32">
        <v>0</v>
      </c>
      <c r="DK234" s="32">
        <v>0</v>
      </c>
      <c r="DL234" s="32">
        <v>0</v>
      </c>
      <c r="DM234" s="32">
        <v>0</v>
      </c>
      <c r="DN234" s="32">
        <v>0</v>
      </c>
      <c r="DO234" s="32">
        <v>0</v>
      </c>
      <c r="DP234" s="32">
        <v>0</v>
      </c>
      <c r="DQ234" s="32">
        <v>0</v>
      </c>
      <c r="DR234" s="32">
        <v>0</v>
      </c>
      <c r="DS234" s="32">
        <v>0</v>
      </c>
      <c r="DT234" s="32">
        <v>0</v>
      </c>
      <c r="DU234" s="32">
        <v>0</v>
      </c>
      <c r="DV234" s="32">
        <v>0</v>
      </c>
      <c r="DW234" s="32">
        <v>0</v>
      </c>
      <c r="DX234" s="32">
        <v>0</v>
      </c>
      <c r="DY234" s="32">
        <v>0</v>
      </c>
      <c r="DZ234" s="32">
        <v>0</v>
      </c>
      <c r="EA234" s="32">
        <v>0</v>
      </c>
      <c r="EB234" s="32">
        <v>0</v>
      </c>
      <c r="EC234" s="32">
        <v>0</v>
      </c>
      <c r="ED234" s="32">
        <v>0</v>
      </c>
      <c r="EE234" s="32">
        <v>0</v>
      </c>
      <c r="EF234" s="32">
        <v>0</v>
      </c>
      <c r="EG234" s="32">
        <v>0</v>
      </c>
      <c r="EH234" s="32">
        <v>0</v>
      </c>
      <c r="EI234" s="32">
        <v>0</v>
      </c>
      <c r="EJ234" s="32">
        <v>0</v>
      </c>
      <c r="EK234" s="32">
        <v>0</v>
      </c>
      <c r="EL234" s="32">
        <v>0</v>
      </c>
      <c r="EM234" s="32">
        <v>0</v>
      </c>
      <c r="EN234" s="32">
        <v>0</v>
      </c>
      <c r="EO234" s="32">
        <v>0</v>
      </c>
      <c r="EP234" s="32">
        <v>0</v>
      </c>
      <c r="EQ234" s="32">
        <v>0</v>
      </c>
      <c r="ER234" s="32">
        <v>0</v>
      </c>
      <c r="ES234" s="32">
        <v>0</v>
      </c>
      <c r="ET234" s="32">
        <v>0</v>
      </c>
      <c r="EU234" s="32">
        <v>0</v>
      </c>
      <c r="EV234" s="32">
        <v>0</v>
      </c>
      <c r="EW234" s="32">
        <v>0</v>
      </c>
      <c r="EX234" s="32">
        <v>0</v>
      </c>
      <c r="EY234" s="32">
        <v>0</v>
      </c>
      <c r="EZ234" s="32">
        <v>0</v>
      </c>
      <c r="FA234" s="32">
        <v>145.046302123055</v>
      </c>
      <c r="FB234" s="32">
        <v>0</v>
      </c>
      <c r="FC234" s="32">
        <v>0</v>
      </c>
      <c r="FD234" s="32">
        <v>0</v>
      </c>
      <c r="FE234" s="32">
        <v>0</v>
      </c>
      <c r="FF234" s="32">
        <v>0</v>
      </c>
      <c r="FG234" s="32">
        <v>0</v>
      </c>
      <c r="FH234" s="32">
        <v>0</v>
      </c>
      <c r="FI234" s="32">
        <v>0</v>
      </c>
      <c r="FJ234" s="32">
        <v>0</v>
      </c>
      <c r="FK234" s="32">
        <v>0</v>
      </c>
      <c r="FL234" s="32">
        <v>0</v>
      </c>
      <c r="FM234" s="32">
        <v>0</v>
      </c>
      <c r="FN234" s="32">
        <v>0</v>
      </c>
      <c r="FO234" s="32">
        <v>0</v>
      </c>
      <c r="FP234" s="32">
        <v>0</v>
      </c>
      <c r="FQ234" s="32">
        <v>0</v>
      </c>
      <c r="FR234" s="32">
        <v>0</v>
      </c>
      <c r="FS234" s="32">
        <v>0</v>
      </c>
      <c r="FT234" s="32">
        <v>0</v>
      </c>
      <c r="FU234" s="32">
        <v>0</v>
      </c>
      <c r="FV234" s="32">
        <v>0</v>
      </c>
      <c r="FW234" s="32">
        <v>193.36320799358401</v>
      </c>
      <c r="FX234" s="32">
        <v>0</v>
      </c>
      <c r="FY234" s="32">
        <v>8.7432285002972794</v>
      </c>
      <c r="FZ234" s="32">
        <v>0</v>
      </c>
      <c r="GA234" s="32">
        <v>0</v>
      </c>
      <c r="GB234" s="32">
        <v>0</v>
      </c>
      <c r="GC234" s="32">
        <v>0</v>
      </c>
      <c r="GD234" s="32">
        <v>0</v>
      </c>
      <c r="GE234" s="32">
        <v>0</v>
      </c>
      <c r="GF234" s="32">
        <v>0</v>
      </c>
      <c r="GG234" s="32">
        <v>22798.256992866001</v>
      </c>
      <c r="GH234" s="32">
        <v>0</v>
      </c>
      <c r="GI234" s="32">
        <v>18679.4100738786</v>
      </c>
      <c r="GJ234" s="32">
        <v>0</v>
      </c>
      <c r="GK234" s="32">
        <v>9106.0234645287401</v>
      </c>
      <c r="GL234" s="32">
        <v>1445.06030520534</v>
      </c>
      <c r="GM234" s="32">
        <v>52.399725092211703</v>
      </c>
      <c r="GN234" s="32">
        <v>0</v>
      </c>
      <c r="GO234" s="32">
        <v>0</v>
      </c>
      <c r="GP234" s="32">
        <v>0</v>
      </c>
      <c r="GQ234" s="32">
        <v>52428.303300187836</v>
      </c>
      <c r="GR234" s="31"/>
      <c r="GS234" s="33"/>
      <c r="GT234" s="33"/>
      <c r="GU234" s="33"/>
      <c r="GV234" s="33"/>
      <c r="GW234" s="33"/>
      <c r="GX234" s="33"/>
      <c r="GY234" s="33"/>
      <c r="GZ234" s="33"/>
      <c r="HA234" s="5"/>
      <c r="HB234" s="5"/>
      <c r="HC234" s="5"/>
    </row>
    <row r="235" spans="2:211" s="7" customFormat="1" ht="17.25" customHeight="1">
      <c r="B235" s="22" t="s">
        <v>721</v>
      </c>
      <c r="C235" s="23" t="s">
        <v>722</v>
      </c>
      <c r="D235" s="30">
        <f t="shared" ref="D235:BO235" si="8">SUM(D236:D237) - D238 + SUM(D239:D240)</f>
        <v>418.51975448760982</v>
      </c>
      <c r="E235" s="30">
        <f t="shared" si="8"/>
        <v>596.47752197095338</v>
      </c>
      <c r="F235" s="30">
        <f t="shared" si="8"/>
        <v>1139.478820715861</v>
      </c>
      <c r="G235" s="30">
        <f t="shared" si="8"/>
        <v>220.45516787369621</v>
      </c>
      <c r="H235" s="30">
        <f t="shared" si="8"/>
        <v>531.37090378372704</v>
      </c>
      <c r="I235" s="30">
        <f t="shared" si="8"/>
        <v>855.16424438238096</v>
      </c>
      <c r="J235" s="30">
        <f t="shared" si="8"/>
        <v>171.15939893333839</v>
      </c>
      <c r="K235" s="30">
        <f t="shared" si="8"/>
        <v>41.503360730562697</v>
      </c>
      <c r="L235" s="30">
        <f t="shared" si="8"/>
        <v>266.13388266562299</v>
      </c>
      <c r="M235" s="30">
        <f t="shared" si="8"/>
        <v>2310.0239610051303</v>
      </c>
      <c r="N235" s="30">
        <f t="shared" si="8"/>
        <v>348.67255881898905</v>
      </c>
      <c r="O235" s="30">
        <f t="shared" si="8"/>
        <v>457.06348577458431</v>
      </c>
      <c r="P235" s="30">
        <f t="shared" si="8"/>
        <v>39.547808104706704</v>
      </c>
      <c r="Q235" s="30">
        <f t="shared" si="8"/>
        <v>1294.136552646841</v>
      </c>
      <c r="R235" s="30">
        <f t="shared" si="8"/>
        <v>1028.3229531520049</v>
      </c>
      <c r="S235" s="30">
        <f t="shared" si="8"/>
        <v>2291.2970209363452</v>
      </c>
      <c r="T235" s="30">
        <f t="shared" si="8"/>
        <v>94.995311079141388</v>
      </c>
      <c r="U235" s="30">
        <f t="shared" si="8"/>
        <v>133.26856168008172</v>
      </c>
      <c r="V235" s="30">
        <f t="shared" si="8"/>
        <v>5.2739762607516294</v>
      </c>
      <c r="W235" s="30">
        <f t="shared" si="8"/>
        <v>108.18776157139729</v>
      </c>
      <c r="X235" s="30">
        <f t="shared" si="8"/>
        <v>116.86626141630198</v>
      </c>
      <c r="Y235" s="30">
        <f t="shared" si="8"/>
        <v>33.813264143354402</v>
      </c>
      <c r="Z235" s="30">
        <f t="shared" si="8"/>
        <v>201.78317399749</v>
      </c>
      <c r="AA235" s="30">
        <f t="shared" si="8"/>
        <v>47.844936734505303</v>
      </c>
      <c r="AB235" s="30">
        <f t="shared" si="8"/>
        <v>7.2046358948714477</v>
      </c>
      <c r="AC235" s="30">
        <f t="shared" si="8"/>
        <v>512.40110325894682</v>
      </c>
      <c r="AD235" s="30">
        <f t="shared" si="8"/>
        <v>11.596386568895834</v>
      </c>
      <c r="AE235" s="30">
        <f t="shared" si="8"/>
        <v>1868.7433210410959</v>
      </c>
      <c r="AF235" s="30">
        <f t="shared" si="8"/>
        <v>3904.406523252163</v>
      </c>
      <c r="AG235" s="30">
        <f t="shared" si="8"/>
        <v>962.0129058505463</v>
      </c>
      <c r="AH235" s="30">
        <f t="shared" si="8"/>
        <v>100.517266878873</v>
      </c>
      <c r="AI235" s="30">
        <f t="shared" si="8"/>
        <v>180.07170320955012</v>
      </c>
      <c r="AJ235" s="30">
        <f t="shared" si="8"/>
        <v>18.381688127538979</v>
      </c>
      <c r="AK235" s="30">
        <f t="shared" si="8"/>
        <v>174.94875584197098</v>
      </c>
      <c r="AL235" s="30">
        <f t="shared" si="8"/>
        <v>2533.3171686878545</v>
      </c>
      <c r="AM235" s="30">
        <f t="shared" si="8"/>
        <v>238.55026951741968</v>
      </c>
      <c r="AN235" s="30">
        <f t="shared" si="8"/>
        <v>326.32913423445996</v>
      </c>
      <c r="AO235" s="30">
        <f t="shared" si="8"/>
        <v>125.80152271954671</v>
      </c>
      <c r="AP235" s="30">
        <f t="shared" si="8"/>
        <v>527.77601930065134</v>
      </c>
      <c r="AQ235" s="30">
        <f t="shared" si="8"/>
        <v>105.95208136340339</v>
      </c>
      <c r="AR235" s="30">
        <f t="shared" si="8"/>
        <v>11.447958692694799</v>
      </c>
      <c r="AS235" s="30">
        <f t="shared" si="8"/>
        <v>3.1917375154993897</v>
      </c>
      <c r="AT235" s="30">
        <f t="shared" si="8"/>
        <v>16223.892579297426</v>
      </c>
      <c r="AU235" s="30">
        <f t="shared" si="8"/>
        <v>1577.059618521632</v>
      </c>
      <c r="AV235" s="30">
        <f t="shared" si="8"/>
        <v>2056.4850395956996</v>
      </c>
      <c r="AW235" s="30">
        <f t="shared" si="8"/>
        <v>4412.0630536370409</v>
      </c>
      <c r="AX235" s="30">
        <f t="shared" si="8"/>
        <v>5940.4312531067253</v>
      </c>
      <c r="AY235" s="30">
        <f t="shared" si="8"/>
        <v>0.66298488791930854</v>
      </c>
      <c r="AZ235" s="30">
        <f t="shared" si="8"/>
        <v>89.163198010161281</v>
      </c>
      <c r="BA235" s="30">
        <f t="shared" si="8"/>
        <v>178.84828493711194</v>
      </c>
      <c r="BB235" s="30">
        <f t="shared" si="8"/>
        <v>41.272266269198248</v>
      </c>
      <c r="BC235" s="30">
        <f t="shared" si="8"/>
        <v>907.23378157128127</v>
      </c>
      <c r="BD235" s="30">
        <f t="shared" si="8"/>
        <v>40.129883466405701</v>
      </c>
      <c r="BE235" s="30">
        <f t="shared" si="8"/>
        <v>1639.0235282654999</v>
      </c>
      <c r="BF235" s="30">
        <f t="shared" si="8"/>
        <v>411.29448989758271</v>
      </c>
      <c r="BG235" s="30">
        <f t="shared" si="8"/>
        <v>163.51957483814229</v>
      </c>
      <c r="BH235" s="30">
        <f t="shared" si="8"/>
        <v>950.98494452698242</v>
      </c>
      <c r="BI235" s="30">
        <f t="shared" si="8"/>
        <v>132.22358303195429</v>
      </c>
      <c r="BJ235" s="30">
        <f t="shared" si="8"/>
        <v>222.39663406412382</v>
      </c>
      <c r="BK235" s="30">
        <f t="shared" si="8"/>
        <v>37.115446848243302</v>
      </c>
      <c r="BL235" s="30">
        <f t="shared" si="8"/>
        <v>238.46370078213772</v>
      </c>
      <c r="BM235" s="30">
        <f t="shared" si="8"/>
        <v>75.139164946979179</v>
      </c>
      <c r="BN235" s="30">
        <f t="shared" si="8"/>
        <v>122.00058437679982</v>
      </c>
      <c r="BO235" s="30">
        <f t="shared" si="8"/>
        <v>213.99136554143172</v>
      </c>
      <c r="BP235" s="30">
        <f t="shared" ref="BP235:EA235" si="9">SUM(BP236:BP237) - BP238 + SUM(BP239:BP240)</f>
        <v>29.241001498229053</v>
      </c>
      <c r="BQ235" s="30">
        <f t="shared" si="9"/>
        <v>288.16171158801052</v>
      </c>
      <c r="BR235" s="30">
        <f t="shared" si="9"/>
        <v>158.83653850840932</v>
      </c>
      <c r="BS235" s="30">
        <f t="shared" si="9"/>
        <v>377.93665853255402</v>
      </c>
      <c r="BT235" s="30">
        <f t="shared" si="9"/>
        <v>1558.2151137203721</v>
      </c>
      <c r="BU235" s="30">
        <f t="shared" si="9"/>
        <v>343.32816625790986</v>
      </c>
      <c r="BV235" s="30">
        <f t="shared" si="9"/>
        <v>428.61459959742797</v>
      </c>
      <c r="BW235" s="30">
        <f t="shared" si="9"/>
        <v>196.52938787882488</v>
      </c>
      <c r="BX235" s="30">
        <f t="shared" si="9"/>
        <v>664.47855290264215</v>
      </c>
      <c r="BY235" s="30">
        <f t="shared" si="9"/>
        <v>473.90948032524642</v>
      </c>
      <c r="BZ235" s="30">
        <f t="shared" si="9"/>
        <v>45.064418304784503</v>
      </c>
      <c r="CA235" s="30">
        <f t="shared" si="9"/>
        <v>653.04236520617064</v>
      </c>
      <c r="CB235" s="30">
        <f t="shared" si="9"/>
        <v>731.91062923672143</v>
      </c>
      <c r="CC235" s="30">
        <f t="shared" si="9"/>
        <v>16.915414849045447</v>
      </c>
      <c r="CD235" s="30">
        <f t="shared" si="9"/>
        <v>1158.9707086946992</v>
      </c>
      <c r="CE235" s="30">
        <f t="shared" si="9"/>
        <v>442.08574208527517</v>
      </c>
      <c r="CF235" s="30">
        <f t="shared" si="9"/>
        <v>0</v>
      </c>
      <c r="CG235" s="30">
        <f t="shared" si="9"/>
        <v>263.65159183261608</v>
      </c>
      <c r="CH235" s="30">
        <f t="shared" si="9"/>
        <v>161.83861537471745</v>
      </c>
      <c r="CI235" s="30">
        <f t="shared" si="9"/>
        <v>392.82285182663372</v>
      </c>
      <c r="CJ235" s="30">
        <f t="shared" si="9"/>
        <v>145.76645598346167</v>
      </c>
      <c r="CK235" s="30">
        <f t="shared" si="9"/>
        <v>72.702235551628291</v>
      </c>
      <c r="CL235" s="30">
        <f t="shared" si="9"/>
        <v>96.555228577420849</v>
      </c>
      <c r="CM235" s="30">
        <f t="shared" si="9"/>
        <v>1867.4148063544772</v>
      </c>
      <c r="CN235" s="30">
        <f t="shared" si="9"/>
        <v>95.081075413466337</v>
      </c>
      <c r="CO235" s="30">
        <f t="shared" si="9"/>
        <v>348.00096849237929</v>
      </c>
      <c r="CP235" s="30">
        <f t="shared" si="9"/>
        <v>1181.8939577136757</v>
      </c>
      <c r="CQ235" s="30">
        <f t="shared" si="9"/>
        <v>138.17015793819746</v>
      </c>
      <c r="CR235" s="30">
        <f t="shared" si="9"/>
        <v>209.17767259483333</v>
      </c>
      <c r="CS235" s="30">
        <f t="shared" si="9"/>
        <v>151.76182669159243</v>
      </c>
      <c r="CT235" s="30">
        <f t="shared" si="9"/>
        <v>1646.4687804025341</v>
      </c>
      <c r="CU235" s="30">
        <f t="shared" si="9"/>
        <v>144.17096306827563</v>
      </c>
      <c r="CV235" s="30">
        <f t="shared" si="9"/>
        <v>34.135022908979622</v>
      </c>
      <c r="CW235" s="30">
        <f t="shared" si="9"/>
        <v>278.80775973914172</v>
      </c>
      <c r="CX235" s="30">
        <f t="shared" si="9"/>
        <v>47.278174529642904</v>
      </c>
      <c r="CY235" s="30">
        <f t="shared" si="9"/>
        <v>351.82133746004752</v>
      </c>
      <c r="CZ235" s="30">
        <f t="shared" si="9"/>
        <v>16.166200192006244</v>
      </c>
      <c r="DA235" s="30">
        <f t="shared" si="9"/>
        <v>372.91381174453409</v>
      </c>
      <c r="DB235" s="30">
        <f t="shared" si="9"/>
        <v>363.33350137986349</v>
      </c>
      <c r="DC235" s="30">
        <f t="shared" si="9"/>
        <v>258.81907594553832</v>
      </c>
      <c r="DD235" s="30">
        <f t="shared" si="9"/>
        <v>28.248934292042343</v>
      </c>
      <c r="DE235" s="30">
        <f t="shared" si="9"/>
        <v>0</v>
      </c>
      <c r="DF235" s="30">
        <f t="shared" si="9"/>
        <v>72.354957437999445</v>
      </c>
      <c r="DG235" s="30">
        <f t="shared" si="9"/>
        <v>602.90064750345641</v>
      </c>
      <c r="DH235" s="30">
        <f t="shared" si="9"/>
        <v>620.93584615650639</v>
      </c>
      <c r="DI235" s="30">
        <f t="shared" si="9"/>
        <v>80.924639417717799</v>
      </c>
      <c r="DJ235" s="30">
        <f t="shared" si="9"/>
        <v>2111.1945026834801</v>
      </c>
      <c r="DK235" s="30">
        <f t="shared" si="9"/>
        <v>15.524640264255092</v>
      </c>
      <c r="DL235" s="30">
        <f t="shared" si="9"/>
        <v>307.88302127956393</v>
      </c>
      <c r="DM235" s="30">
        <f t="shared" si="9"/>
        <v>21.928810350130039</v>
      </c>
      <c r="DN235" s="30">
        <f t="shared" si="9"/>
        <v>270.41871068824025</v>
      </c>
      <c r="DO235" s="30">
        <f t="shared" si="9"/>
        <v>61.132795323848867</v>
      </c>
      <c r="DP235" s="30">
        <f t="shared" si="9"/>
        <v>0</v>
      </c>
      <c r="DQ235" s="30">
        <f t="shared" si="9"/>
        <v>271.32938491074731</v>
      </c>
      <c r="DR235" s="30">
        <f t="shared" si="9"/>
        <v>1050.3396652394122</v>
      </c>
      <c r="DS235" s="30">
        <f t="shared" si="9"/>
        <v>321.78143367550996</v>
      </c>
      <c r="DT235" s="30">
        <f t="shared" si="9"/>
        <v>6.8718175404012669</v>
      </c>
      <c r="DU235" s="30">
        <f t="shared" si="9"/>
        <v>655.73934935736611</v>
      </c>
      <c r="DV235" s="30">
        <f t="shared" si="9"/>
        <v>323.0691678357033</v>
      </c>
      <c r="DW235" s="30">
        <f t="shared" si="9"/>
        <v>0</v>
      </c>
      <c r="DX235" s="30">
        <f t="shared" si="9"/>
        <v>198.10585663301043</v>
      </c>
      <c r="DY235" s="30">
        <f t="shared" si="9"/>
        <v>901.66692714861369</v>
      </c>
      <c r="DZ235" s="30">
        <f t="shared" si="9"/>
        <v>1836.3093054896917</v>
      </c>
      <c r="EA235" s="30">
        <f t="shared" si="9"/>
        <v>34.177019678598981</v>
      </c>
      <c r="EB235" s="30">
        <f t="shared" ref="EB235:GM235" si="10">SUM(EB236:EB237) - EB238 + SUM(EB239:EB240)</f>
        <v>177.3055388423808</v>
      </c>
      <c r="EC235" s="30">
        <f t="shared" si="10"/>
        <v>606.07115512311168</v>
      </c>
      <c r="ED235" s="30">
        <f t="shared" si="10"/>
        <v>354.3331052294493</v>
      </c>
      <c r="EE235" s="30">
        <f t="shared" si="10"/>
        <v>173.6146538838577</v>
      </c>
      <c r="EF235" s="30">
        <f t="shared" si="10"/>
        <v>855.02269553053384</v>
      </c>
      <c r="EG235" s="30">
        <f t="shared" si="10"/>
        <v>20.586913014037815</v>
      </c>
      <c r="EH235" s="30">
        <f t="shared" si="10"/>
        <v>42.995846033138776</v>
      </c>
      <c r="EI235" s="30">
        <f t="shared" si="10"/>
        <v>52.331836288487153</v>
      </c>
      <c r="EJ235" s="30">
        <f t="shared" si="10"/>
        <v>656.50417327848766</v>
      </c>
      <c r="EK235" s="30">
        <f t="shared" si="10"/>
        <v>18.654357594240292</v>
      </c>
      <c r="EL235" s="30">
        <f t="shared" si="10"/>
        <v>183.57843394994001</v>
      </c>
      <c r="EM235" s="30">
        <f t="shared" si="10"/>
        <v>10.964781416319099</v>
      </c>
      <c r="EN235" s="30">
        <f t="shared" si="10"/>
        <v>60.818012904155445</v>
      </c>
      <c r="EO235" s="30">
        <f t="shared" si="10"/>
        <v>57.799665129697459</v>
      </c>
      <c r="EP235" s="30">
        <f t="shared" si="10"/>
        <v>0</v>
      </c>
      <c r="EQ235" s="30">
        <f t="shared" si="10"/>
        <v>20.301195796414348</v>
      </c>
      <c r="ER235" s="30">
        <f t="shared" si="10"/>
        <v>234.29195333523799</v>
      </c>
      <c r="ES235" s="30">
        <f t="shared" si="10"/>
        <v>1046.695874700287</v>
      </c>
      <c r="ET235" s="30">
        <f t="shared" si="10"/>
        <v>730.40514988949803</v>
      </c>
      <c r="EU235" s="30">
        <f t="shared" si="10"/>
        <v>5.07558734669787</v>
      </c>
      <c r="EV235" s="30">
        <f t="shared" si="10"/>
        <v>249.11154703324613</v>
      </c>
      <c r="EW235" s="30">
        <f t="shared" si="10"/>
        <v>952.07092809105234</v>
      </c>
      <c r="EX235" s="30">
        <f t="shared" si="10"/>
        <v>1254.0832649669551</v>
      </c>
      <c r="EY235" s="30">
        <f t="shared" si="10"/>
        <v>815.40765546152011</v>
      </c>
      <c r="EZ235" s="30">
        <f t="shared" si="10"/>
        <v>1688.1103616038356</v>
      </c>
      <c r="FA235" s="30">
        <f t="shared" si="10"/>
        <v>707.9876525602017</v>
      </c>
      <c r="FB235" s="30">
        <f t="shared" si="10"/>
        <v>660.17987128201298</v>
      </c>
      <c r="FC235" s="30">
        <f t="shared" si="10"/>
        <v>7893.7433930284642</v>
      </c>
      <c r="FD235" s="30">
        <f t="shared" si="10"/>
        <v>4407.3029398741674</v>
      </c>
      <c r="FE235" s="30">
        <f t="shared" si="10"/>
        <v>1064.0299328911224</v>
      </c>
      <c r="FF235" s="30">
        <f t="shared" si="10"/>
        <v>1761.2175114811391</v>
      </c>
      <c r="FG235" s="30">
        <f t="shared" si="10"/>
        <v>7148.0573146395154</v>
      </c>
      <c r="FH235" s="30">
        <f t="shared" si="10"/>
        <v>212.54150001477109</v>
      </c>
      <c r="FI235" s="30">
        <f t="shared" si="10"/>
        <v>23389.916458645228</v>
      </c>
      <c r="FJ235" s="30">
        <f t="shared" si="10"/>
        <v>2836.88295860585</v>
      </c>
      <c r="FK235" s="30">
        <f t="shared" si="10"/>
        <v>277.15496827847505</v>
      </c>
      <c r="FL235" s="30">
        <f t="shared" si="10"/>
        <v>4692.0787360019722</v>
      </c>
      <c r="FM235" s="30">
        <f t="shared" si="10"/>
        <v>4658.3076460276507</v>
      </c>
      <c r="FN235" s="30">
        <f t="shared" si="10"/>
        <v>521.37235671373287</v>
      </c>
      <c r="FO235" s="30">
        <f t="shared" si="10"/>
        <v>12.985312845944058</v>
      </c>
      <c r="FP235" s="30">
        <f t="shared" si="10"/>
        <v>2340.5573844736168</v>
      </c>
      <c r="FQ235" s="30">
        <f t="shared" si="10"/>
        <v>1437.7367527302795</v>
      </c>
      <c r="FR235" s="30">
        <f t="shared" si="10"/>
        <v>92.132227426891134</v>
      </c>
      <c r="FS235" s="30">
        <f t="shared" si="10"/>
        <v>1333.7851318286353</v>
      </c>
      <c r="FT235" s="30">
        <f t="shared" si="10"/>
        <v>12439.243620448566</v>
      </c>
      <c r="FU235" s="30">
        <f t="shared" si="10"/>
        <v>7315.7257428172852</v>
      </c>
      <c r="FV235" s="30">
        <f t="shared" si="10"/>
        <v>635.89455066399523</v>
      </c>
      <c r="FW235" s="30">
        <f t="shared" si="10"/>
        <v>714.23749496068399</v>
      </c>
      <c r="FX235" s="30">
        <f t="shared" si="10"/>
        <v>11186.78915939039</v>
      </c>
      <c r="FY235" s="30">
        <f t="shared" si="10"/>
        <v>990.073780215135</v>
      </c>
      <c r="FZ235" s="30">
        <f t="shared" si="10"/>
        <v>1226.6005535022582</v>
      </c>
      <c r="GA235" s="30">
        <f t="shared" si="10"/>
        <v>18899.336827782205</v>
      </c>
      <c r="GB235" s="30">
        <f t="shared" si="10"/>
        <v>3558.9756620785638</v>
      </c>
      <c r="GC235" s="30">
        <f t="shared" si="10"/>
        <v>1154.631450658316</v>
      </c>
      <c r="GD235" s="30">
        <f t="shared" si="10"/>
        <v>2627.6112944015122</v>
      </c>
      <c r="GE235" s="30">
        <f t="shared" si="10"/>
        <v>4693.9197931911949</v>
      </c>
      <c r="GF235" s="30">
        <f t="shared" si="10"/>
        <v>1724.3854839873534</v>
      </c>
      <c r="GG235" s="30">
        <f t="shared" si="10"/>
        <v>15863.046270573705</v>
      </c>
      <c r="GH235" s="30">
        <f t="shared" si="10"/>
        <v>2492.6752433941961</v>
      </c>
      <c r="GI235" s="30">
        <f t="shared" si="10"/>
        <v>17677.593797150868</v>
      </c>
      <c r="GJ235" s="30">
        <f t="shared" si="10"/>
        <v>2184.7501359810981</v>
      </c>
      <c r="GK235" s="30">
        <f t="shared" si="10"/>
        <v>6930.5628724646676</v>
      </c>
      <c r="GL235" s="30">
        <f t="shared" si="10"/>
        <v>1487.2574308952226</v>
      </c>
      <c r="GM235" s="30">
        <f t="shared" si="10"/>
        <v>4440.1902470835867</v>
      </c>
      <c r="GN235" s="30">
        <f t="shared" ref="GN235:GP235" si="11">SUM(GN236:GN237) - GN238 + SUM(GN239:GN240)</f>
        <v>635.63880758343828</v>
      </c>
      <c r="GO235" s="30">
        <f t="shared" si="11"/>
        <v>1235.3513239074514</v>
      </c>
      <c r="GP235" s="30">
        <f t="shared" si="11"/>
        <v>1766.0250000000001</v>
      </c>
      <c r="GQ235" s="30">
        <v>283630.93646161939</v>
      </c>
      <c r="GR235" s="31"/>
      <c r="GS235" s="33"/>
      <c r="GT235" s="33"/>
      <c r="GU235" s="33"/>
      <c r="GV235" s="33"/>
      <c r="GW235" s="33"/>
      <c r="GX235" s="33"/>
      <c r="GY235" s="33"/>
      <c r="GZ235" s="33"/>
      <c r="HA235" s="5"/>
      <c r="HB235" s="5"/>
      <c r="HC235" s="5"/>
    </row>
    <row r="236" spans="2:211" s="7" customFormat="1" ht="17.25" customHeight="1">
      <c r="B236" s="12" t="s">
        <v>723</v>
      </c>
      <c r="C236" s="13" t="s">
        <v>724</v>
      </c>
      <c r="D236" s="32">
        <v>91.954916375815003</v>
      </c>
      <c r="E236" s="32">
        <v>148.624895406646</v>
      </c>
      <c r="F236" s="32">
        <v>177.569994736175</v>
      </c>
      <c r="G236" s="32">
        <v>13.171401363559999</v>
      </c>
      <c r="H236" s="32">
        <v>96.472853614130202</v>
      </c>
      <c r="I236" s="32">
        <v>16.061960525004</v>
      </c>
      <c r="J236" s="32">
        <v>5.2682362913963896</v>
      </c>
      <c r="K236" s="32">
        <v>8.6481650377701005</v>
      </c>
      <c r="L236" s="32">
        <v>5.04878424670801</v>
      </c>
      <c r="M236" s="32">
        <v>181.34373371048</v>
      </c>
      <c r="N236" s="32">
        <v>14.734680250759</v>
      </c>
      <c r="O236" s="32">
        <v>182.77572418104</v>
      </c>
      <c r="P236" s="32">
        <v>9.6312585288507009</v>
      </c>
      <c r="Q236" s="32">
        <v>273.49436482281999</v>
      </c>
      <c r="R236" s="32">
        <v>488.07598803302898</v>
      </c>
      <c r="S236" s="32">
        <v>375.12617636717499</v>
      </c>
      <c r="T236" s="32">
        <v>19.1114332156172</v>
      </c>
      <c r="U236" s="32">
        <v>8.5851479508127007</v>
      </c>
      <c r="V236" s="32">
        <v>0</v>
      </c>
      <c r="W236" s="32">
        <v>5.5426180345593004</v>
      </c>
      <c r="X236" s="32">
        <v>4.4210252987900001</v>
      </c>
      <c r="Y236" s="32">
        <v>0</v>
      </c>
      <c r="Z236" s="32">
        <v>68.509228999095996</v>
      </c>
      <c r="AA236" s="32">
        <v>0.90523477961440002</v>
      </c>
      <c r="AB236" s="32">
        <v>5.8855077059076102</v>
      </c>
      <c r="AC236" s="32">
        <v>91.710269014688805</v>
      </c>
      <c r="AD236" s="32">
        <v>4.5326050883916302</v>
      </c>
      <c r="AE236" s="32">
        <v>97.934299776746002</v>
      </c>
      <c r="AF236" s="32">
        <v>277.39058733285998</v>
      </c>
      <c r="AG236" s="32">
        <v>239.431429663926</v>
      </c>
      <c r="AH236" s="32">
        <v>19.666249842099401</v>
      </c>
      <c r="AI236" s="32">
        <v>13.079273008337299</v>
      </c>
      <c r="AJ236" s="32">
        <v>5.2311157230397498</v>
      </c>
      <c r="AK236" s="32">
        <v>18.798560596781002</v>
      </c>
      <c r="AL236" s="32">
        <v>461.82758918798999</v>
      </c>
      <c r="AM236" s="32">
        <v>171.90849232731799</v>
      </c>
      <c r="AN236" s="32">
        <v>172.94340543754899</v>
      </c>
      <c r="AO236" s="32">
        <v>46.801973929099802</v>
      </c>
      <c r="AP236" s="32">
        <v>454.45935130432701</v>
      </c>
      <c r="AQ236" s="32">
        <v>2.8106053612466999</v>
      </c>
      <c r="AR236" s="32">
        <v>0</v>
      </c>
      <c r="AS236" s="32">
        <v>2.15236751619807</v>
      </c>
      <c r="AT236" s="32">
        <v>678.22063585152102</v>
      </c>
      <c r="AU236" s="32">
        <v>401.69277347208202</v>
      </c>
      <c r="AV236" s="32">
        <v>552.63921296731496</v>
      </c>
      <c r="AW236" s="32">
        <v>1542.6599304860099</v>
      </c>
      <c r="AX236" s="32">
        <v>1027.0091901477599</v>
      </c>
      <c r="AY236" s="32">
        <v>0.18164477302638399</v>
      </c>
      <c r="AZ236" s="32">
        <v>28.0555026548667</v>
      </c>
      <c r="BA236" s="32">
        <v>90.892906355107002</v>
      </c>
      <c r="BB236" s="32">
        <v>13.6193738398531</v>
      </c>
      <c r="BC236" s="32">
        <v>427.59167367517199</v>
      </c>
      <c r="BD236" s="32">
        <v>18.3597009658709</v>
      </c>
      <c r="BE236" s="32">
        <v>0</v>
      </c>
      <c r="BF236" s="32">
        <v>0</v>
      </c>
      <c r="BG236" s="32">
        <v>29.401765437950701</v>
      </c>
      <c r="BH236" s="32">
        <v>103.775047136418</v>
      </c>
      <c r="BI236" s="32">
        <v>103.24362176061</v>
      </c>
      <c r="BJ236" s="32">
        <v>75.164933655548097</v>
      </c>
      <c r="BK236" s="32">
        <v>12.377571643964201</v>
      </c>
      <c r="BL236" s="32">
        <v>125.86791777451801</v>
      </c>
      <c r="BM236" s="32">
        <v>68.664912254328101</v>
      </c>
      <c r="BN236" s="32">
        <v>50.928086411434201</v>
      </c>
      <c r="BO236" s="32">
        <v>79.645359003872798</v>
      </c>
      <c r="BP236" s="32">
        <v>3.6450520000000002</v>
      </c>
      <c r="BQ236" s="32">
        <v>101.287753345843</v>
      </c>
      <c r="BR236" s="32">
        <v>53.157353361002102</v>
      </c>
      <c r="BS236" s="32">
        <v>161.13</v>
      </c>
      <c r="BT236" s="32">
        <v>325.69750099497202</v>
      </c>
      <c r="BU236" s="32">
        <v>44.2519924917979</v>
      </c>
      <c r="BV236" s="32">
        <v>215.32074326456799</v>
      </c>
      <c r="BW236" s="32">
        <v>140.55257093853899</v>
      </c>
      <c r="BX236" s="32">
        <v>277.43094479036802</v>
      </c>
      <c r="BY236" s="32">
        <v>42.715868292672397</v>
      </c>
      <c r="BZ236" s="32">
        <v>38.907805254257703</v>
      </c>
      <c r="CA236" s="32">
        <v>193.305644169152</v>
      </c>
      <c r="CB236" s="32">
        <v>298.95928052835501</v>
      </c>
      <c r="CC236" s="32">
        <v>8.9506936528857306</v>
      </c>
      <c r="CD236" s="32">
        <v>215.301998095367</v>
      </c>
      <c r="CE236" s="32">
        <v>73.2081220957852</v>
      </c>
      <c r="CF236" s="32">
        <v>0</v>
      </c>
      <c r="CG236" s="32">
        <v>143.07917352690501</v>
      </c>
      <c r="CH236" s="32">
        <v>43.714306341001802</v>
      </c>
      <c r="CI236" s="32">
        <v>105.430503845215</v>
      </c>
      <c r="CJ236" s="32">
        <v>84.338380132468401</v>
      </c>
      <c r="CK236" s="32">
        <v>25.823922395706202</v>
      </c>
      <c r="CL236" s="32">
        <v>20.6385969217603</v>
      </c>
      <c r="CM236" s="32">
        <v>642.82936901934204</v>
      </c>
      <c r="CN236" s="32">
        <v>40.685894966125502</v>
      </c>
      <c r="CO236" s="32">
        <v>198.011029084961</v>
      </c>
      <c r="CP236" s="32">
        <v>617.498369587355</v>
      </c>
      <c r="CQ236" s="32">
        <v>104.09882926940899</v>
      </c>
      <c r="CR236" s="32">
        <v>107.03652236415201</v>
      </c>
      <c r="CS236" s="32">
        <v>93.2107756590636</v>
      </c>
      <c r="CT236" s="32">
        <v>436.76791629855001</v>
      </c>
      <c r="CU236" s="32">
        <v>76.607105765059103</v>
      </c>
      <c r="CV236" s="32">
        <v>6.4775264464270599</v>
      </c>
      <c r="CW236" s="32">
        <v>116.89865812108501</v>
      </c>
      <c r="CX236" s="32">
        <v>8.4201157844411796</v>
      </c>
      <c r="CY236" s="32">
        <v>256.20775393991499</v>
      </c>
      <c r="CZ236" s="32">
        <v>5.73</v>
      </c>
      <c r="DA236" s="32">
        <v>89.106485351838899</v>
      </c>
      <c r="DB236" s="32">
        <v>173.19376681553001</v>
      </c>
      <c r="DC236" s="32">
        <v>147.178794091686</v>
      </c>
      <c r="DD236" s="32">
        <v>4.4310315849532103</v>
      </c>
      <c r="DE236" s="32">
        <v>0</v>
      </c>
      <c r="DF236" s="32">
        <v>37.9518523631615</v>
      </c>
      <c r="DG236" s="32">
        <v>231.54309494987999</v>
      </c>
      <c r="DH236" s="32">
        <v>250.93142849115301</v>
      </c>
      <c r="DI236" s="32">
        <v>25.093142849115299</v>
      </c>
      <c r="DJ236" s="32">
        <v>281.43225599613902</v>
      </c>
      <c r="DK236" s="32">
        <v>3.82627095995021</v>
      </c>
      <c r="DL236" s="32">
        <v>76.431418653093402</v>
      </c>
      <c r="DM236" s="32">
        <v>7.12</v>
      </c>
      <c r="DN236" s="32">
        <v>18.288673818049499</v>
      </c>
      <c r="DO236" s="32">
        <v>24.620954409096001</v>
      </c>
      <c r="DP236" s="32">
        <v>0</v>
      </c>
      <c r="DQ236" s="32">
        <v>133.108908276102</v>
      </c>
      <c r="DR236" s="32">
        <v>685.91414380466097</v>
      </c>
      <c r="DS236" s="32">
        <v>108.584963051605</v>
      </c>
      <c r="DT236" s="32">
        <v>1.91158505866977</v>
      </c>
      <c r="DU236" s="32">
        <v>373.04076580103703</v>
      </c>
      <c r="DV236" s="32">
        <v>133.603226880542</v>
      </c>
      <c r="DW236" s="32">
        <v>0</v>
      </c>
      <c r="DX236" s="32">
        <v>83.683879181583904</v>
      </c>
      <c r="DY236" s="32">
        <v>197.138684698746</v>
      </c>
      <c r="DZ236" s="32">
        <v>489.34785273966799</v>
      </c>
      <c r="EA236" s="32">
        <v>31.245959396644899</v>
      </c>
      <c r="EB236" s="32">
        <v>58.426127483395902</v>
      </c>
      <c r="EC236" s="32">
        <v>126.457600958689</v>
      </c>
      <c r="ED236" s="32">
        <v>197.76701815523899</v>
      </c>
      <c r="EE236" s="32">
        <v>66.617937671033701</v>
      </c>
      <c r="EF236" s="32">
        <v>584.80691933269895</v>
      </c>
      <c r="EG236" s="32">
        <v>6.6091491966469702</v>
      </c>
      <c r="EH236" s="32">
        <v>13.5616062616762</v>
      </c>
      <c r="EI236" s="32">
        <v>40.379292291298597</v>
      </c>
      <c r="EJ236" s="32">
        <v>448.54596466182699</v>
      </c>
      <c r="EK236" s="32">
        <v>8.0116853580620901</v>
      </c>
      <c r="EL236" s="32">
        <v>45.610652156807802</v>
      </c>
      <c r="EM236" s="32">
        <v>5.9449859090270403</v>
      </c>
      <c r="EN236" s="32">
        <v>12.464524569683499</v>
      </c>
      <c r="EO236" s="32">
        <v>18.5455919325127</v>
      </c>
      <c r="EP236" s="32">
        <v>0</v>
      </c>
      <c r="EQ236" s="32">
        <v>8.9429163210270897</v>
      </c>
      <c r="ER236" s="32">
        <v>47.3076708582986</v>
      </c>
      <c r="ES236" s="32">
        <v>260.191609034576</v>
      </c>
      <c r="ET236" s="32">
        <v>164.24886244608399</v>
      </c>
      <c r="EU236" s="32">
        <v>1.34845070454447</v>
      </c>
      <c r="EV236" s="32">
        <v>83.524813622229104</v>
      </c>
      <c r="EW236" s="32">
        <v>322.77912096523499</v>
      </c>
      <c r="EX236" s="32">
        <v>224.04410042131801</v>
      </c>
      <c r="EY236" s="32">
        <v>101.962777591231</v>
      </c>
      <c r="EZ236" s="32">
        <v>889.61759135959596</v>
      </c>
      <c r="FA236" s="32">
        <v>415.58297235917001</v>
      </c>
      <c r="FB236" s="32">
        <v>272.502504576815</v>
      </c>
      <c r="FC236" s="32">
        <v>5993.0364911798597</v>
      </c>
      <c r="FD236" s="32">
        <v>3416.3001211156602</v>
      </c>
      <c r="FE236" s="32">
        <v>801.17262504570203</v>
      </c>
      <c r="FF236" s="32">
        <v>1235.9821094459801</v>
      </c>
      <c r="FG236" s="32">
        <v>3717.1774728505002</v>
      </c>
      <c r="FH236" s="32">
        <v>74.191943630400104</v>
      </c>
      <c r="FI236" s="32">
        <v>10466.124810753299</v>
      </c>
      <c r="FJ236" s="32">
        <v>1465.8751892467301</v>
      </c>
      <c r="FK236" s="32">
        <v>139.029</v>
      </c>
      <c r="FL236" s="32">
        <v>910.54673907332699</v>
      </c>
      <c r="FM236" s="32">
        <v>286.75303905797398</v>
      </c>
      <c r="FN236" s="32">
        <v>325.43395951963902</v>
      </c>
      <c r="FO236" s="32">
        <v>5.0046144442724403</v>
      </c>
      <c r="FP236" s="32">
        <v>529.73594583946397</v>
      </c>
      <c r="FQ236" s="32">
        <v>846.62582921594299</v>
      </c>
      <c r="FR236" s="32">
        <v>72.718709389251899</v>
      </c>
      <c r="FS236" s="32">
        <v>752.65079717723097</v>
      </c>
      <c r="FT236" s="32">
        <v>3453.7758560959301</v>
      </c>
      <c r="FU236" s="32">
        <v>2575.11832915588</v>
      </c>
      <c r="FV236" s="32">
        <v>491.17198259720902</v>
      </c>
      <c r="FW236" s="32">
        <v>119.46486618</v>
      </c>
      <c r="FX236" s="32">
        <v>4845.4024737632899</v>
      </c>
      <c r="FY236" s="32">
        <v>640.92223464000006</v>
      </c>
      <c r="FZ236" s="32">
        <v>564.27795330816002</v>
      </c>
      <c r="GA236" s="32">
        <v>6.9786130401912203</v>
      </c>
      <c r="GB236" s="32">
        <v>41.1173337870081</v>
      </c>
      <c r="GC236" s="32">
        <v>222.285347243833</v>
      </c>
      <c r="GD236" s="32">
        <v>806.44392481477701</v>
      </c>
      <c r="GE236" s="32">
        <v>1559.1550668714599</v>
      </c>
      <c r="GF236" s="32">
        <v>593.52203370524205</v>
      </c>
      <c r="GG236" s="32">
        <v>15615.555665473799</v>
      </c>
      <c r="GH236" s="32">
        <v>1874.0698649798601</v>
      </c>
      <c r="GI236" s="32">
        <v>17418.815300047499</v>
      </c>
      <c r="GJ236" s="32">
        <v>1179.0434564709201</v>
      </c>
      <c r="GK236" s="32">
        <v>6825.5673064407301</v>
      </c>
      <c r="GL236" s="32">
        <v>596.71418519678195</v>
      </c>
      <c r="GM236" s="32">
        <v>432.667632888073</v>
      </c>
      <c r="GN236" s="32">
        <v>67.663006565398604</v>
      </c>
      <c r="GO236" s="32">
        <v>72.910397005059394</v>
      </c>
      <c r="GP236" s="32">
        <v>1766.0250000000001</v>
      </c>
      <c r="GQ236" s="32">
        <v>115880.52015027599</v>
      </c>
      <c r="GR236" s="31"/>
      <c r="GS236" s="33"/>
      <c r="GT236" s="33"/>
      <c r="GU236" s="33"/>
      <c r="GV236" s="33"/>
      <c r="GW236" s="33"/>
      <c r="GX236" s="33"/>
      <c r="GY236" s="33"/>
      <c r="GZ236" s="33"/>
      <c r="HA236" s="5"/>
      <c r="HB236" s="5"/>
      <c r="HC236" s="5"/>
    </row>
    <row r="237" spans="2:211" s="7" customFormat="1" ht="17.25" customHeight="1">
      <c r="B237" s="12" t="s">
        <v>725</v>
      </c>
      <c r="C237" s="13" t="s">
        <v>726</v>
      </c>
      <c r="D237" s="32">
        <v>0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15.9212778104752</v>
      </c>
      <c r="T237" s="32">
        <v>0</v>
      </c>
      <c r="U237" s="32">
        <v>0</v>
      </c>
      <c r="V237" s="32">
        <v>0</v>
      </c>
      <c r="W237" s="32">
        <v>0</v>
      </c>
      <c r="X237" s="32">
        <v>0</v>
      </c>
      <c r="Y237" s="32">
        <v>0</v>
      </c>
      <c r="Z237" s="32">
        <v>0</v>
      </c>
      <c r="AA237" s="32">
        <v>0</v>
      </c>
      <c r="AB237" s="32">
        <v>0</v>
      </c>
      <c r="AC237" s="32">
        <v>0</v>
      </c>
      <c r="AD237" s="32">
        <v>0</v>
      </c>
      <c r="AE237" s="32">
        <v>0</v>
      </c>
      <c r="AF237" s="32">
        <v>30.0472013096261</v>
      </c>
      <c r="AG237" s="32">
        <v>6.3227039757354202</v>
      </c>
      <c r="AH237" s="32">
        <v>0</v>
      </c>
      <c r="AI237" s="32">
        <v>0</v>
      </c>
      <c r="AJ237" s="32">
        <v>0</v>
      </c>
      <c r="AK237" s="32">
        <v>0</v>
      </c>
      <c r="AL237" s="32">
        <v>0</v>
      </c>
      <c r="AM237" s="32">
        <v>0</v>
      </c>
      <c r="AN237" s="32">
        <v>0.54648991328746499</v>
      </c>
      <c r="AO237" s="32">
        <v>1.1876658964917</v>
      </c>
      <c r="AP237" s="32">
        <v>0</v>
      </c>
      <c r="AQ237" s="32">
        <v>0</v>
      </c>
      <c r="AR237" s="32">
        <v>0</v>
      </c>
      <c r="AS237" s="32">
        <v>0</v>
      </c>
      <c r="AT237" s="32">
        <v>76.362258644905495</v>
      </c>
      <c r="AU237" s="32">
        <v>0</v>
      </c>
      <c r="AV237" s="32">
        <v>3.2768400763745902</v>
      </c>
      <c r="AW237" s="32">
        <v>100.05563359460101</v>
      </c>
      <c r="AX237" s="32">
        <v>6.1747827105958599</v>
      </c>
      <c r="AY237" s="32">
        <v>5.9684366974964501E-2</v>
      </c>
      <c r="AZ237" s="32">
        <v>3.1973019967710798</v>
      </c>
      <c r="BA237" s="32">
        <v>2.1292465201075501</v>
      </c>
      <c r="BB237" s="32">
        <v>1.0777357113378501</v>
      </c>
      <c r="BC237" s="32">
        <v>2.4674105852332402</v>
      </c>
      <c r="BD237" s="32">
        <v>0</v>
      </c>
      <c r="BE237" s="32">
        <v>0</v>
      </c>
      <c r="BF237" s="32">
        <v>0</v>
      </c>
      <c r="BG237" s="32">
        <v>0</v>
      </c>
      <c r="BH237" s="32">
        <v>7.8894268805295198</v>
      </c>
      <c r="BI237" s="32">
        <v>2.69942713509649</v>
      </c>
      <c r="BJ237" s="32">
        <v>7.9706969927439397</v>
      </c>
      <c r="BK237" s="32">
        <v>0</v>
      </c>
      <c r="BL237" s="32">
        <v>6.27450719368374</v>
      </c>
      <c r="BM237" s="32">
        <v>0.19968366415307301</v>
      </c>
      <c r="BN237" s="32">
        <v>1.78666392641046</v>
      </c>
      <c r="BO237" s="32">
        <v>5.3856769353991503</v>
      </c>
      <c r="BP237" s="32">
        <v>3.5620564315548401E-3</v>
      </c>
      <c r="BQ237" s="32">
        <v>0.77237353651053298</v>
      </c>
      <c r="BR237" s="32">
        <v>0.14855097802122699</v>
      </c>
      <c r="BS237" s="32">
        <v>0</v>
      </c>
      <c r="BT237" s="32">
        <v>0</v>
      </c>
      <c r="BU237" s="32">
        <v>6.1511905587659603</v>
      </c>
      <c r="BV237" s="32">
        <v>9.9737962532717699</v>
      </c>
      <c r="BW237" s="32">
        <v>0</v>
      </c>
      <c r="BX237" s="32">
        <v>15.417491966562199</v>
      </c>
      <c r="BY237" s="32">
        <v>0</v>
      </c>
      <c r="BZ237" s="32">
        <v>0</v>
      </c>
      <c r="CA237" s="32">
        <v>24.495078795622099</v>
      </c>
      <c r="CB237" s="32">
        <v>7.8822561629222099</v>
      </c>
      <c r="CC237" s="32">
        <v>0.43206883423349701</v>
      </c>
      <c r="CD237" s="32">
        <v>5.6765774201002399</v>
      </c>
      <c r="CE237" s="32">
        <v>1.93017982430799</v>
      </c>
      <c r="CF237" s="32">
        <v>0</v>
      </c>
      <c r="CG237" s="32">
        <v>8.5559830040032594</v>
      </c>
      <c r="CH237" s="32">
        <v>0.443843700553328</v>
      </c>
      <c r="CI237" s="32">
        <v>1.4263218117807199</v>
      </c>
      <c r="CJ237" s="32">
        <v>1.9496894855134099</v>
      </c>
      <c r="CK237" s="32">
        <v>0.43332231362141799</v>
      </c>
      <c r="CL237" s="32">
        <v>0.601198820976933</v>
      </c>
      <c r="CM237" s="32">
        <v>24.7347343710004</v>
      </c>
      <c r="CN237" s="32">
        <v>0.57845621763293298</v>
      </c>
      <c r="CO237" s="32">
        <v>3.4968815409212901</v>
      </c>
      <c r="CP237" s="32">
        <v>7.2632022679440302</v>
      </c>
      <c r="CQ237" s="32">
        <v>3.22171544143667</v>
      </c>
      <c r="CR237" s="32">
        <v>0.90385804546733095</v>
      </c>
      <c r="CS237" s="32">
        <v>1.4578233600184201</v>
      </c>
      <c r="CT237" s="32">
        <v>3.4777077292721099</v>
      </c>
      <c r="CU237" s="32">
        <v>1.549910983063</v>
      </c>
      <c r="CV237" s="32">
        <v>0.29347180034445303</v>
      </c>
      <c r="CW237" s="32">
        <v>1.75415317896947</v>
      </c>
      <c r="CX237" s="32">
        <v>0.39450349176222299</v>
      </c>
      <c r="CY237" s="32">
        <v>2.5293948848870502</v>
      </c>
      <c r="CZ237" s="32">
        <v>4.6271684520661403E-2</v>
      </c>
      <c r="DA237" s="32">
        <v>2.9445520538101801</v>
      </c>
      <c r="DB237" s="32">
        <v>2.9710368103004998</v>
      </c>
      <c r="DC237" s="32">
        <v>3.0812771095505598</v>
      </c>
      <c r="DD237" s="32">
        <v>0.131199998496034</v>
      </c>
      <c r="DE237" s="32">
        <v>0</v>
      </c>
      <c r="DF237" s="32">
        <v>1.27259365085104</v>
      </c>
      <c r="DG237" s="32">
        <v>6.7041605003794498</v>
      </c>
      <c r="DH237" s="32">
        <v>7.26553547864743</v>
      </c>
      <c r="DI237" s="32">
        <v>0.72655354786474402</v>
      </c>
      <c r="DJ237" s="32">
        <v>7.2754611871710102</v>
      </c>
      <c r="DK237" s="32">
        <v>0.57385934836328301</v>
      </c>
      <c r="DL237" s="32">
        <v>7.2719526584465202</v>
      </c>
      <c r="DM237" s="32">
        <v>1.3610571862021399</v>
      </c>
      <c r="DN237" s="32">
        <v>0.64504386084375198</v>
      </c>
      <c r="DO237" s="32">
        <v>3.9056558193071397E-2</v>
      </c>
      <c r="DP237" s="32">
        <v>0</v>
      </c>
      <c r="DQ237" s="32">
        <v>6.1069721537073596</v>
      </c>
      <c r="DR237" s="32">
        <v>7.4722474079419996</v>
      </c>
      <c r="DS237" s="32">
        <v>0.81320995537463303</v>
      </c>
      <c r="DT237" s="32">
        <v>1.7729293258947499E-2</v>
      </c>
      <c r="DU237" s="32">
        <v>13.144447778615</v>
      </c>
      <c r="DV237" s="32">
        <v>3.9913793160123401</v>
      </c>
      <c r="DW237" s="32">
        <v>0</v>
      </c>
      <c r="DX237" s="32">
        <v>3.07440356645535</v>
      </c>
      <c r="DY237" s="32">
        <v>11.352721873628701</v>
      </c>
      <c r="DZ237" s="32">
        <v>4.3348314473237197</v>
      </c>
      <c r="EA237" s="32">
        <v>0.30265106485633297</v>
      </c>
      <c r="EB237" s="32">
        <v>25.3328024612278</v>
      </c>
      <c r="EC237" s="32">
        <v>7.7799510024536103</v>
      </c>
      <c r="ED237" s="32">
        <v>2.63731925557832</v>
      </c>
      <c r="EE237" s="32">
        <v>0</v>
      </c>
      <c r="EF237" s="32">
        <v>7.2173270797258304</v>
      </c>
      <c r="EG237" s="32">
        <v>0.99793054208424603</v>
      </c>
      <c r="EH237" s="32">
        <v>0.72329665152767197</v>
      </c>
      <c r="EI237" s="32">
        <v>0.576739760577057</v>
      </c>
      <c r="EJ237" s="32">
        <v>2.6444206589116299</v>
      </c>
      <c r="EK237" s="32">
        <v>0.17654258238563</v>
      </c>
      <c r="EL237" s="32">
        <v>3.87086044028141</v>
      </c>
      <c r="EM237" s="32">
        <v>0.20064282205912801</v>
      </c>
      <c r="EN237" s="32">
        <v>0.61166496439384299</v>
      </c>
      <c r="EO237" s="32">
        <v>5.15331329096316</v>
      </c>
      <c r="EP237" s="32">
        <v>0</v>
      </c>
      <c r="EQ237" s="32">
        <v>0.479534235858456</v>
      </c>
      <c r="ER237" s="32">
        <v>1.9422128520042701</v>
      </c>
      <c r="ES237" s="32">
        <v>3.3386854828071</v>
      </c>
      <c r="ET237" s="32">
        <v>2.6147163442220198</v>
      </c>
      <c r="EU237" s="32">
        <v>0</v>
      </c>
      <c r="EV237" s="32">
        <v>0.57356055478991597</v>
      </c>
      <c r="EW237" s="32">
        <v>5.6005915142044298</v>
      </c>
      <c r="EX237" s="32">
        <v>14.224090507846901</v>
      </c>
      <c r="EY237" s="32">
        <v>6.2907696427410702</v>
      </c>
      <c r="EZ237" s="32">
        <v>30.246577886199599</v>
      </c>
      <c r="FA237" s="32">
        <v>5.5623843977818304</v>
      </c>
      <c r="FB237" s="32">
        <v>4.9497931285689001</v>
      </c>
      <c r="FC237" s="32">
        <v>81.570982494103205</v>
      </c>
      <c r="FD237" s="32">
        <v>25.2373825058968</v>
      </c>
      <c r="FE237" s="32">
        <v>0</v>
      </c>
      <c r="FF237" s="32">
        <v>0</v>
      </c>
      <c r="FG237" s="32">
        <v>50.3322416147941</v>
      </c>
      <c r="FH237" s="32">
        <v>13.671892851932</v>
      </c>
      <c r="FI237" s="32">
        <v>111.112001189379</v>
      </c>
      <c r="FJ237" s="32">
        <v>20.905495867368799</v>
      </c>
      <c r="FK237" s="32">
        <v>3.4141378241440998</v>
      </c>
      <c r="FL237" s="32">
        <v>11.511827402845199</v>
      </c>
      <c r="FM237" s="32">
        <v>11.661326522845201</v>
      </c>
      <c r="FN237" s="32">
        <v>18.8337313096015</v>
      </c>
      <c r="FO237" s="32">
        <v>0.19120442011451799</v>
      </c>
      <c r="FP237" s="32">
        <v>19.410682461422599</v>
      </c>
      <c r="FQ237" s="32">
        <v>19.118208197808599</v>
      </c>
      <c r="FR237" s="32">
        <v>1.30788926563903</v>
      </c>
      <c r="FS237" s="32">
        <v>23.5090595689243</v>
      </c>
      <c r="FT237" s="32">
        <v>70.456932100276305</v>
      </c>
      <c r="FU237" s="32">
        <v>62.058640020360798</v>
      </c>
      <c r="FV237" s="32">
        <v>6.0820780682955498</v>
      </c>
      <c r="FW237" s="32">
        <v>1.9373067900000001</v>
      </c>
      <c r="FX237" s="32">
        <v>111.59003089358799</v>
      </c>
      <c r="FY237" s="32">
        <v>15.42570314</v>
      </c>
      <c r="FZ237" s="32">
        <v>25.5366717828358</v>
      </c>
      <c r="GA237" s="32">
        <v>855.43451627220702</v>
      </c>
      <c r="GB237" s="32">
        <v>273.443448815632</v>
      </c>
      <c r="GC237" s="32">
        <v>32.862099478060003</v>
      </c>
      <c r="GD237" s="32">
        <v>10.623464354290901</v>
      </c>
      <c r="GE237" s="32">
        <v>4.6334307844253697</v>
      </c>
      <c r="GF237" s="32">
        <v>2.06704059821024</v>
      </c>
      <c r="GG237" s="32">
        <v>247.490605099905</v>
      </c>
      <c r="GH237" s="32">
        <v>55.926340099999997</v>
      </c>
      <c r="GI237" s="32">
        <v>258.77849710336898</v>
      </c>
      <c r="GJ237" s="32">
        <v>17.485437300000001</v>
      </c>
      <c r="GK237" s="32">
        <v>104.995566023938</v>
      </c>
      <c r="GL237" s="32">
        <v>10.044302367112699</v>
      </c>
      <c r="GM237" s="32">
        <v>13.1919893995042</v>
      </c>
      <c r="GN237" s="32">
        <v>0.17238734937269601</v>
      </c>
      <c r="GO237" s="32">
        <v>0.51714389429702701</v>
      </c>
      <c r="GP237" s="32">
        <v>0</v>
      </c>
      <c r="GQ237" s="32">
        <v>3238.1892434589599</v>
      </c>
      <c r="GR237" s="31"/>
      <c r="GS237" s="33"/>
      <c r="GT237" s="33"/>
      <c r="GU237" s="33"/>
      <c r="GV237" s="33"/>
      <c r="GW237" s="33"/>
      <c r="GX237" s="33"/>
      <c r="GY237" s="33"/>
      <c r="GZ237" s="33"/>
      <c r="HA237" s="5"/>
      <c r="HB237" s="5"/>
      <c r="HC237" s="5"/>
    </row>
    <row r="238" spans="2:211" s="7" customFormat="1" ht="17.25" customHeight="1">
      <c r="B238" s="12" t="s">
        <v>727</v>
      </c>
      <c r="C238" s="13" t="s">
        <v>728</v>
      </c>
      <c r="D238" s="32">
        <v>0</v>
      </c>
      <c r="E238" s="32">
        <v>0</v>
      </c>
      <c r="F238" s="32">
        <v>0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  <c r="X238" s="32">
        <v>0</v>
      </c>
      <c r="Y238" s="32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32">
        <v>0</v>
      </c>
      <c r="AI238" s="32">
        <v>0</v>
      </c>
      <c r="AJ238" s="32">
        <v>0</v>
      </c>
      <c r="AK238" s="32">
        <v>0</v>
      </c>
      <c r="AL238" s="32">
        <v>0</v>
      </c>
      <c r="AM238" s="32">
        <v>0</v>
      </c>
      <c r="AN238" s="32">
        <v>0</v>
      </c>
      <c r="AO238" s="32">
        <v>0</v>
      </c>
      <c r="AP238" s="32">
        <v>0</v>
      </c>
      <c r="AQ238" s="32">
        <v>0</v>
      </c>
      <c r="AR238" s="32">
        <v>0</v>
      </c>
      <c r="AS238" s="32">
        <v>0</v>
      </c>
      <c r="AT238" s="32">
        <v>0</v>
      </c>
      <c r="AU238" s="32">
        <v>0</v>
      </c>
      <c r="AV238" s="32">
        <v>0</v>
      </c>
      <c r="AW238" s="32">
        <v>0</v>
      </c>
      <c r="AX238" s="32">
        <v>0</v>
      </c>
      <c r="AY238" s="32">
        <v>0</v>
      </c>
      <c r="AZ238" s="32">
        <v>0</v>
      </c>
      <c r="BA238" s="32">
        <v>0</v>
      </c>
      <c r="BB238" s="32">
        <v>0</v>
      </c>
      <c r="BC238" s="32">
        <v>0</v>
      </c>
      <c r="BD238" s="32">
        <v>0</v>
      </c>
      <c r="BE238" s="32">
        <v>0</v>
      </c>
      <c r="BF238" s="32">
        <v>0</v>
      </c>
      <c r="BG238" s="32">
        <v>0</v>
      </c>
      <c r="BH238" s="32">
        <v>0</v>
      </c>
      <c r="BI238" s="32">
        <v>0</v>
      </c>
      <c r="BJ238" s="32">
        <v>0</v>
      </c>
      <c r="BK238" s="32">
        <v>0</v>
      </c>
      <c r="BL238" s="32">
        <v>0</v>
      </c>
      <c r="BM238" s="32">
        <v>0</v>
      </c>
      <c r="BN238" s="32">
        <v>0</v>
      </c>
      <c r="BO238" s="32">
        <v>0</v>
      </c>
      <c r="BP238" s="32">
        <v>0</v>
      </c>
      <c r="BQ238" s="32">
        <v>0</v>
      </c>
      <c r="BR238" s="32">
        <v>0</v>
      </c>
      <c r="BS238" s="32">
        <v>0</v>
      </c>
      <c r="BT238" s="32">
        <v>0</v>
      </c>
      <c r="BU238" s="32">
        <v>0</v>
      </c>
      <c r="BV238" s="32">
        <v>0</v>
      </c>
      <c r="BW238" s="32">
        <v>0</v>
      </c>
      <c r="BX238" s="32">
        <v>0</v>
      </c>
      <c r="BY238" s="32">
        <v>0</v>
      </c>
      <c r="BZ238" s="32">
        <v>0</v>
      </c>
      <c r="CA238" s="32">
        <v>0</v>
      </c>
      <c r="CB238" s="32">
        <v>0</v>
      </c>
      <c r="CC238" s="32">
        <v>0</v>
      </c>
      <c r="CD238" s="32">
        <v>0</v>
      </c>
      <c r="CE238" s="32">
        <v>0</v>
      </c>
      <c r="CF238" s="32">
        <v>0</v>
      </c>
      <c r="CG238" s="32">
        <v>0</v>
      </c>
      <c r="CH238" s="32">
        <v>0</v>
      </c>
      <c r="CI238" s="32">
        <v>0</v>
      </c>
      <c r="CJ238" s="32">
        <v>0</v>
      </c>
      <c r="CK238" s="32">
        <v>0</v>
      </c>
      <c r="CL238" s="32">
        <v>0</v>
      </c>
      <c r="CM238" s="32">
        <v>0</v>
      </c>
      <c r="CN238" s="32">
        <v>0</v>
      </c>
      <c r="CO238" s="32">
        <v>0</v>
      </c>
      <c r="CP238" s="32">
        <v>0</v>
      </c>
      <c r="CQ238" s="32">
        <v>0</v>
      </c>
      <c r="CR238" s="32">
        <v>0</v>
      </c>
      <c r="CS238" s="32">
        <v>0</v>
      </c>
      <c r="CT238" s="32">
        <v>0</v>
      </c>
      <c r="CU238" s="32">
        <v>0</v>
      </c>
      <c r="CV238" s="32">
        <v>0</v>
      </c>
      <c r="CW238" s="32">
        <v>0</v>
      </c>
      <c r="CX238" s="32">
        <v>0</v>
      </c>
      <c r="CY238" s="32">
        <v>0</v>
      </c>
      <c r="CZ238" s="32">
        <v>0</v>
      </c>
      <c r="DA238" s="32">
        <v>0</v>
      </c>
      <c r="DB238" s="32">
        <v>0</v>
      </c>
      <c r="DC238" s="32">
        <v>0</v>
      </c>
      <c r="DD238" s="32">
        <v>0</v>
      </c>
      <c r="DE238" s="32">
        <v>0</v>
      </c>
      <c r="DF238" s="32">
        <v>0</v>
      </c>
      <c r="DG238" s="32">
        <v>0</v>
      </c>
      <c r="DH238" s="32">
        <v>0</v>
      </c>
      <c r="DI238" s="32">
        <v>0</v>
      </c>
      <c r="DJ238" s="32">
        <v>0</v>
      </c>
      <c r="DK238" s="32">
        <v>0</v>
      </c>
      <c r="DL238" s="32">
        <v>0</v>
      </c>
      <c r="DM238" s="32">
        <v>0</v>
      </c>
      <c r="DN238" s="32">
        <v>0</v>
      </c>
      <c r="DO238" s="32">
        <v>0</v>
      </c>
      <c r="DP238" s="32">
        <v>0</v>
      </c>
      <c r="DQ238" s="32">
        <v>0</v>
      </c>
      <c r="DR238" s="32">
        <v>0</v>
      </c>
      <c r="DS238" s="32">
        <v>0</v>
      </c>
      <c r="DT238" s="32">
        <v>0</v>
      </c>
      <c r="DU238" s="32">
        <v>0</v>
      </c>
      <c r="DV238" s="32">
        <v>0</v>
      </c>
      <c r="DW238" s="32">
        <v>0</v>
      </c>
      <c r="DX238" s="32">
        <v>0</v>
      </c>
      <c r="DY238" s="32">
        <v>0</v>
      </c>
      <c r="DZ238" s="32">
        <v>0</v>
      </c>
      <c r="EA238" s="32">
        <v>0</v>
      </c>
      <c r="EB238" s="32">
        <v>0</v>
      </c>
      <c r="EC238" s="32">
        <v>0</v>
      </c>
      <c r="ED238" s="32">
        <v>0</v>
      </c>
      <c r="EE238" s="32">
        <v>0</v>
      </c>
      <c r="EF238" s="32">
        <v>0</v>
      </c>
      <c r="EG238" s="32">
        <v>0</v>
      </c>
      <c r="EH238" s="32">
        <v>0</v>
      </c>
      <c r="EI238" s="32">
        <v>0</v>
      </c>
      <c r="EJ238" s="32">
        <v>0</v>
      </c>
      <c r="EK238" s="32">
        <v>0</v>
      </c>
      <c r="EL238" s="32">
        <v>0</v>
      </c>
      <c r="EM238" s="32">
        <v>0</v>
      </c>
      <c r="EN238" s="32">
        <v>0</v>
      </c>
      <c r="EO238" s="32">
        <v>0</v>
      </c>
      <c r="EP238" s="32">
        <v>0</v>
      </c>
      <c r="EQ238" s="32">
        <v>0</v>
      </c>
      <c r="ER238" s="32">
        <v>0</v>
      </c>
      <c r="ES238" s="32">
        <v>0</v>
      </c>
      <c r="ET238" s="32">
        <v>0</v>
      </c>
      <c r="EU238" s="32">
        <v>0</v>
      </c>
      <c r="EV238" s="32">
        <v>0</v>
      </c>
      <c r="EW238" s="32">
        <v>0</v>
      </c>
      <c r="EX238" s="32">
        <v>0</v>
      </c>
      <c r="EY238" s="32">
        <v>0</v>
      </c>
      <c r="EZ238" s="32">
        <v>0</v>
      </c>
      <c r="FA238" s="32">
        <v>0</v>
      </c>
      <c r="FB238" s="32">
        <v>0</v>
      </c>
      <c r="FC238" s="32">
        <v>0</v>
      </c>
      <c r="FD238" s="32">
        <v>0</v>
      </c>
      <c r="FE238" s="32">
        <v>0</v>
      </c>
      <c r="FF238" s="32">
        <v>0</v>
      </c>
      <c r="FG238" s="32">
        <v>983.74112996951897</v>
      </c>
      <c r="FH238" s="32">
        <v>0</v>
      </c>
      <c r="FI238" s="32">
        <v>0</v>
      </c>
      <c r="FJ238" s="32">
        <v>0</v>
      </c>
      <c r="FK238" s="32">
        <v>0</v>
      </c>
      <c r="FL238" s="32">
        <v>0</v>
      </c>
      <c r="FM238" s="32">
        <v>120.17666551000001</v>
      </c>
      <c r="FN238" s="32">
        <v>0</v>
      </c>
      <c r="FO238" s="32">
        <v>0</v>
      </c>
      <c r="FP238" s="32">
        <v>0</v>
      </c>
      <c r="FQ238" s="32">
        <v>0</v>
      </c>
      <c r="FR238" s="32">
        <v>0</v>
      </c>
      <c r="FS238" s="32">
        <v>0</v>
      </c>
      <c r="FT238" s="32">
        <v>0</v>
      </c>
      <c r="FU238" s="32">
        <v>0</v>
      </c>
      <c r="FV238" s="32">
        <v>0</v>
      </c>
      <c r="FW238" s="32">
        <v>0</v>
      </c>
      <c r="FX238" s="32">
        <v>309.63763745988899</v>
      </c>
      <c r="FY238" s="32">
        <v>0</v>
      </c>
      <c r="FZ238" s="32">
        <v>0</v>
      </c>
      <c r="GA238" s="32">
        <v>0</v>
      </c>
      <c r="GB238" s="32">
        <v>0</v>
      </c>
      <c r="GC238" s="32">
        <v>0</v>
      </c>
      <c r="GD238" s="32">
        <v>0</v>
      </c>
      <c r="GE238" s="32">
        <v>0</v>
      </c>
      <c r="GF238" s="32">
        <v>0</v>
      </c>
      <c r="GG238" s="32">
        <v>0</v>
      </c>
      <c r="GH238" s="32">
        <v>0</v>
      </c>
      <c r="GI238" s="32">
        <v>0</v>
      </c>
      <c r="GJ238" s="32">
        <v>0</v>
      </c>
      <c r="GK238" s="32">
        <v>0</v>
      </c>
      <c r="GL238" s="32">
        <v>0</v>
      </c>
      <c r="GM238" s="32">
        <v>0</v>
      </c>
      <c r="GN238" s="32">
        <v>0</v>
      </c>
      <c r="GO238" s="32">
        <v>0</v>
      </c>
      <c r="GP238" s="32">
        <v>0</v>
      </c>
      <c r="GQ238" s="32">
        <v>1413.5554329394079</v>
      </c>
      <c r="GR238" s="31"/>
      <c r="GS238" s="33"/>
      <c r="GT238" s="33"/>
      <c r="GU238" s="33"/>
      <c r="GV238" s="33"/>
      <c r="GW238" s="33"/>
      <c r="GX238" s="33"/>
      <c r="GY238" s="33"/>
      <c r="GZ238" s="33"/>
      <c r="HA238" s="5"/>
      <c r="HB238" s="5"/>
      <c r="HC238" s="5"/>
    </row>
    <row r="239" spans="2:211" s="7" customFormat="1" ht="17.25" customHeight="1">
      <c r="B239" s="12" t="s">
        <v>729</v>
      </c>
      <c r="C239" s="13" t="s">
        <v>730</v>
      </c>
      <c r="D239" s="32">
        <v>36.858011991550804</v>
      </c>
      <c r="E239" s="32">
        <v>61.913041474336403</v>
      </c>
      <c r="F239" s="32">
        <v>113.585577069976</v>
      </c>
      <c r="G239" s="32">
        <v>3.0477770302782101</v>
      </c>
      <c r="H239" s="32">
        <v>24.049865792077899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13.172518703928301</v>
      </c>
      <c r="P239" s="32">
        <v>10.310425856238901</v>
      </c>
      <c r="Q239" s="32">
        <v>164.32284358831399</v>
      </c>
      <c r="R239" s="32">
        <v>34.229012124701804</v>
      </c>
      <c r="S239" s="32">
        <v>331.11123888310499</v>
      </c>
      <c r="T239" s="32">
        <v>41.685193938968297</v>
      </c>
      <c r="U239" s="32">
        <v>0</v>
      </c>
      <c r="V239" s="32">
        <v>1.4130861664537999</v>
      </c>
      <c r="W239" s="32">
        <v>27.509176266675201</v>
      </c>
      <c r="X239" s="32">
        <v>6.1702991373349798</v>
      </c>
      <c r="Y239" s="32">
        <v>0</v>
      </c>
      <c r="Z239" s="32">
        <v>0</v>
      </c>
      <c r="AA239" s="32">
        <v>26.9281604040175</v>
      </c>
      <c r="AB239" s="32">
        <v>1.1491256854723999</v>
      </c>
      <c r="AC239" s="32">
        <v>84.039570586284</v>
      </c>
      <c r="AD239" s="32">
        <v>6.15059125332637</v>
      </c>
      <c r="AE239" s="32">
        <v>0</v>
      </c>
      <c r="AF239" s="32">
        <v>987.94868259989698</v>
      </c>
      <c r="AG239" s="32">
        <v>125.102417444997</v>
      </c>
      <c r="AH239" s="32">
        <v>0</v>
      </c>
      <c r="AI239" s="32">
        <v>10.761152903488799</v>
      </c>
      <c r="AJ239" s="32">
        <v>9.2554775546036296</v>
      </c>
      <c r="AK239" s="32">
        <v>0</v>
      </c>
      <c r="AL239" s="32">
        <v>649.71882074770497</v>
      </c>
      <c r="AM239" s="32">
        <v>48.708486160069299</v>
      </c>
      <c r="AN239" s="32">
        <v>106.966403763559</v>
      </c>
      <c r="AO239" s="32">
        <v>52.690318893955201</v>
      </c>
      <c r="AP239" s="32">
        <v>0</v>
      </c>
      <c r="AQ239" s="32">
        <v>10.6445501959564</v>
      </c>
      <c r="AR239" s="32">
        <v>0</v>
      </c>
      <c r="AS239" s="32">
        <v>0</v>
      </c>
      <c r="AT239" s="32">
        <v>15469.309684800999</v>
      </c>
      <c r="AU239" s="32">
        <v>1175.36684504955</v>
      </c>
      <c r="AV239" s="32">
        <v>1500.5689865520101</v>
      </c>
      <c r="AW239" s="32">
        <v>2754.34748955643</v>
      </c>
      <c r="AX239" s="32">
        <v>4907.2472802483699</v>
      </c>
      <c r="AY239" s="32">
        <v>0.42165574791796001</v>
      </c>
      <c r="AZ239" s="32">
        <v>57.9103933585235</v>
      </c>
      <c r="BA239" s="32">
        <v>84.406634381825697</v>
      </c>
      <c r="BB239" s="32">
        <v>26.5751567180073</v>
      </c>
      <c r="BC239" s="32">
        <v>398.17469731087601</v>
      </c>
      <c r="BD239" s="32">
        <v>21.770182500534801</v>
      </c>
      <c r="BE239" s="32">
        <v>1341.18388275394</v>
      </c>
      <c r="BF239" s="32">
        <v>56.599475827637697</v>
      </c>
      <c r="BG239" s="32">
        <v>25.164798557275599</v>
      </c>
      <c r="BH239" s="32">
        <v>608.80691942098895</v>
      </c>
      <c r="BI239" s="32">
        <v>26.280534136247802</v>
      </c>
      <c r="BJ239" s="32">
        <v>115.094483539489</v>
      </c>
      <c r="BK239" s="32">
        <v>0</v>
      </c>
      <c r="BL239" s="32">
        <v>106.321275813936</v>
      </c>
      <c r="BM239" s="32">
        <v>6.274569028498</v>
      </c>
      <c r="BN239" s="32">
        <v>66.141186649732106</v>
      </c>
      <c r="BO239" s="32">
        <v>88.420266404694601</v>
      </c>
      <c r="BP239" s="32">
        <v>4.5832172305947996</v>
      </c>
      <c r="BQ239" s="32">
        <v>186.10158470565699</v>
      </c>
      <c r="BR239" s="32">
        <v>105.530634169386</v>
      </c>
      <c r="BS239" s="32">
        <v>216.806658532554</v>
      </c>
      <c r="BT239" s="32">
        <v>0</v>
      </c>
      <c r="BU239" s="32">
        <v>292.92498320734597</v>
      </c>
      <c r="BV239" s="32">
        <v>155.96961256329101</v>
      </c>
      <c r="BW239" s="32">
        <v>55.9768169402859</v>
      </c>
      <c r="BX239" s="32">
        <v>265.14642071961498</v>
      </c>
      <c r="BY239" s="32">
        <v>229.446131935219</v>
      </c>
      <c r="BZ239" s="32">
        <v>6.1566130505267997</v>
      </c>
      <c r="CA239" s="32">
        <v>433.17304578801202</v>
      </c>
      <c r="CB239" s="32">
        <v>423.98735909976</v>
      </c>
      <c r="CC239" s="32">
        <v>7.5326523619262202</v>
      </c>
      <c r="CD239" s="32">
        <v>937.99213317923204</v>
      </c>
      <c r="CE239" s="32">
        <v>366.947440165182</v>
      </c>
      <c r="CF239" s="32">
        <v>0</v>
      </c>
      <c r="CG239" s="32">
        <v>90.167991316722393</v>
      </c>
      <c r="CH239" s="32">
        <v>78.502910248933802</v>
      </c>
      <c r="CI239" s="32">
        <v>168.49500041817501</v>
      </c>
      <c r="CJ239" s="32">
        <v>56.912415533304703</v>
      </c>
      <c r="CK239" s="32">
        <v>46.256026572645901</v>
      </c>
      <c r="CL239" s="32">
        <v>70.324696318645607</v>
      </c>
      <c r="CM239" s="32">
        <v>1117.7017695534901</v>
      </c>
      <c r="CN239" s="32">
        <v>40.950019229707898</v>
      </c>
      <c r="CO239" s="32">
        <v>145.93319786649701</v>
      </c>
      <c r="CP239" s="32">
        <v>520.14610350974397</v>
      </c>
      <c r="CQ239" s="32">
        <v>30.849613227351799</v>
      </c>
      <c r="CR239" s="32">
        <v>99.099594078562305</v>
      </c>
      <c r="CS239" s="32">
        <v>46.473810657108501</v>
      </c>
      <c r="CT239" s="32">
        <v>108.35156614976199</v>
      </c>
      <c r="CU239" s="32">
        <v>37.896605189626001</v>
      </c>
      <c r="CV239" s="32">
        <v>18.216197889210299</v>
      </c>
      <c r="CW239" s="32">
        <v>81.896029627559599</v>
      </c>
      <c r="CX239" s="32">
        <v>16.101182765000601</v>
      </c>
      <c r="CY239" s="32">
        <v>68.707843090335999</v>
      </c>
      <c r="CZ239" s="32">
        <v>7.7310940620933302</v>
      </c>
      <c r="DA239" s="32">
        <v>174.657746422993</v>
      </c>
      <c r="DB239" s="32">
        <v>187.16869775403299</v>
      </c>
      <c r="DC239" s="32">
        <v>8.6487558841348093</v>
      </c>
      <c r="DD239" s="32">
        <v>0</v>
      </c>
      <c r="DE239" s="32">
        <v>0</v>
      </c>
      <c r="DF239" s="32">
        <v>33.130511423986903</v>
      </c>
      <c r="DG239" s="32">
        <v>364.65339205319702</v>
      </c>
      <c r="DH239" s="32">
        <v>249.55399470137601</v>
      </c>
      <c r="DI239" s="32">
        <v>49.196429651013702</v>
      </c>
      <c r="DJ239" s="32">
        <v>1822.4867855001701</v>
      </c>
      <c r="DK239" s="32">
        <v>11.124509955941599</v>
      </c>
      <c r="DL239" s="32">
        <v>224.17964996802399</v>
      </c>
      <c r="DM239" s="32">
        <v>13.447753163927899</v>
      </c>
      <c r="DN239" s="32">
        <v>251.48499300934699</v>
      </c>
      <c r="DO239" s="32">
        <v>36.472784356559799</v>
      </c>
      <c r="DP239" s="32">
        <v>0</v>
      </c>
      <c r="DQ239" s="32">
        <v>132.11350448093799</v>
      </c>
      <c r="DR239" s="32">
        <v>348.27496473526099</v>
      </c>
      <c r="DS239" s="32">
        <v>204.53362825066</v>
      </c>
      <c r="DT239" s="32">
        <v>4.9425031884725499</v>
      </c>
      <c r="DU239" s="32">
        <v>269.55413577771401</v>
      </c>
      <c r="DV239" s="32">
        <v>185.47456163914899</v>
      </c>
      <c r="DW239" s="32">
        <v>0</v>
      </c>
      <c r="DX239" s="32">
        <v>87.324134833424196</v>
      </c>
      <c r="DY239" s="32">
        <v>342.82229448203799</v>
      </c>
      <c r="DZ239" s="32">
        <v>1342.6266213027</v>
      </c>
      <c r="EA239" s="32">
        <v>2.62840921709775</v>
      </c>
      <c r="EB239" s="32">
        <v>83.118340758239398</v>
      </c>
      <c r="EC239" s="32">
        <v>422.32740745027201</v>
      </c>
      <c r="ED239" s="32">
        <v>153.928767818632</v>
      </c>
      <c r="EE239" s="32">
        <v>106.996716212824</v>
      </c>
      <c r="EF239" s="32">
        <v>255.988349118109</v>
      </c>
      <c r="EG239" s="32">
        <v>12.9798332753066</v>
      </c>
      <c r="EH239" s="32">
        <v>28.7109431199349</v>
      </c>
      <c r="EI239" s="32">
        <v>11.375804236611501</v>
      </c>
      <c r="EJ239" s="32">
        <v>104.313787957749</v>
      </c>
      <c r="EK239" s="32">
        <v>7.0612660837135302</v>
      </c>
      <c r="EL239" s="32">
        <v>131.07839241913999</v>
      </c>
      <c r="EM239" s="32">
        <v>3.5176923584385</v>
      </c>
      <c r="EN239" s="32">
        <v>41.896191512247903</v>
      </c>
      <c r="EO239" s="32">
        <v>34.100759906221597</v>
      </c>
      <c r="EP239" s="32">
        <v>0</v>
      </c>
      <c r="EQ239" s="32">
        <v>10.878745239528801</v>
      </c>
      <c r="ER239" s="32">
        <v>182.080832004743</v>
      </c>
      <c r="ES239" s="32">
        <v>500.81181873858299</v>
      </c>
      <c r="ET239" s="32">
        <v>373.76265791800199</v>
      </c>
      <c r="EU239" s="32">
        <v>2.54826246634416</v>
      </c>
      <c r="EV239" s="32">
        <v>104.30952688442299</v>
      </c>
      <c r="EW239" s="32">
        <v>398.04271530324098</v>
      </c>
      <c r="EX239" s="32">
        <v>1015.8150740377901</v>
      </c>
      <c r="EY239" s="32">
        <v>707.15410822754802</v>
      </c>
      <c r="EZ239" s="32">
        <v>768.24619235804005</v>
      </c>
      <c r="FA239" s="32">
        <v>258.059116814709</v>
      </c>
      <c r="FB239" s="32">
        <v>122.38387416717499</v>
      </c>
      <c r="FC239" s="32">
        <v>1000.70053997822</v>
      </c>
      <c r="FD239" s="32">
        <v>640.68621629313498</v>
      </c>
      <c r="FE239" s="32">
        <v>57.857307845420301</v>
      </c>
      <c r="FF239" s="32">
        <v>231.50875203515901</v>
      </c>
      <c r="FG239" s="32">
        <v>4364.2887301437404</v>
      </c>
      <c r="FH239" s="32">
        <v>124.677663532439</v>
      </c>
      <c r="FI239" s="32">
        <v>2024.61384146555</v>
      </c>
      <c r="FJ239" s="32">
        <v>383.52823264354498</v>
      </c>
      <c r="FK239" s="32">
        <v>134.71183045433099</v>
      </c>
      <c r="FL239" s="32">
        <v>1245.0828169146801</v>
      </c>
      <c r="FM239" s="32">
        <v>26.968524971621299</v>
      </c>
      <c r="FN239" s="32">
        <v>170.768737481324</v>
      </c>
      <c r="FO239" s="32">
        <v>4.65279786902585</v>
      </c>
      <c r="FP239" s="32">
        <v>1791.4107561727301</v>
      </c>
      <c r="FQ239" s="32">
        <v>548.79078368059504</v>
      </c>
      <c r="FR239" s="32">
        <v>18.105628772000198</v>
      </c>
      <c r="FS239" s="32">
        <v>490.86940638227298</v>
      </c>
      <c r="FT239" s="32">
        <v>2753.3080529321901</v>
      </c>
      <c r="FU239" s="32">
        <v>4646.2033695997898</v>
      </c>
      <c r="FV239" s="32">
        <v>110.920106786734</v>
      </c>
      <c r="FW239" s="32">
        <v>592.83532199068395</v>
      </c>
      <c r="FX239" s="32">
        <v>6539.4342921934003</v>
      </c>
      <c r="FY239" s="32">
        <v>333.72584243513501</v>
      </c>
      <c r="FZ239" s="32">
        <v>609.72920940337599</v>
      </c>
      <c r="GA239" s="32">
        <v>14710.995470838299</v>
      </c>
      <c r="GB239" s="32">
        <v>769.39710742298405</v>
      </c>
      <c r="GC239" s="32">
        <v>779.90585880492199</v>
      </c>
      <c r="GD239" s="32">
        <v>652.11288590595404</v>
      </c>
      <c r="GE239" s="32">
        <v>1653.7888366785901</v>
      </c>
      <c r="GF239" s="32">
        <v>355.802069974738</v>
      </c>
      <c r="GG239" s="32">
        <v>0</v>
      </c>
      <c r="GH239" s="32">
        <v>492.89378447873997</v>
      </c>
      <c r="GI239" s="32">
        <v>0</v>
      </c>
      <c r="GJ239" s="32">
        <v>217.84959713323499</v>
      </c>
      <c r="GK239" s="32">
        <v>-1.2079226507921699E-12</v>
      </c>
      <c r="GL239" s="32">
        <v>880.49894333132795</v>
      </c>
      <c r="GM239" s="32">
        <v>3062.7971754938999</v>
      </c>
      <c r="GN239" s="32">
        <v>244.78739157444201</v>
      </c>
      <c r="GO239" s="32">
        <v>71.827110486534806</v>
      </c>
      <c r="GP239" s="32">
        <v>0</v>
      </c>
      <c r="GQ239" s="32">
        <v>103290.9195314137</v>
      </c>
      <c r="GR239" s="31"/>
      <c r="GS239" s="33"/>
      <c r="GT239" s="33"/>
      <c r="GU239" s="33"/>
      <c r="GV239" s="33"/>
      <c r="GW239" s="33"/>
      <c r="GX239" s="33"/>
      <c r="GY239" s="33"/>
      <c r="GZ239" s="33"/>
      <c r="HA239" s="5"/>
      <c r="HB239" s="5"/>
      <c r="HC239" s="5"/>
    </row>
    <row r="240" spans="2:211" s="7" customFormat="1" ht="17.25" customHeight="1">
      <c r="B240" s="12" t="s">
        <v>731</v>
      </c>
      <c r="C240" s="13" t="s">
        <v>732</v>
      </c>
      <c r="D240" s="32">
        <v>289.70682612024399</v>
      </c>
      <c r="E240" s="32">
        <v>385.93958508997099</v>
      </c>
      <c r="F240" s="32">
        <v>848.32324890970995</v>
      </c>
      <c r="G240" s="32">
        <v>204.23598947985801</v>
      </c>
      <c r="H240" s="32">
        <v>410.84818437751898</v>
      </c>
      <c r="I240" s="32">
        <v>839.10228385737696</v>
      </c>
      <c r="J240" s="32">
        <v>165.891162641942</v>
      </c>
      <c r="K240" s="32">
        <v>32.855195692792599</v>
      </c>
      <c r="L240" s="32">
        <v>261.08509841891498</v>
      </c>
      <c r="M240" s="32">
        <v>2128.6802272946502</v>
      </c>
      <c r="N240" s="32">
        <v>333.93787856823002</v>
      </c>
      <c r="O240" s="32">
        <v>261.11524288961601</v>
      </c>
      <c r="P240" s="32">
        <v>19.606123719617099</v>
      </c>
      <c r="Q240" s="32">
        <v>856.31934423570704</v>
      </c>
      <c r="R240" s="32">
        <v>506.01795299427403</v>
      </c>
      <c r="S240" s="32">
        <v>1569.13832787559</v>
      </c>
      <c r="T240" s="32">
        <v>34.198683924555901</v>
      </c>
      <c r="U240" s="32">
        <v>124.68341372926901</v>
      </c>
      <c r="V240" s="32">
        <v>3.8608900942978299</v>
      </c>
      <c r="W240" s="32">
        <v>75.135967270162794</v>
      </c>
      <c r="X240" s="32">
        <v>106.274936980177</v>
      </c>
      <c r="Y240" s="32">
        <v>33.813264143354402</v>
      </c>
      <c r="Z240" s="32">
        <v>133.273944998394</v>
      </c>
      <c r="AA240" s="32">
        <v>20.0115415508734</v>
      </c>
      <c r="AB240" s="32">
        <v>0.170002503491438</v>
      </c>
      <c r="AC240" s="32">
        <v>336.65126365797403</v>
      </c>
      <c r="AD240" s="32">
        <v>0.91319022717783305</v>
      </c>
      <c r="AE240" s="32">
        <v>1770.8090212643499</v>
      </c>
      <c r="AF240" s="32">
        <v>2609.0200520097801</v>
      </c>
      <c r="AG240" s="32">
        <v>591.15635476588795</v>
      </c>
      <c r="AH240" s="32">
        <v>80.851017036773598</v>
      </c>
      <c r="AI240" s="32">
        <v>156.23127729772401</v>
      </c>
      <c r="AJ240" s="32">
        <v>3.8950948498956</v>
      </c>
      <c r="AK240" s="32">
        <v>156.15019524518999</v>
      </c>
      <c r="AL240" s="32">
        <v>1421.77075875216</v>
      </c>
      <c r="AM240" s="32">
        <v>17.9332910300324</v>
      </c>
      <c r="AN240" s="32">
        <v>45.872835120064501</v>
      </c>
      <c r="AO240" s="32">
        <v>25.121563999999999</v>
      </c>
      <c r="AP240" s="32">
        <v>73.316667996324298</v>
      </c>
      <c r="AQ240" s="32">
        <v>92.496925806200295</v>
      </c>
      <c r="AR240" s="32">
        <v>11.447958692694799</v>
      </c>
      <c r="AS240" s="32">
        <v>1.0393699993013199</v>
      </c>
      <c r="AT240" s="32">
        <v>0</v>
      </c>
      <c r="AU240" s="32">
        <v>0</v>
      </c>
      <c r="AV240" s="32">
        <v>0</v>
      </c>
      <c r="AW240" s="32">
        <v>15</v>
      </c>
      <c r="AX240" s="32">
        <v>0</v>
      </c>
      <c r="AY240" s="32">
        <v>0</v>
      </c>
      <c r="AZ240" s="32">
        <v>0</v>
      </c>
      <c r="BA240" s="32">
        <v>1.4194976800717001</v>
      </c>
      <c r="BB240" s="32">
        <v>0</v>
      </c>
      <c r="BC240" s="32">
        <v>79</v>
      </c>
      <c r="BD240" s="32">
        <v>0</v>
      </c>
      <c r="BE240" s="32">
        <v>297.83964551155998</v>
      </c>
      <c r="BF240" s="32">
        <v>354.69501406994499</v>
      </c>
      <c r="BG240" s="32">
        <v>108.953010842916</v>
      </c>
      <c r="BH240" s="32">
        <v>230.51355108904599</v>
      </c>
      <c r="BI240" s="32">
        <v>0</v>
      </c>
      <c r="BJ240" s="32">
        <v>24.1665198763428</v>
      </c>
      <c r="BK240" s="32">
        <v>24.737875204279099</v>
      </c>
      <c r="BL240" s="32">
        <v>0</v>
      </c>
      <c r="BM240" s="32">
        <v>0</v>
      </c>
      <c r="BN240" s="32">
        <v>3.1446473892230502</v>
      </c>
      <c r="BO240" s="32">
        <v>40.540063197465201</v>
      </c>
      <c r="BP240" s="32">
        <v>21.009170211202701</v>
      </c>
      <c r="BQ240" s="32">
        <v>0</v>
      </c>
      <c r="BR240" s="32">
        <v>0</v>
      </c>
      <c r="BS240" s="32">
        <v>0</v>
      </c>
      <c r="BT240" s="32">
        <v>1232.5176127254001</v>
      </c>
      <c r="BU240" s="32">
        <v>0</v>
      </c>
      <c r="BV240" s="32">
        <v>47.350447516297201</v>
      </c>
      <c r="BW240" s="32">
        <v>0</v>
      </c>
      <c r="BX240" s="32">
        <v>106.483695426097</v>
      </c>
      <c r="BY240" s="32">
        <v>201.74748009735501</v>
      </c>
      <c r="BZ240" s="32">
        <v>0</v>
      </c>
      <c r="CA240" s="32">
        <v>2.06859645338454</v>
      </c>
      <c r="CB240" s="32">
        <v>1.08173344568421</v>
      </c>
      <c r="CC240" s="32">
        <v>0</v>
      </c>
      <c r="CD240" s="32">
        <v>0</v>
      </c>
      <c r="CE240" s="32">
        <v>0</v>
      </c>
      <c r="CF240" s="32">
        <v>0</v>
      </c>
      <c r="CG240" s="32">
        <v>21.848443984985401</v>
      </c>
      <c r="CH240" s="32">
        <v>39.177555084228501</v>
      </c>
      <c r="CI240" s="32">
        <v>117.471025751463</v>
      </c>
      <c r="CJ240" s="32">
        <v>2.56597083217516</v>
      </c>
      <c r="CK240" s="32">
        <v>0.18896426965476901</v>
      </c>
      <c r="CL240" s="32">
        <v>4.9907365160380097</v>
      </c>
      <c r="CM240" s="32">
        <v>82.148933410644503</v>
      </c>
      <c r="CN240" s="32">
        <v>12.866705</v>
      </c>
      <c r="CO240" s="32">
        <v>0.55986000000000002</v>
      </c>
      <c r="CP240" s="32">
        <v>36.986282348632798</v>
      </c>
      <c r="CQ240" s="32">
        <v>0</v>
      </c>
      <c r="CR240" s="32">
        <v>2.1376981066516798</v>
      </c>
      <c r="CS240" s="32">
        <v>10.619417015401901</v>
      </c>
      <c r="CT240" s="32">
        <v>1097.8715902249501</v>
      </c>
      <c r="CU240" s="32">
        <v>28.1173411305275</v>
      </c>
      <c r="CV240" s="32">
        <v>9.14782677299781</v>
      </c>
      <c r="CW240" s="32">
        <v>78.258918811527593</v>
      </c>
      <c r="CX240" s="32">
        <v>22.362372488438901</v>
      </c>
      <c r="CY240" s="32">
        <v>24.376345544909501</v>
      </c>
      <c r="CZ240" s="32">
        <v>2.6588344453922499</v>
      </c>
      <c r="DA240" s="32">
        <v>106.205027915892</v>
      </c>
      <c r="DB240" s="32">
        <v>0</v>
      </c>
      <c r="DC240" s="32">
        <v>99.910248860166902</v>
      </c>
      <c r="DD240" s="32">
        <v>23.686702708593099</v>
      </c>
      <c r="DE240" s="32">
        <v>0</v>
      </c>
      <c r="DF240" s="32">
        <v>0</v>
      </c>
      <c r="DG240" s="32">
        <v>0</v>
      </c>
      <c r="DH240" s="32">
        <v>113.18488748532999</v>
      </c>
      <c r="DI240" s="32">
        <v>5.9085133697240604</v>
      </c>
      <c r="DJ240" s="32">
        <v>0</v>
      </c>
      <c r="DK240" s="32">
        <v>0</v>
      </c>
      <c r="DL240" s="32">
        <v>0</v>
      </c>
      <c r="DM240" s="32">
        <v>0</v>
      </c>
      <c r="DN240" s="32">
        <v>0</v>
      </c>
      <c r="DO240" s="32">
        <v>0</v>
      </c>
      <c r="DP240" s="32">
        <v>0</v>
      </c>
      <c r="DQ240" s="32">
        <v>0</v>
      </c>
      <c r="DR240" s="32">
        <v>8.6783092915481799</v>
      </c>
      <c r="DS240" s="32">
        <v>7.8496324178702999</v>
      </c>
      <c r="DT240" s="32">
        <v>0</v>
      </c>
      <c r="DU240" s="32">
        <v>0</v>
      </c>
      <c r="DV240" s="32">
        <v>0</v>
      </c>
      <c r="DW240" s="32">
        <v>0</v>
      </c>
      <c r="DX240" s="32">
        <v>24.023439051547001</v>
      </c>
      <c r="DY240" s="32">
        <v>350.35322609420098</v>
      </c>
      <c r="DZ240" s="32">
        <v>0</v>
      </c>
      <c r="EA240" s="32">
        <v>0</v>
      </c>
      <c r="EB240" s="32">
        <v>10.4282681395177</v>
      </c>
      <c r="EC240" s="32">
        <v>49.506195711697103</v>
      </c>
      <c r="ED240" s="32">
        <v>0</v>
      </c>
      <c r="EE240" s="32">
        <v>0</v>
      </c>
      <c r="EF240" s="32">
        <v>7.0101000000000004</v>
      </c>
      <c r="EG240" s="32">
        <v>0</v>
      </c>
      <c r="EH240" s="32">
        <v>0</v>
      </c>
      <c r="EI240" s="32">
        <v>0</v>
      </c>
      <c r="EJ240" s="32">
        <v>101</v>
      </c>
      <c r="EK240" s="32">
        <v>3.4048635700790402</v>
      </c>
      <c r="EL240" s="32">
        <v>3.0185289337108099</v>
      </c>
      <c r="EM240" s="32">
        <v>1.30146032679443</v>
      </c>
      <c r="EN240" s="32">
        <v>5.8456318578301998</v>
      </c>
      <c r="EO240" s="32">
        <v>0</v>
      </c>
      <c r="EP240" s="32">
        <v>0</v>
      </c>
      <c r="EQ240" s="32">
        <v>0</v>
      </c>
      <c r="ER240" s="32">
        <v>2.9612376201921302</v>
      </c>
      <c r="ES240" s="32">
        <v>282.35376144432098</v>
      </c>
      <c r="ET240" s="32">
        <v>189.77891318119001</v>
      </c>
      <c r="EU240" s="32">
        <v>1.17887417580924</v>
      </c>
      <c r="EV240" s="32">
        <v>60.7036459718041</v>
      </c>
      <c r="EW240" s="32">
        <v>225.64850030837201</v>
      </c>
      <c r="EX240" s="32">
        <v>0</v>
      </c>
      <c r="EY240" s="32">
        <v>0</v>
      </c>
      <c r="EZ240" s="32">
        <v>0</v>
      </c>
      <c r="FA240" s="32">
        <v>28.7831789885409</v>
      </c>
      <c r="FB240" s="32">
        <v>260.34369940945402</v>
      </c>
      <c r="FC240" s="32">
        <v>818.43537937628105</v>
      </c>
      <c r="FD240" s="32">
        <v>325.07921995947498</v>
      </c>
      <c r="FE240" s="32">
        <v>205</v>
      </c>
      <c r="FF240" s="32">
        <v>293.72665000000001</v>
      </c>
      <c r="FG240" s="32">
        <v>0</v>
      </c>
      <c r="FH240" s="32">
        <v>0</v>
      </c>
      <c r="FI240" s="32">
        <v>10788.065805237</v>
      </c>
      <c r="FJ240" s="32">
        <v>966.57404084820598</v>
      </c>
      <c r="FK240" s="32">
        <v>0</v>
      </c>
      <c r="FL240" s="32">
        <v>2524.9373526111199</v>
      </c>
      <c r="FM240" s="32">
        <v>4453.1014209852101</v>
      </c>
      <c r="FN240" s="32">
        <v>6.3359284031684302</v>
      </c>
      <c r="FO240" s="32">
        <v>3.1366961125312498</v>
      </c>
      <c r="FP240" s="32">
        <v>0</v>
      </c>
      <c r="FQ240" s="32">
        <v>23.201931635932802</v>
      </c>
      <c r="FR240" s="32">
        <v>0</v>
      </c>
      <c r="FS240" s="32">
        <v>66.755868700207103</v>
      </c>
      <c r="FT240" s="32">
        <v>6161.7027793201696</v>
      </c>
      <c r="FU240" s="32">
        <v>32.345404041254397</v>
      </c>
      <c r="FV240" s="32">
        <v>27.720383211756701</v>
      </c>
      <c r="FW240" s="32">
        <v>0</v>
      </c>
      <c r="FX240" s="32">
        <v>0</v>
      </c>
      <c r="FY240" s="32">
        <v>0</v>
      </c>
      <c r="FZ240" s="32">
        <v>27.0567190078864</v>
      </c>
      <c r="GA240" s="32">
        <v>3325.9282276315098</v>
      </c>
      <c r="GB240" s="32">
        <v>2475.01777205294</v>
      </c>
      <c r="GC240" s="32">
        <v>119.578145131501</v>
      </c>
      <c r="GD240" s="32">
        <v>1158.4310193264901</v>
      </c>
      <c r="GE240" s="32">
        <v>1476.34245885672</v>
      </c>
      <c r="GF240" s="32">
        <v>772.994339709163</v>
      </c>
      <c r="GG240" s="32">
        <v>0</v>
      </c>
      <c r="GH240" s="32">
        <v>69.785253835595995</v>
      </c>
      <c r="GI240" s="32">
        <v>0</v>
      </c>
      <c r="GJ240" s="32">
        <v>770.37164507694297</v>
      </c>
      <c r="GK240" s="32">
        <v>0</v>
      </c>
      <c r="GL240" s="32">
        <v>0</v>
      </c>
      <c r="GM240" s="32">
        <v>931.53344930210903</v>
      </c>
      <c r="GN240" s="32">
        <v>323.01602209422498</v>
      </c>
      <c r="GO240" s="32">
        <v>1090.0966725215601</v>
      </c>
      <c r="GP240" s="32">
        <v>0</v>
      </c>
      <c r="GQ240" s="32">
        <v>62634.862969410111</v>
      </c>
      <c r="GR240" s="31"/>
      <c r="GS240" s="33"/>
      <c r="GT240" s="33"/>
      <c r="GU240" s="33"/>
      <c r="GV240" s="33"/>
      <c r="GW240" s="33"/>
      <c r="GX240" s="33"/>
      <c r="GY240" s="33"/>
      <c r="GZ240" s="33"/>
      <c r="HA240" s="5"/>
      <c r="HB240" s="5"/>
      <c r="HC240" s="5"/>
    </row>
    <row r="241" spans="2:211" s="7" customFormat="1" ht="12" customHeight="1">
      <c r="B241" s="14" t="s">
        <v>733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</row>
  </sheetData>
  <mergeCells count="200">
    <mergeCell ref="GO12:GO13"/>
    <mergeCell ref="GP12:GP13"/>
    <mergeCell ref="GQ12:GQ13"/>
    <mergeCell ref="GR12:HB12"/>
    <mergeCell ref="HC12:HC13"/>
    <mergeCell ref="GI12:GI13"/>
    <mergeCell ref="GJ12:GJ13"/>
    <mergeCell ref="GK12:GK13"/>
    <mergeCell ref="GL12:GL13"/>
    <mergeCell ref="GM12:GM13"/>
    <mergeCell ref="GN12:GN13"/>
    <mergeCell ref="GC12:GC13"/>
    <mergeCell ref="GD12:GD13"/>
    <mergeCell ref="GE12:GE13"/>
    <mergeCell ref="GF12:GF13"/>
    <mergeCell ref="GG12:GG13"/>
    <mergeCell ref="GH12:GH13"/>
    <mergeCell ref="FW12:FW13"/>
    <mergeCell ref="FX12:FX13"/>
    <mergeCell ref="FY12:FY13"/>
    <mergeCell ref="FZ12:FZ13"/>
    <mergeCell ref="GA12:GA13"/>
    <mergeCell ref="GB12:GB13"/>
    <mergeCell ref="FQ12:FQ13"/>
    <mergeCell ref="FR12:FR13"/>
    <mergeCell ref="FS12:FS13"/>
    <mergeCell ref="FT12:FT13"/>
    <mergeCell ref="FU12:FU13"/>
    <mergeCell ref="FV12:FV13"/>
    <mergeCell ref="FK12:FK13"/>
    <mergeCell ref="FL12:FL13"/>
    <mergeCell ref="FM12:FM13"/>
    <mergeCell ref="FP12:FP13"/>
    <mergeCell ref="FN12:FO13"/>
    <mergeCell ref="FE12:FE13"/>
    <mergeCell ref="FF12:FF13"/>
    <mergeCell ref="FG12:FG13"/>
    <mergeCell ref="FH12:FH13"/>
    <mergeCell ref="FI12:FI13"/>
    <mergeCell ref="FJ12:FJ13"/>
    <mergeCell ref="EY12:EY13"/>
    <mergeCell ref="EZ12:EZ13"/>
    <mergeCell ref="FA12:FA13"/>
    <mergeCell ref="FB12:FB13"/>
    <mergeCell ref="FC12:FC13"/>
    <mergeCell ref="FD12:FD13"/>
    <mergeCell ref="ES12:ES13"/>
    <mergeCell ref="ET12:ET13"/>
    <mergeCell ref="EU12:EU13"/>
    <mergeCell ref="EV12:EV13"/>
    <mergeCell ref="EW12:EW13"/>
    <mergeCell ref="EX12:EX13"/>
    <mergeCell ref="EM12:EM13"/>
    <mergeCell ref="EN12:EN13"/>
    <mergeCell ref="EO12:EO13"/>
    <mergeCell ref="EP12:EP13"/>
    <mergeCell ref="EQ12:EQ13"/>
    <mergeCell ref="ER12:ER13"/>
    <mergeCell ref="EG12:EG13"/>
    <mergeCell ref="EH12:EH13"/>
    <mergeCell ref="EI12:EI13"/>
    <mergeCell ref="EJ12:EJ13"/>
    <mergeCell ref="EK12:EK13"/>
    <mergeCell ref="EL12:EL13"/>
    <mergeCell ref="EA12:EA13"/>
    <mergeCell ref="EB12:EB13"/>
    <mergeCell ref="EC12:EC13"/>
    <mergeCell ref="ED12:ED13"/>
    <mergeCell ref="EE12:EE13"/>
    <mergeCell ref="EF12:EF13"/>
    <mergeCell ref="DU12:DU13"/>
    <mergeCell ref="DV12:DV13"/>
    <mergeCell ref="DW12:DW13"/>
    <mergeCell ref="DZ12:DZ13"/>
    <mergeCell ref="DO12:DO13"/>
    <mergeCell ref="DP12:DP13"/>
    <mergeCell ref="DQ12:DQ13"/>
    <mergeCell ref="DR12:DR13"/>
    <mergeCell ref="DS12:DS13"/>
    <mergeCell ref="DT12:DT13"/>
    <mergeCell ref="DX12:DX13"/>
    <mergeCell ref="DY12:DY13"/>
    <mergeCell ref="DI12:DI13"/>
    <mergeCell ref="DJ12:DJ13"/>
    <mergeCell ref="DK12:DK13"/>
    <mergeCell ref="DL12:DL13"/>
    <mergeCell ref="DM12:DM13"/>
    <mergeCell ref="DN12:DN13"/>
    <mergeCell ref="DC12:DC13"/>
    <mergeCell ref="DD12:DD13"/>
    <mergeCell ref="DE12:DE13"/>
    <mergeCell ref="DF12:DF13"/>
    <mergeCell ref="DG12:DG13"/>
    <mergeCell ref="DH12:DH13"/>
    <mergeCell ref="CW12:CW13"/>
    <mergeCell ref="CX12:CX13"/>
    <mergeCell ref="CY12:CY13"/>
    <mergeCell ref="CZ12:CZ13"/>
    <mergeCell ref="DA12:DA13"/>
    <mergeCell ref="DB12:DB13"/>
    <mergeCell ref="CQ12:CQ13"/>
    <mergeCell ref="CR12:CR13"/>
    <mergeCell ref="CS12:CS13"/>
    <mergeCell ref="CT12:CT13"/>
    <mergeCell ref="CU12:CU13"/>
    <mergeCell ref="CV12:CV13"/>
    <mergeCell ref="CK12:CK13"/>
    <mergeCell ref="CL12:CL13"/>
    <mergeCell ref="CM12:CM13"/>
    <mergeCell ref="CN12:CN13"/>
    <mergeCell ref="CO12:CO13"/>
    <mergeCell ref="CP12:CP13"/>
    <mergeCell ref="CE12:CE13"/>
    <mergeCell ref="CF12:CF13"/>
    <mergeCell ref="CG12:CG13"/>
    <mergeCell ref="CJ12:CJ13"/>
    <mergeCell ref="CH12:CH13"/>
    <mergeCell ref="CI12:CI13"/>
    <mergeCell ref="BY12:BY13"/>
    <mergeCell ref="BZ12:BZ13"/>
    <mergeCell ref="CA12:CA13"/>
    <mergeCell ref="CB12:CB13"/>
    <mergeCell ref="CC12:CC13"/>
    <mergeCell ref="CD12:CD13"/>
    <mergeCell ref="BS12:BS13"/>
    <mergeCell ref="BT12:BT13"/>
    <mergeCell ref="BU12:BU13"/>
    <mergeCell ref="BV12:BV13"/>
    <mergeCell ref="BW12:BW13"/>
    <mergeCell ref="BX12:BX13"/>
    <mergeCell ref="BM12:BM13"/>
    <mergeCell ref="BN12:BN13"/>
    <mergeCell ref="BO12:BO13"/>
    <mergeCell ref="BP12:BP13"/>
    <mergeCell ref="BQ12:BQ13"/>
    <mergeCell ref="BR12:BR13"/>
    <mergeCell ref="BG12:BG13"/>
    <mergeCell ref="BH12:BH13"/>
    <mergeCell ref="BI12:BI13"/>
    <mergeCell ref="BJ12:BJ13"/>
    <mergeCell ref="BK12:BK13"/>
    <mergeCell ref="BL12:BL13"/>
    <mergeCell ref="BA12:BA13"/>
    <mergeCell ref="BB12:BB13"/>
    <mergeCell ref="BC12:BC13"/>
    <mergeCell ref="BD12:BD13"/>
    <mergeCell ref="BE12:BE13"/>
    <mergeCell ref="BF12:BF13"/>
    <mergeCell ref="AU12:AU13"/>
    <mergeCell ref="AV12:AV13"/>
    <mergeCell ref="AW12:AW13"/>
    <mergeCell ref="AX12:AX13"/>
    <mergeCell ref="AY12:AY13"/>
    <mergeCell ref="AZ12:AZ13"/>
    <mergeCell ref="AO12:AO13"/>
    <mergeCell ref="AP12:AP13"/>
    <mergeCell ref="AQ12:AQ13"/>
    <mergeCell ref="AT12:AT13"/>
    <mergeCell ref="AI12:AI13"/>
    <mergeCell ref="AJ12:AJ13"/>
    <mergeCell ref="AK12:AK13"/>
    <mergeCell ref="AL12:AL13"/>
    <mergeCell ref="AM12:AM13"/>
    <mergeCell ref="AN12:AN13"/>
    <mergeCell ref="AR12:AR13"/>
    <mergeCell ref="AS12:AS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B11:C11"/>
    <mergeCell ref="GQ11:HC11"/>
    <mergeCell ref="B12:C13"/>
    <mergeCell ref="D12:D13"/>
    <mergeCell ref="E12:E13"/>
    <mergeCell ref="F12:F13"/>
    <mergeCell ref="G12:G13"/>
    <mergeCell ref="H12:H13"/>
    <mergeCell ref="I12:I13"/>
    <mergeCell ref="J12:J13"/>
    <mergeCell ref="Q12:Q13"/>
    <mergeCell ref="R12:R13"/>
    <mergeCell ref="S12:S13"/>
    <mergeCell ref="T12:T13"/>
    <mergeCell ref="U12:U13"/>
    <mergeCell ref="V12:V13"/>
    <mergeCell ref="K12:K13"/>
    <mergeCell ref="L12:L13"/>
    <mergeCell ref="M12:M13"/>
    <mergeCell ref="N12:N13"/>
    <mergeCell ref="O12:O13"/>
    <mergeCell ref="P12:P13"/>
    <mergeCell ref="AC12:AC13"/>
    <mergeCell ref="AD12:AD13"/>
  </mergeCells>
  <pageMargins left="0.7" right="0.7" top="0.75" bottom="0.75" header="0.3" footer="0.3"/>
  <pageSetup orientation="portrait" r:id="rId1"/>
  <ignoredErrors>
    <ignoredError sqref="D11:Q11 B14:B22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241"/>
  <sheetViews>
    <sheetView showGridLines="0" tabSelected="1" topLeftCell="A203" zoomScaleNormal="100" workbookViewId="0">
      <selection activeCell="A230" sqref="A230"/>
    </sheetView>
  </sheetViews>
  <sheetFormatPr baseColWidth="10" defaultColWidth="11.375" defaultRowHeight="13.2"/>
  <cols>
    <col min="1" max="1" width="4.5" style="1" bestFit="1" customWidth="1"/>
    <col min="2" max="2" width="8" style="1" customWidth="1"/>
    <col min="3" max="3" width="53.375" style="1" customWidth="1"/>
    <col min="4" max="41" width="15.25" style="1" bestFit="1" customWidth="1"/>
    <col min="42" max="42" width="13.625" style="1" bestFit="1" customWidth="1"/>
    <col min="43" max="198" width="13.625" style="1" customWidth="1"/>
    <col min="199" max="199" width="13.625" style="1" bestFit="1" customWidth="1"/>
    <col min="200" max="211" width="16.875" style="1" customWidth="1"/>
    <col min="212" max="212" width="13.625" style="1" customWidth="1"/>
    <col min="213" max="16384" width="11.375" style="1"/>
  </cols>
  <sheetData>
    <row r="1" spans="1:211" ht="13.8">
      <c r="E1" s="2"/>
      <c r="F1" s="3"/>
    </row>
    <row r="2" spans="1:211" ht="13.8">
      <c r="E2" s="2"/>
      <c r="F2" s="2"/>
    </row>
    <row r="3" spans="1:211" ht="13.8">
      <c r="E3" s="2"/>
      <c r="F3" s="2"/>
    </row>
    <row r="7" spans="1:211">
      <c r="B7" s="4" t="s">
        <v>0</v>
      </c>
    </row>
    <row r="8" spans="1:211">
      <c r="B8" s="4" t="s">
        <v>1</v>
      </c>
    </row>
    <row r="9" spans="1:211">
      <c r="B9" s="4" t="s">
        <v>2</v>
      </c>
    </row>
    <row r="10" spans="1:211" ht="19.8" customHeight="1">
      <c r="B10" s="5">
        <v>2</v>
      </c>
      <c r="C10" s="5">
        <f>+B10+1</f>
        <v>3</v>
      </c>
      <c r="D10" s="5">
        <f t="shared" ref="D10:BO10" si="0">+C10+1</f>
        <v>4</v>
      </c>
      <c r="E10" s="5">
        <f t="shared" si="0"/>
        <v>5</v>
      </c>
      <c r="F10" s="5">
        <f t="shared" si="0"/>
        <v>6</v>
      </c>
      <c r="G10" s="5">
        <f t="shared" si="0"/>
        <v>7</v>
      </c>
      <c r="H10" s="5">
        <f t="shared" si="0"/>
        <v>8</v>
      </c>
      <c r="I10" s="5">
        <f t="shared" si="0"/>
        <v>9</v>
      </c>
      <c r="J10" s="5">
        <f t="shared" si="0"/>
        <v>10</v>
      </c>
      <c r="K10" s="5">
        <f t="shared" si="0"/>
        <v>11</v>
      </c>
      <c r="L10" s="5">
        <f t="shared" si="0"/>
        <v>12</v>
      </c>
      <c r="M10" s="5">
        <f t="shared" si="0"/>
        <v>13</v>
      </c>
      <c r="N10" s="5">
        <f t="shared" si="0"/>
        <v>14</v>
      </c>
      <c r="O10" s="5">
        <f t="shared" si="0"/>
        <v>15</v>
      </c>
      <c r="P10" s="5">
        <f t="shared" si="0"/>
        <v>16</v>
      </c>
      <c r="Q10" s="5">
        <f t="shared" si="0"/>
        <v>17</v>
      </c>
      <c r="R10" s="5">
        <f t="shared" si="0"/>
        <v>18</v>
      </c>
      <c r="S10" s="5">
        <f t="shared" si="0"/>
        <v>19</v>
      </c>
      <c r="T10" s="5">
        <f t="shared" si="0"/>
        <v>20</v>
      </c>
      <c r="U10" s="5">
        <f t="shared" si="0"/>
        <v>21</v>
      </c>
      <c r="V10" s="5">
        <f t="shared" si="0"/>
        <v>22</v>
      </c>
      <c r="W10" s="5">
        <f t="shared" si="0"/>
        <v>23</v>
      </c>
      <c r="X10" s="5">
        <f t="shared" si="0"/>
        <v>24</v>
      </c>
      <c r="Y10" s="5">
        <f t="shared" si="0"/>
        <v>25</v>
      </c>
      <c r="Z10" s="5">
        <f t="shared" si="0"/>
        <v>26</v>
      </c>
      <c r="AA10" s="5">
        <f t="shared" si="0"/>
        <v>27</v>
      </c>
      <c r="AB10" s="5">
        <f t="shared" si="0"/>
        <v>28</v>
      </c>
      <c r="AC10" s="5">
        <f t="shared" si="0"/>
        <v>29</v>
      </c>
      <c r="AD10" s="5">
        <f t="shared" si="0"/>
        <v>30</v>
      </c>
      <c r="AE10" s="5">
        <f t="shared" si="0"/>
        <v>31</v>
      </c>
      <c r="AF10" s="5">
        <f t="shared" si="0"/>
        <v>32</v>
      </c>
      <c r="AG10" s="5">
        <f t="shared" si="0"/>
        <v>33</v>
      </c>
      <c r="AH10" s="5">
        <f t="shared" si="0"/>
        <v>34</v>
      </c>
      <c r="AI10" s="5">
        <f t="shared" si="0"/>
        <v>35</v>
      </c>
      <c r="AJ10" s="5">
        <f t="shared" si="0"/>
        <v>36</v>
      </c>
      <c r="AK10" s="5">
        <f t="shared" si="0"/>
        <v>37</v>
      </c>
      <c r="AL10" s="5">
        <f t="shared" si="0"/>
        <v>38</v>
      </c>
      <c r="AM10" s="5">
        <f t="shared" si="0"/>
        <v>39</v>
      </c>
      <c r="AN10" s="5">
        <f t="shared" si="0"/>
        <v>40</v>
      </c>
      <c r="AO10" s="5">
        <f t="shared" si="0"/>
        <v>41</v>
      </c>
      <c r="AP10" s="5">
        <f t="shared" si="0"/>
        <v>42</v>
      </c>
      <c r="AQ10" s="5">
        <f t="shared" si="0"/>
        <v>43</v>
      </c>
      <c r="AR10" s="5">
        <f t="shared" si="0"/>
        <v>44</v>
      </c>
      <c r="AS10" s="5">
        <f t="shared" si="0"/>
        <v>45</v>
      </c>
      <c r="AT10" s="5">
        <f t="shared" si="0"/>
        <v>46</v>
      </c>
      <c r="AU10" s="5">
        <f t="shared" si="0"/>
        <v>47</v>
      </c>
      <c r="AV10" s="5">
        <f t="shared" si="0"/>
        <v>48</v>
      </c>
      <c r="AW10" s="5">
        <f t="shared" si="0"/>
        <v>49</v>
      </c>
      <c r="AX10" s="5">
        <f t="shared" si="0"/>
        <v>50</v>
      </c>
      <c r="AY10" s="5">
        <f t="shared" si="0"/>
        <v>51</v>
      </c>
      <c r="AZ10" s="5">
        <f t="shared" si="0"/>
        <v>52</v>
      </c>
      <c r="BA10" s="5">
        <f t="shared" si="0"/>
        <v>53</v>
      </c>
      <c r="BB10" s="5">
        <f t="shared" si="0"/>
        <v>54</v>
      </c>
      <c r="BC10" s="5">
        <f t="shared" si="0"/>
        <v>55</v>
      </c>
      <c r="BD10" s="5">
        <f t="shared" si="0"/>
        <v>56</v>
      </c>
      <c r="BE10" s="5">
        <f t="shared" si="0"/>
        <v>57</v>
      </c>
      <c r="BF10" s="5">
        <f t="shared" si="0"/>
        <v>58</v>
      </c>
      <c r="BG10" s="5">
        <f t="shared" si="0"/>
        <v>59</v>
      </c>
      <c r="BH10" s="5">
        <f t="shared" si="0"/>
        <v>60</v>
      </c>
      <c r="BI10" s="5">
        <f t="shared" si="0"/>
        <v>61</v>
      </c>
      <c r="BJ10" s="5">
        <f t="shared" si="0"/>
        <v>62</v>
      </c>
      <c r="BK10" s="5">
        <f t="shared" si="0"/>
        <v>63</v>
      </c>
      <c r="BL10" s="5">
        <f t="shared" si="0"/>
        <v>64</v>
      </c>
      <c r="BM10" s="5">
        <f t="shared" si="0"/>
        <v>65</v>
      </c>
      <c r="BN10" s="5">
        <f t="shared" si="0"/>
        <v>66</v>
      </c>
      <c r="BO10" s="5">
        <f t="shared" si="0"/>
        <v>67</v>
      </c>
      <c r="BP10" s="5">
        <f t="shared" ref="BP10:EA10" si="1">+BO10+1</f>
        <v>68</v>
      </c>
      <c r="BQ10" s="5">
        <f t="shared" si="1"/>
        <v>69</v>
      </c>
      <c r="BR10" s="5">
        <f t="shared" si="1"/>
        <v>70</v>
      </c>
      <c r="BS10" s="5">
        <f t="shared" si="1"/>
        <v>71</v>
      </c>
      <c r="BT10" s="5">
        <f t="shared" si="1"/>
        <v>72</v>
      </c>
      <c r="BU10" s="5">
        <f t="shared" si="1"/>
        <v>73</v>
      </c>
      <c r="BV10" s="5">
        <f t="shared" si="1"/>
        <v>74</v>
      </c>
      <c r="BW10" s="5">
        <f t="shared" si="1"/>
        <v>75</v>
      </c>
      <c r="BX10" s="5">
        <f t="shared" si="1"/>
        <v>76</v>
      </c>
      <c r="BY10" s="5">
        <f t="shared" si="1"/>
        <v>77</v>
      </c>
      <c r="BZ10" s="5">
        <f t="shared" si="1"/>
        <v>78</v>
      </c>
      <c r="CA10" s="5">
        <f t="shared" si="1"/>
        <v>79</v>
      </c>
      <c r="CB10" s="5">
        <f t="shared" si="1"/>
        <v>80</v>
      </c>
      <c r="CC10" s="5">
        <f t="shared" si="1"/>
        <v>81</v>
      </c>
      <c r="CD10" s="5">
        <f t="shared" si="1"/>
        <v>82</v>
      </c>
      <c r="CE10" s="5">
        <f t="shared" si="1"/>
        <v>83</v>
      </c>
      <c r="CF10" s="5">
        <f t="shared" si="1"/>
        <v>84</v>
      </c>
      <c r="CG10" s="5">
        <f t="shared" si="1"/>
        <v>85</v>
      </c>
      <c r="CH10" s="5">
        <f t="shared" si="1"/>
        <v>86</v>
      </c>
      <c r="CI10" s="5">
        <f t="shared" si="1"/>
        <v>87</v>
      </c>
      <c r="CJ10" s="5">
        <f t="shared" si="1"/>
        <v>88</v>
      </c>
      <c r="CK10" s="5">
        <f t="shared" si="1"/>
        <v>89</v>
      </c>
      <c r="CL10" s="5">
        <f t="shared" si="1"/>
        <v>90</v>
      </c>
      <c r="CM10" s="5">
        <f t="shared" si="1"/>
        <v>91</v>
      </c>
      <c r="CN10" s="5">
        <f t="shared" si="1"/>
        <v>92</v>
      </c>
      <c r="CO10" s="5">
        <f t="shared" si="1"/>
        <v>93</v>
      </c>
      <c r="CP10" s="5">
        <f t="shared" si="1"/>
        <v>94</v>
      </c>
      <c r="CQ10" s="5">
        <f t="shared" si="1"/>
        <v>95</v>
      </c>
      <c r="CR10" s="5">
        <f t="shared" si="1"/>
        <v>96</v>
      </c>
      <c r="CS10" s="5">
        <f t="shared" si="1"/>
        <v>97</v>
      </c>
      <c r="CT10" s="5">
        <f t="shared" si="1"/>
        <v>98</v>
      </c>
      <c r="CU10" s="5">
        <f t="shared" si="1"/>
        <v>99</v>
      </c>
      <c r="CV10" s="5">
        <f t="shared" si="1"/>
        <v>100</v>
      </c>
      <c r="CW10" s="5">
        <f t="shared" si="1"/>
        <v>101</v>
      </c>
      <c r="CX10" s="5">
        <f t="shared" si="1"/>
        <v>102</v>
      </c>
      <c r="CY10" s="5">
        <f t="shared" si="1"/>
        <v>103</v>
      </c>
      <c r="CZ10" s="5">
        <f t="shared" si="1"/>
        <v>104</v>
      </c>
      <c r="DA10" s="5">
        <f t="shared" si="1"/>
        <v>105</v>
      </c>
      <c r="DB10" s="5">
        <f t="shared" si="1"/>
        <v>106</v>
      </c>
      <c r="DC10" s="5">
        <f t="shared" si="1"/>
        <v>107</v>
      </c>
      <c r="DD10" s="5">
        <f t="shared" si="1"/>
        <v>108</v>
      </c>
      <c r="DE10" s="5">
        <f t="shared" si="1"/>
        <v>109</v>
      </c>
      <c r="DF10" s="5">
        <f t="shared" si="1"/>
        <v>110</v>
      </c>
      <c r="DG10" s="5">
        <f t="shared" si="1"/>
        <v>111</v>
      </c>
      <c r="DH10" s="5">
        <f t="shared" si="1"/>
        <v>112</v>
      </c>
      <c r="DI10" s="5">
        <f t="shared" si="1"/>
        <v>113</v>
      </c>
      <c r="DJ10" s="5">
        <f t="shared" si="1"/>
        <v>114</v>
      </c>
      <c r="DK10" s="5">
        <f t="shared" si="1"/>
        <v>115</v>
      </c>
      <c r="DL10" s="5">
        <f t="shared" si="1"/>
        <v>116</v>
      </c>
      <c r="DM10" s="5">
        <f t="shared" si="1"/>
        <v>117</v>
      </c>
      <c r="DN10" s="5">
        <f t="shared" si="1"/>
        <v>118</v>
      </c>
      <c r="DO10" s="5">
        <f t="shared" si="1"/>
        <v>119</v>
      </c>
      <c r="DP10" s="5">
        <f t="shared" si="1"/>
        <v>120</v>
      </c>
      <c r="DQ10" s="5">
        <f t="shared" si="1"/>
        <v>121</v>
      </c>
      <c r="DR10" s="5">
        <f t="shared" si="1"/>
        <v>122</v>
      </c>
      <c r="DS10" s="5">
        <f t="shared" si="1"/>
        <v>123</v>
      </c>
      <c r="DT10" s="5">
        <f t="shared" si="1"/>
        <v>124</v>
      </c>
      <c r="DU10" s="5">
        <f t="shared" si="1"/>
        <v>125</v>
      </c>
      <c r="DV10" s="5">
        <f t="shared" si="1"/>
        <v>126</v>
      </c>
      <c r="DW10" s="5">
        <f t="shared" si="1"/>
        <v>127</v>
      </c>
      <c r="DX10" s="5">
        <f t="shared" si="1"/>
        <v>128</v>
      </c>
      <c r="DY10" s="5">
        <f t="shared" si="1"/>
        <v>129</v>
      </c>
      <c r="DZ10" s="5">
        <f t="shared" si="1"/>
        <v>130</v>
      </c>
      <c r="EA10" s="5">
        <f t="shared" si="1"/>
        <v>131</v>
      </c>
      <c r="EB10" s="5">
        <f t="shared" ref="EB10:GM10" si="2">+EA10+1</f>
        <v>132</v>
      </c>
      <c r="EC10" s="5">
        <f t="shared" si="2"/>
        <v>133</v>
      </c>
      <c r="ED10" s="5">
        <f t="shared" si="2"/>
        <v>134</v>
      </c>
      <c r="EE10" s="5">
        <f t="shared" si="2"/>
        <v>135</v>
      </c>
      <c r="EF10" s="5">
        <f t="shared" si="2"/>
        <v>136</v>
      </c>
      <c r="EG10" s="5">
        <f t="shared" si="2"/>
        <v>137</v>
      </c>
      <c r="EH10" s="5">
        <f t="shared" si="2"/>
        <v>138</v>
      </c>
      <c r="EI10" s="5">
        <f t="shared" si="2"/>
        <v>139</v>
      </c>
      <c r="EJ10" s="5">
        <f t="shared" si="2"/>
        <v>140</v>
      </c>
      <c r="EK10" s="5">
        <f t="shared" si="2"/>
        <v>141</v>
      </c>
      <c r="EL10" s="5">
        <f t="shared" si="2"/>
        <v>142</v>
      </c>
      <c r="EM10" s="5">
        <f t="shared" si="2"/>
        <v>143</v>
      </c>
      <c r="EN10" s="5">
        <f t="shared" si="2"/>
        <v>144</v>
      </c>
      <c r="EO10" s="5">
        <f t="shared" si="2"/>
        <v>145</v>
      </c>
      <c r="EP10" s="5">
        <f t="shared" si="2"/>
        <v>146</v>
      </c>
      <c r="EQ10" s="5">
        <f t="shared" si="2"/>
        <v>147</v>
      </c>
      <c r="ER10" s="5">
        <f t="shared" si="2"/>
        <v>148</v>
      </c>
      <c r="ES10" s="5">
        <f t="shared" si="2"/>
        <v>149</v>
      </c>
      <c r="ET10" s="5">
        <f t="shared" si="2"/>
        <v>150</v>
      </c>
      <c r="EU10" s="5">
        <f t="shared" si="2"/>
        <v>151</v>
      </c>
      <c r="EV10" s="5">
        <f t="shared" si="2"/>
        <v>152</v>
      </c>
      <c r="EW10" s="5">
        <f t="shared" si="2"/>
        <v>153</v>
      </c>
      <c r="EX10" s="5">
        <f t="shared" si="2"/>
        <v>154</v>
      </c>
      <c r="EY10" s="5">
        <f t="shared" si="2"/>
        <v>155</v>
      </c>
      <c r="EZ10" s="5">
        <f t="shared" si="2"/>
        <v>156</v>
      </c>
      <c r="FA10" s="5">
        <f t="shared" si="2"/>
        <v>157</v>
      </c>
      <c r="FB10" s="5">
        <f t="shared" si="2"/>
        <v>158</v>
      </c>
      <c r="FC10" s="5">
        <f t="shared" si="2"/>
        <v>159</v>
      </c>
      <c r="FD10" s="5">
        <f t="shared" si="2"/>
        <v>160</v>
      </c>
      <c r="FE10" s="5">
        <f t="shared" si="2"/>
        <v>161</v>
      </c>
      <c r="FF10" s="5">
        <f t="shared" si="2"/>
        <v>162</v>
      </c>
      <c r="FG10" s="5">
        <f t="shared" si="2"/>
        <v>163</v>
      </c>
      <c r="FH10" s="5">
        <f t="shared" si="2"/>
        <v>164</v>
      </c>
      <c r="FI10" s="5">
        <f t="shared" si="2"/>
        <v>165</v>
      </c>
      <c r="FJ10" s="5">
        <f t="shared" si="2"/>
        <v>166</v>
      </c>
      <c r="FK10" s="5">
        <f t="shared" si="2"/>
        <v>167</v>
      </c>
      <c r="FL10" s="5">
        <f t="shared" si="2"/>
        <v>168</v>
      </c>
      <c r="FM10" s="5">
        <f t="shared" si="2"/>
        <v>169</v>
      </c>
      <c r="FN10" s="5">
        <f t="shared" si="2"/>
        <v>170</v>
      </c>
      <c r="FO10" s="5">
        <f t="shared" si="2"/>
        <v>171</v>
      </c>
      <c r="FP10" s="5">
        <f t="shared" si="2"/>
        <v>172</v>
      </c>
      <c r="FQ10" s="5">
        <f t="shared" si="2"/>
        <v>173</v>
      </c>
      <c r="FR10" s="5">
        <f t="shared" si="2"/>
        <v>174</v>
      </c>
      <c r="FS10" s="5">
        <f t="shared" si="2"/>
        <v>175</v>
      </c>
      <c r="FT10" s="5">
        <f t="shared" si="2"/>
        <v>176</v>
      </c>
      <c r="FU10" s="5">
        <f t="shared" si="2"/>
        <v>177</v>
      </c>
      <c r="FV10" s="5">
        <f t="shared" si="2"/>
        <v>178</v>
      </c>
      <c r="FW10" s="5">
        <f t="shared" si="2"/>
        <v>179</v>
      </c>
      <c r="FX10" s="5">
        <f t="shared" si="2"/>
        <v>180</v>
      </c>
      <c r="FY10" s="5">
        <f t="shared" si="2"/>
        <v>181</v>
      </c>
      <c r="FZ10" s="5">
        <f t="shared" si="2"/>
        <v>182</v>
      </c>
      <c r="GA10" s="5">
        <f t="shared" si="2"/>
        <v>183</v>
      </c>
      <c r="GB10" s="5">
        <f t="shared" si="2"/>
        <v>184</v>
      </c>
      <c r="GC10" s="5">
        <f t="shared" si="2"/>
        <v>185</v>
      </c>
      <c r="GD10" s="5">
        <f t="shared" si="2"/>
        <v>186</v>
      </c>
      <c r="GE10" s="5">
        <f t="shared" si="2"/>
        <v>187</v>
      </c>
      <c r="GF10" s="5">
        <f t="shared" si="2"/>
        <v>188</v>
      </c>
      <c r="GG10" s="5">
        <f t="shared" si="2"/>
        <v>189</v>
      </c>
      <c r="GH10" s="5">
        <f t="shared" si="2"/>
        <v>190</v>
      </c>
      <c r="GI10" s="5">
        <f t="shared" si="2"/>
        <v>191</v>
      </c>
      <c r="GJ10" s="5">
        <f t="shared" si="2"/>
        <v>192</v>
      </c>
      <c r="GK10" s="5">
        <f t="shared" si="2"/>
        <v>193</v>
      </c>
      <c r="GL10" s="5">
        <f t="shared" si="2"/>
        <v>194</v>
      </c>
      <c r="GM10" s="5">
        <f t="shared" si="2"/>
        <v>195</v>
      </c>
      <c r="GN10" s="5">
        <f t="shared" ref="GN10:GP10" si="3">+GM10+1</f>
        <v>196</v>
      </c>
      <c r="GO10" s="5">
        <f t="shared" si="3"/>
        <v>197</v>
      </c>
      <c r="GP10" s="5">
        <f t="shared" si="3"/>
        <v>198</v>
      </c>
      <c r="GQ10" s="6"/>
      <c r="GR10" s="6"/>
      <c r="GS10" s="6"/>
      <c r="GT10" s="6"/>
      <c r="GU10" s="6"/>
      <c r="GV10" s="6"/>
      <c r="GW10" s="6"/>
    </row>
    <row r="11" spans="1:211" s="7" customFormat="1" ht="22.5" customHeight="1">
      <c r="B11" s="52" t="s">
        <v>3</v>
      </c>
      <c r="C11" s="53" t="s">
        <v>736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15</v>
      </c>
      <c r="P11" s="16" t="s">
        <v>16</v>
      </c>
      <c r="Q11" s="16" t="s">
        <v>17</v>
      </c>
      <c r="R11" s="16" t="s">
        <v>18</v>
      </c>
      <c r="S11" s="16" t="s">
        <v>19</v>
      </c>
      <c r="T11" s="16" t="s">
        <v>20</v>
      </c>
      <c r="U11" s="16" t="s">
        <v>21</v>
      </c>
      <c r="V11" s="16" t="s">
        <v>22</v>
      </c>
      <c r="W11" s="16" t="s">
        <v>23</v>
      </c>
      <c r="X11" s="16" t="s">
        <v>24</v>
      </c>
      <c r="Y11" s="16" t="s">
        <v>25</v>
      </c>
      <c r="Z11" s="16" t="s">
        <v>26</v>
      </c>
      <c r="AA11" s="16" t="s">
        <v>27</v>
      </c>
      <c r="AB11" s="16" t="s">
        <v>28</v>
      </c>
      <c r="AC11" s="16" t="s">
        <v>29</v>
      </c>
      <c r="AD11" s="16" t="s">
        <v>30</v>
      </c>
      <c r="AE11" s="16" t="s">
        <v>31</v>
      </c>
      <c r="AF11" s="16" t="s">
        <v>32</v>
      </c>
      <c r="AG11" s="16" t="s">
        <v>33</v>
      </c>
      <c r="AH11" s="16" t="s">
        <v>34</v>
      </c>
      <c r="AI11" s="16" t="s">
        <v>35</v>
      </c>
      <c r="AJ11" s="16" t="s">
        <v>36</v>
      </c>
      <c r="AK11" s="16" t="s">
        <v>37</v>
      </c>
      <c r="AL11" s="16" t="s">
        <v>38</v>
      </c>
      <c r="AM11" s="16" t="s">
        <v>39</v>
      </c>
      <c r="AN11" s="16" t="s">
        <v>40</v>
      </c>
      <c r="AO11" s="16" t="s">
        <v>41</v>
      </c>
      <c r="AP11" s="16" t="s">
        <v>42</v>
      </c>
      <c r="AQ11" s="16" t="s">
        <v>43</v>
      </c>
      <c r="AR11" s="16" t="s">
        <v>44</v>
      </c>
      <c r="AS11" s="16" t="s">
        <v>45</v>
      </c>
      <c r="AT11" s="16" t="s">
        <v>46</v>
      </c>
      <c r="AU11" s="16" t="s">
        <v>47</v>
      </c>
      <c r="AV11" s="16" t="s">
        <v>48</v>
      </c>
      <c r="AW11" s="16" t="s">
        <v>49</v>
      </c>
      <c r="AX11" s="16" t="s">
        <v>50</v>
      </c>
      <c r="AY11" s="16" t="s">
        <v>51</v>
      </c>
      <c r="AZ11" s="16" t="s">
        <v>52</v>
      </c>
      <c r="BA11" s="16" t="s">
        <v>53</v>
      </c>
      <c r="BB11" s="16" t="s">
        <v>54</v>
      </c>
      <c r="BC11" s="16" t="s">
        <v>55</v>
      </c>
      <c r="BD11" s="16" t="s">
        <v>56</v>
      </c>
      <c r="BE11" s="16" t="s">
        <v>57</v>
      </c>
      <c r="BF11" s="16" t="s">
        <v>58</v>
      </c>
      <c r="BG11" s="16" t="s">
        <v>59</v>
      </c>
      <c r="BH11" s="16" t="s">
        <v>60</v>
      </c>
      <c r="BI11" s="16" t="s">
        <v>61</v>
      </c>
      <c r="BJ11" s="16" t="s">
        <v>62</v>
      </c>
      <c r="BK11" s="16" t="s">
        <v>63</v>
      </c>
      <c r="BL11" s="16" t="s">
        <v>64</v>
      </c>
      <c r="BM11" s="16" t="s">
        <v>65</v>
      </c>
      <c r="BN11" s="16" t="s">
        <v>66</v>
      </c>
      <c r="BO11" s="16" t="s">
        <v>67</v>
      </c>
      <c r="BP11" s="16" t="s">
        <v>68</v>
      </c>
      <c r="BQ11" s="16" t="s">
        <v>69</v>
      </c>
      <c r="BR11" s="16" t="s">
        <v>70</v>
      </c>
      <c r="BS11" s="16" t="s">
        <v>71</v>
      </c>
      <c r="BT11" s="16" t="s">
        <v>72</v>
      </c>
      <c r="BU11" s="16" t="s">
        <v>73</v>
      </c>
      <c r="BV11" s="16" t="s">
        <v>74</v>
      </c>
      <c r="BW11" s="16" t="s">
        <v>75</v>
      </c>
      <c r="BX11" s="16" t="s">
        <v>76</v>
      </c>
      <c r="BY11" s="16" t="s">
        <v>77</v>
      </c>
      <c r="BZ11" s="16" t="s">
        <v>78</v>
      </c>
      <c r="CA11" s="16" t="s">
        <v>79</v>
      </c>
      <c r="CB11" s="16" t="s">
        <v>80</v>
      </c>
      <c r="CC11" s="16" t="s">
        <v>81</v>
      </c>
      <c r="CD11" s="16" t="s">
        <v>82</v>
      </c>
      <c r="CE11" s="16" t="s">
        <v>83</v>
      </c>
      <c r="CF11" s="16" t="s">
        <v>84</v>
      </c>
      <c r="CG11" s="16" t="s">
        <v>85</v>
      </c>
      <c r="CH11" s="16" t="s">
        <v>86</v>
      </c>
      <c r="CI11" s="16" t="s">
        <v>87</v>
      </c>
      <c r="CJ11" s="16" t="s">
        <v>88</v>
      </c>
      <c r="CK11" s="16" t="s">
        <v>89</v>
      </c>
      <c r="CL11" s="16" t="s">
        <v>90</v>
      </c>
      <c r="CM11" s="16" t="s">
        <v>91</v>
      </c>
      <c r="CN11" s="16" t="s">
        <v>92</v>
      </c>
      <c r="CO11" s="16" t="s">
        <v>93</v>
      </c>
      <c r="CP11" s="16" t="s">
        <v>94</v>
      </c>
      <c r="CQ11" s="16" t="s">
        <v>95</v>
      </c>
      <c r="CR11" s="16" t="s">
        <v>96</v>
      </c>
      <c r="CS11" s="16" t="s">
        <v>97</v>
      </c>
      <c r="CT11" s="16" t="s">
        <v>98</v>
      </c>
      <c r="CU11" s="16" t="s">
        <v>99</v>
      </c>
      <c r="CV11" s="16" t="s">
        <v>100</v>
      </c>
      <c r="CW11" s="16" t="s">
        <v>101</v>
      </c>
      <c r="CX11" s="16" t="s">
        <v>102</v>
      </c>
      <c r="CY11" s="16" t="s">
        <v>103</v>
      </c>
      <c r="CZ11" s="16" t="s">
        <v>104</v>
      </c>
      <c r="DA11" s="16" t="s">
        <v>105</v>
      </c>
      <c r="DB11" s="16" t="s">
        <v>106</v>
      </c>
      <c r="DC11" s="16" t="s">
        <v>107</v>
      </c>
      <c r="DD11" s="16" t="s">
        <v>108</v>
      </c>
      <c r="DE11" s="16" t="s">
        <v>109</v>
      </c>
      <c r="DF11" s="16" t="s">
        <v>110</v>
      </c>
      <c r="DG11" s="16" t="s">
        <v>111</v>
      </c>
      <c r="DH11" s="16" t="s">
        <v>112</v>
      </c>
      <c r="DI11" s="16" t="s">
        <v>113</v>
      </c>
      <c r="DJ11" s="16" t="s">
        <v>114</v>
      </c>
      <c r="DK11" s="16" t="s">
        <v>115</v>
      </c>
      <c r="DL11" s="16" t="s">
        <v>116</v>
      </c>
      <c r="DM11" s="16" t="s">
        <v>117</v>
      </c>
      <c r="DN11" s="16" t="s">
        <v>118</v>
      </c>
      <c r="DO11" s="16" t="s">
        <v>119</v>
      </c>
      <c r="DP11" s="16" t="s">
        <v>120</v>
      </c>
      <c r="DQ11" s="16" t="s">
        <v>121</v>
      </c>
      <c r="DR11" s="16" t="s">
        <v>122</v>
      </c>
      <c r="DS11" s="16" t="s">
        <v>123</v>
      </c>
      <c r="DT11" s="16" t="s">
        <v>124</v>
      </c>
      <c r="DU11" s="16" t="s">
        <v>125</v>
      </c>
      <c r="DV11" s="16" t="s">
        <v>126</v>
      </c>
      <c r="DW11" s="16" t="s">
        <v>127</v>
      </c>
      <c r="DX11" s="16" t="s">
        <v>128</v>
      </c>
      <c r="DY11" s="16" t="s">
        <v>129</v>
      </c>
      <c r="DZ11" s="16" t="s">
        <v>130</v>
      </c>
      <c r="EA11" s="16" t="s">
        <v>131</v>
      </c>
      <c r="EB11" s="16" t="s">
        <v>132</v>
      </c>
      <c r="EC11" s="16" t="s">
        <v>133</v>
      </c>
      <c r="ED11" s="16" t="s">
        <v>134</v>
      </c>
      <c r="EE11" s="16" t="s">
        <v>135</v>
      </c>
      <c r="EF11" s="16" t="s">
        <v>136</v>
      </c>
      <c r="EG11" s="16" t="s">
        <v>137</v>
      </c>
      <c r="EH11" s="16" t="s">
        <v>138</v>
      </c>
      <c r="EI11" s="16" t="s">
        <v>139</v>
      </c>
      <c r="EJ11" s="16" t="s">
        <v>140</v>
      </c>
      <c r="EK11" s="16" t="s">
        <v>141</v>
      </c>
      <c r="EL11" s="16" t="s">
        <v>142</v>
      </c>
      <c r="EM11" s="16" t="s">
        <v>143</v>
      </c>
      <c r="EN11" s="16" t="s">
        <v>144</v>
      </c>
      <c r="EO11" s="16" t="s">
        <v>145</v>
      </c>
      <c r="EP11" s="16" t="s">
        <v>146</v>
      </c>
      <c r="EQ11" s="16" t="s">
        <v>147</v>
      </c>
      <c r="ER11" s="16" t="s">
        <v>148</v>
      </c>
      <c r="ES11" s="16" t="s">
        <v>149</v>
      </c>
      <c r="ET11" s="16" t="s">
        <v>150</v>
      </c>
      <c r="EU11" s="16" t="s">
        <v>151</v>
      </c>
      <c r="EV11" s="16" t="s">
        <v>152</v>
      </c>
      <c r="EW11" s="16" t="s">
        <v>153</v>
      </c>
      <c r="EX11" s="16" t="s">
        <v>154</v>
      </c>
      <c r="EY11" s="16" t="s">
        <v>155</v>
      </c>
      <c r="EZ11" s="16" t="s">
        <v>156</v>
      </c>
      <c r="FA11" s="16" t="s">
        <v>157</v>
      </c>
      <c r="FB11" s="16" t="s">
        <v>158</v>
      </c>
      <c r="FC11" s="16" t="s">
        <v>159</v>
      </c>
      <c r="FD11" s="16" t="s">
        <v>160</v>
      </c>
      <c r="FE11" s="16" t="s">
        <v>161</v>
      </c>
      <c r="FF11" s="16" t="s">
        <v>162</v>
      </c>
      <c r="FG11" s="16" t="s">
        <v>163</v>
      </c>
      <c r="FH11" s="16" t="s">
        <v>164</v>
      </c>
      <c r="FI11" s="16" t="s">
        <v>165</v>
      </c>
      <c r="FJ11" s="16" t="s">
        <v>166</v>
      </c>
      <c r="FK11" s="16" t="s">
        <v>167</v>
      </c>
      <c r="FL11" s="16" t="s">
        <v>168</v>
      </c>
      <c r="FM11" s="16" t="s">
        <v>169</v>
      </c>
      <c r="FN11" s="16" t="s">
        <v>170</v>
      </c>
      <c r="FO11" s="16" t="s">
        <v>171</v>
      </c>
      <c r="FP11" s="16" t="s">
        <v>172</v>
      </c>
      <c r="FQ11" s="16" t="s">
        <v>173</v>
      </c>
      <c r="FR11" s="16" t="s">
        <v>174</v>
      </c>
      <c r="FS11" s="16" t="s">
        <v>175</v>
      </c>
      <c r="FT11" s="16" t="s">
        <v>176</v>
      </c>
      <c r="FU11" s="16" t="s">
        <v>177</v>
      </c>
      <c r="FV11" s="16" t="s">
        <v>178</v>
      </c>
      <c r="FW11" s="16" t="s">
        <v>179</v>
      </c>
      <c r="FX11" s="16" t="s">
        <v>180</v>
      </c>
      <c r="FY11" s="16" t="s">
        <v>181</v>
      </c>
      <c r="FZ11" s="16" t="s">
        <v>182</v>
      </c>
      <c r="GA11" s="16" t="s">
        <v>183</v>
      </c>
      <c r="GB11" s="16" t="s">
        <v>184</v>
      </c>
      <c r="GC11" s="16" t="s">
        <v>185</v>
      </c>
      <c r="GD11" s="16" t="s">
        <v>186</v>
      </c>
      <c r="GE11" s="16" t="s">
        <v>187</v>
      </c>
      <c r="GF11" s="16" t="s">
        <v>188</v>
      </c>
      <c r="GG11" s="16" t="s">
        <v>189</v>
      </c>
      <c r="GH11" s="16" t="s">
        <v>190</v>
      </c>
      <c r="GI11" s="16" t="s">
        <v>191</v>
      </c>
      <c r="GJ11" s="16" t="s">
        <v>192</v>
      </c>
      <c r="GK11" s="16" t="s">
        <v>193</v>
      </c>
      <c r="GL11" s="16" t="s">
        <v>194</v>
      </c>
      <c r="GM11" s="16" t="s">
        <v>195</v>
      </c>
      <c r="GN11" s="16" t="s">
        <v>196</v>
      </c>
      <c r="GO11" s="16" t="s">
        <v>197</v>
      </c>
      <c r="GP11" s="16" t="s">
        <v>198</v>
      </c>
      <c r="GQ11" s="37" t="s">
        <v>199</v>
      </c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8"/>
    </row>
    <row r="12" spans="1:211" s="7" customFormat="1" ht="54.9" customHeight="1">
      <c r="B12" s="54" t="s">
        <v>200</v>
      </c>
      <c r="C12" s="55" t="s">
        <v>737</v>
      </c>
      <c r="D12" s="56" t="s">
        <v>201</v>
      </c>
      <c r="E12" s="56" t="s">
        <v>202</v>
      </c>
      <c r="F12" s="56" t="s">
        <v>203</v>
      </c>
      <c r="G12" s="56" t="s">
        <v>204</v>
      </c>
      <c r="H12" s="56" t="s">
        <v>205</v>
      </c>
      <c r="I12" s="56" t="s">
        <v>206</v>
      </c>
      <c r="J12" s="56" t="s">
        <v>207</v>
      </c>
      <c r="K12" s="56" t="s">
        <v>208</v>
      </c>
      <c r="L12" s="56" t="s">
        <v>209</v>
      </c>
      <c r="M12" s="56" t="s">
        <v>210</v>
      </c>
      <c r="N12" s="56" t="s">
        <v>211</v>
      </c>
      <c r="O12" s="56" t="s">
        <v>212</v>
      </c>
      <c r="P12" s="56" t="s">
        <v>213</v>
      </c>
      <c r="Q12" s="56" t="s">
        <v>214</v>
      </c>
      <c r="R12" s="56" t="s">
        <v>215</v>
      </c>
      <c r="S12" s="56" t="s">
        <v>216</v>
      </c>
      <c r="T12" s="56" t="s">
        <v>217</v>
      </c>
      <c r="U12" s="56" t="s">
        <v>218</v>
      </c>
      <c r="V12" s="56" t="s">
        <v>219</v>
      </c>
      <c r="W12" s="56" t="s">
        <v>220</v>
      </c>
      <c r="X12" s="56" t="s">
        <v>221</v>
      </c>
      <c r="Y12" s="56" t="s">
        <v>222</v>
      </c>
      <c r="Z12" s="56" t="s">
        <v>223</v>
      </c>
      <c r="AA12" s="56" t="s">
        <v>224</v>
      </c>
      <c r="AB12" s="56" t="s">
        <v>225</v>
      </c>
      <c r="AC12" s="56" t="s">
        <v>226</v>
      </c>
      <c r="AD12" s="56" t="s">
        <v>227</v>
      </c>
      <c r="AE12" s="56" t="s">
        <v>228</v>
      </c>
      <c r="AF12" s="56" t="s">
        <v>229</v>
      </c>
      <c r="AG12" s="56" t="s">
        <v>230</v>
      </c>
      <c r="AH12" s="56" t="s">
        <v>231</v>
      </c>
      <c r="AI12" s="56" t="s">
        <v>232</v>
      </c>
      <c r="AJ12" s="56" t="s">
        <v>233</v>
      </c>
      <c r="AK12" s="56" t="s">
        <v>234</v>
      </c>
      <c r="AL12" s="56" t="s">
        <v>235</v>
      </c>
      <c r="AM12" s="56" t="s">
        <v>236</v>
      </c>
      <c r="AN12" s="56" t="s">
        <v>237</v>
      </c>
      <c r="AO12" s="56" t="s">
        <v>238</v>
      </c>
      <c r="AP12" s="56" t="s">
        <v>239</v>
      </c>
      <c r="AQ12" s="56" t="s">
        <v>240</v>
      </c>
      <c r="AR12" s="57" t="s">
        <v>241</v>
      </c>
      <c r="AS12" s="58" t="s">
        <v>242</v>
      </c>
      <c r="AT12" s="56" t="s">
        <v>243</v>
      </c>
      <c r="AU12" s="56" t="s">
        <v>244</v>
      </c>
      <c r="AV12" s="56" t="s">
        <v>245</v>
      </c>
      <c r="AW12" s="56" t="s">
        <v>246</v>
      </c>
      <c r="AX12" s="56" t="s">
        <v>247</v>
      </c>
      <c r="AY12" s="56" t="s">
        <v>248</v>
      </c>
      <c r="AZ12" s="56" t="s">
        <v>249</v>
      </c>
      <c r="BA12" s="56" t="s">
        <v>250</v>
      </c>
      <c r="BB12" s="56" t="s">
        <v>251</v>
      </c>
      <c r="BC12" s="56" t="s">
        <v>252</v>
      </c>
      <c r="BD12" s="56" t="s">
        <v>253</v>
      </c>
      <c r="BE12" s="56" t="s">
        <v>254</v>
      </c>
      <c r="BF12" s="56" t="s">
        <v>255</v>
      </c>
      <c r="BG12" s="56" t="s">
        <v>256</v>
      </c>
      <c r="BH12" s="56" t="s">
        <v>257</v>
      </c>
      <c r="BI12" s="56" t="s">
        <v>258</v>
      </c>
      <c r="BJ12" s="56" t="s">
        <v>259</v>
      </c>
      <c r="BK12" s="56" t="s">
        <v>260</v>
      </c>
      <c r="BL12" s="56" t="s">
        <v>261</v>
      </c>
      <c r="BM12" s="56" t="s">
        <v>262</v>
      </c>
      <c r="BN12" s="56" t="s">
        <v>263</v>
      </c>
      <c r="BO12" s="56" t="s">
        <v>264</v>
      </c>
      <c r="BP12" s="56" t="s">
        <v>265</v>
      </c>
      <c r="BQ12" s="56" t="s">
        <v>266</v>
      </c>
      <c r="BR12" s="56" t="s">
        <v>267</v>
      </c>
      <c r="BS12" s="56" t="s">
        <v>268</v>
      </c>
      <c r="BT12" s="56" t="s">
        <v>269</v>
      </c>
      <c r="BU12" s="56" t="s">
        <v>270</v>
      </c>
      <c r="BV12" s="56" t="s">
        <v>271</v>
      </c>
      <c r="BW12" s="56" t="s">
        <v>272</v>
      </c>
      <c r="BX12" s="56" t="s">
        <v>273</v>
      </c>
      <c r="BY12" s="56" t="s">
        <v>274</v>
      </c>
      <c r="BZ12" s="56" t="s">
        <v>275</v>
      </c>
      <c r="CA12" s="56" t="s">
        <v>276</v>
      </c>
      <c r="CB12" s="56" t="s">
        <v>277</v>
      </c>
      <c r="CC12" s="56" t="s">
        <v>278</v>
      </c>
      <c r="CD12" s="56" t="s">
        <v>279</v>
      </c>
      <c r="CE12" s="56" t="s">
        <v>280</v>
      </c>
      <c r="CF12" s="56" t="s">
        <v>281</v>
      </c>
      <c r="CG12" s="56" t="s">
        <v>282</v>
      </c>
      <c r="CH12" s="57" t="s">
        <v>283</v>
      </c>
      <c r="CI12" s="58" t="s">
        <v>284</v>
      </c>
      <c r="CJ12" s="56" t="s">
        <v>285</v>
      </c>
      <c r="CK12" s="56" t="s">
        <v>286</v>
      </c>
      <c r="CL12" s="56" t="s">
        <v>287</v>
      </c>
      <c r="CM12" s="56" t="s">
        <v>288</v>
      </c>
      <c r="CN12" s="56" t="s">
        <v>289</v>
      </c>
      <c r="CO12" s="56" t="s">
        <v>290</v>
      </c>
      <c r="CP12" s="56" t="s">
        <v>291</v>
      </c>
      <c r="CQ12" s="56" t="s">
        <v>292</v>
      </c>
      <c r="CR12" s="56" t="s">
        <v>293</v>
      </c>
      <c r="CS12" s="56" t="s">
        <v>294</v>
      </c>
      <c r="CT12" s="56" t="s">
        <v>295</v>
      </c>
      <c r="CU12" s="56" t="s">
        <v>296</v>
      </c>
      <c r="CV12" s="56" t="s">
        <v>297</v>
      </c>
      <c r="CW12" s="56" t="s">
        <v>298</v>
      </c>
      <c r="CX12" s="56" t="s">
        <v>299</v>
      </c>
      <c r="CY12" s="56" t="s">
        <v>300</v>
      </c>
      <c r="CZ12" s="56" t="s">
        <v>301</v>
      </c>
      <c r="DA12" s="56" t="s">
        <v>302</v>
      </c>
      <c r="DB12" s="56" t="s">
        <v>303</v>
      </c>
      <c r="DC12" s="56" t="s">
        <v>304</v>
      </c>
      <c r="DD12" s="56" t="s">
        <v>305</v>
      </c>
      <c r="DE12" s="56" t="s">
        <v>306</v>
      </c>
      <c r="DF12" s="56" t="s">
        <v>307</v>
      </c>
      <c r="DG12" s="56" t="s">
        <v>308</v>
      </c>
      <c r="DH12" s="56" t="s">
        <v>309</v>
      </c>
      <c r="DI12" s="56" t="s">
        <v>310</v>
      </c>
      <c r="DJ12" s="56" t="s">
        <v>311</v>
      </c>
      <c r="DK12" s="56" t="s">
        <v>312</v>
      </c>
      <c r="DL12" s="56" t="s">
        <v>313</v>
      </c>
      <c r="DM12" s="56" t="s">
        <v>314</v>
      </c>
      <c r="DN12" s="56" t="s">
        <v>315</v>
      </c>
      <c r="DO12" s="56" t="s">
        <v>316</v>
      </c>
      <c r="DP12" s="56" t="s">
        <v>317</v>
      </c>
      <c r="DQ12" s="56" t="s">
        <v>318</v>
      </c>
      <c r="DR12" s="56" t="s">
        <v>319</v>
      </c>
      <c r="DS12" s="56" t="s">
        <v>320</v>
      </c>
      <c r="DT12" s="56" t="s">
        <v>321</v>
      </c>
      <c r="DU12" s="56" t="s">
        <v>322</v>
      </c>
      <c r="DV12" s="56" t="s">
        <v>323</v>
      </c>
      <c r="DW12" s="56" t="s">
        <v>324</v>
      </c>
      <c r="DX12" s="57" t="s">
        <v>325</v>
      </c>
      <c r="DY12" s="58" t="s">
        <v>326</v>
      </c>
      <c r="DZ12" s="56" t="s">
        <v>327</v>
      </c>
      <c r="EA12" s="56" t="s">
        <v>328</v>
      </c>
      <c r="EB12" s="56" t="s">
        <v>329</v>
      </c>
      <c r="EC12" s="56" t="s">
        <v>330</v>
      </c>
      <c r="ED12" s="56" t="s">
        <v>331</v>
      </c>
      <c r="EE12" s="56" t="s">
        <v>332</v>
      </c>
      <c r="EF12" s="56" t="s">
        <v>333</v>
      </c>
      <c r="EG12" s="56" t="s">
        <v>334</v>
      </c>
      <c r="EH12" s="56" t="s">
        <v>335</v>
      </c>
      <c r="EI12" s="56" t="s">
        <v>336</v>
      </c>
      <c r="EJ12" s="56" t="s">
        <v>337</v>
      </c>
      <c r="EK12" s="56" t="s">
        <v>338</v>
      </c>
      <c r="EL12" s="56" t="s">
        <v>339</v>
      </c>
      <c r="EM12" s="56" t="s">
        <v>340</v>
      </c>
      <c r="EN12" s="56" t="s">
        <v>341</v>
      </c>
      <c r="EO12" s="56" t="s">
        <v>342</v>
      </c>
      <c r="EP12" s="56" t="s">
        <v>343</v>
      </c>
      <c r="EQ12" s="56" t="s">
        <v>344</v>
      </c>
      <c r="ER12" s="56" t="s">
        <v>345</v>
      </c>
      <c r="ES12" s="56" t="s">
        <v>346</v>
      </c>
      <c r="ET12" s="56" t="s">
        <v>347</v>
      </c>
      <c r="EU12" s="56" t="s">
        <v>348</v>
      </c>
      <c r="EV12" s="56" t="s">
        <v>349</v>
      </c>
      <c r="EW12" s="56" t="s">
        <v>350</v>
      </c>
      <c r="EX12" s="56" t="s">
        <v>351</v>
      </c>
      <c r="EY12" s="56" t="s">
        <v>352</v>
      </c>
      <c r="EZ12" s="56" t="s">
        <v>353</v>
      </c>
      <c r="FA12" s="56" t="s">
        <v>354</v>
      </c>
      <c r="FB12" s="56" t="s">
        <v>355</v>
      </c>
      <c r="FC12" s="56" t="s">
        <v>356</v>
      </c>
      <c r="FD12" s="56" t="s">
        <v>357</v>
      </c>
      <c r="FE12" s="56" t="s">
        <v>358</v>
      </c>
      <c r="FF12" s="56" t="s">
        <v>359</v>
      </c>
      <c r="FG12" s="56" t="s">
        <v>360</v>
      </c>
      <c r="FH12" s="56" t="s">
        <v>361</v>
      </c>
      <c r="FI12" s="56" t="s">
        <v>362</v>
      </c>
      <c r="FJ12" s="56" t="s">
        <v>363</v>
      </c>
      <c r="FK12" s="56" t="s">
        <v>364</v>
      </c>
      <c r="FL12" s="56" t="s">
        <v>365</v>
      </c>
      <c r="FM12" s="59" t="s">
        <v>366</v>
      </c>
      <c r="FN12" s="54" t="s">
        <v>367</v>
      </c>
      <c r="FO12" s="55" t="s">
        <v>368</v>
      </c>
      <c r="FP12" s="56" t="s">
        <v>369</v>
      </c>
      <c r="FQ12" s="56" t="s">
        <v>370</v>
      </c>
      <c r="FR12" s="56" t="s">
        <v>371</v>
      </c>
      <c r="FS12" s="56" t="s">
        <v>372</v>
      </c>
      <c r="FT12" s="56" t="s">
        <v>373</v>
      </c>
      <c r="FU12" s="56" t="s">
        <v>374</v>
      </c>
      <c r="FV12" s="56" t="s">
        <v>375</v>
      </c>
      <c r="FW12" s="56" t="s">
        <v>376</v>
      </c>
      <c r="FX12" s="56" t="s">
        <v>377</v>
      </c>
      <c r="FY12" s="56" t="s">
        <v>378</v>
      </c>
      <c r="FZ12" s="56" t="s">
        <v>379</v>
      </c>
      <c r="GA12" s="56" t="s">
        <v>380</v>
      </c>
      <c r="GB12" s="56" t="s">
        <v>381</v>
      </c>
      <c r="GC12" s="56" t="s">
        <v>382</v>
      </c>
      <c r="GD12" s="56" t="s">
        <v>383</v>
      </c>
      <c r="GE12" s="56" t="s">
        <v>384</v>
      </c>
      <c r="GF12" s="56" t="s">
        <v>385</v>
      </c>
      <c r="GG12" s="56" t="s">
        <v>386</v>
      </c>
      <c r="GH12" s="56" t="s">
        <v>387</v>
      </c>
      <c r="GI12" s="56" t="s">
        <v>388</v>
      </c>
      <c r="GJ12" s="56" t="s">
        <v>389</v>
      </c>
      <c r="GK12" s="56" t="s">
        <v>390</v>
      </c>
      <c r="GL12" s="56" t="s">
        <v>391</v>
      </c>
      <c r="GM12" s="56" t="s">
        <v>392</v>
      </c>
      <c r="GN12" s="56" t="s">
        <v>393</v>
      </c>
      <c r="GO12" s="56" t="s">
        <v>394</v>
      </c>
      <c r="GP12" s="56" t="s">
        <v>395</v>
      </c>
      <c r="GQ12" s="56" t="s">
        <v>396</v>
      </c>
      <c r="GR12" s="49" t="s">
        <v>397</v>
      </c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34" t="s">
        <v>398</v>
      </c>
    </row>
    <row r="13" spans="1:211" s="7" customFormat="1" ht="54.9" customHeight="1">
      <c r="A13" s="7">
        <v>13</v>
      </c>
      <c r="B13" s="60" t="s">
        <v>737</v>
      </c>
      <c r="C13" s="55" t="s">
        <v>736</v>
      </c>
      <c r="D13" s="58" t="str">
        <f>+CONCATENATE(D11," ",D12)</f>
        <v>010101 Cultivo de trigo</v>
      </c>
      <c r="E13" s="58" t="str">
        <f t="shared" ref="E13:BP13" si="4">+CONCATENATE(E11," ",E12)</f>
        <v>010102 Cultivo de arroz con cáscara</v>
      </c>
      <c r="F13" s="58" t="str">
        <f t="shared" si="4"/>
        <v>010103 Cultivo de maíz</v>
      </c>
      <c r="G13" s="58" t="str">
        <f t="shared" si="4"/>
        <v>010104 Cultivo de quinua</v>
      </c>
      <c r="H13" s="58" t="str">
        <f t="shared" si="4"/>
        <v>010105 Cultivo de cereales diversos (1)</v>
      </c>
      <c r="I13" s="58" t="str">
        <f t="shared" si="4"/>
        <v>010201 Cultivo de leguminosas (2)</v>
      </c>
      <c r="J13" s="58" t="str">
        <f t="shared" si="4"/>
        <v>010202 Cultivo de raíces, bulbos y hortalizas tuberosas (3)</v>
      </c>
      <c r="K13" s="58" t="str">
        <f t="shared" si="4"/>
        <v>010203 Cultivo de hortalizas de hoja o de tallo (4)</v>
      </c>
      <c r="L13" s="58" t="str">
        <f t="shared" si="4"/>
        <v>010204 Cultivo de hortalizas productoras de frutos (5)</v>
      </c>
      <c r="M13" s="58" t="str">
        <f t="shared" si="4"/>
        <v>010301 Cultivo de papa y sus derivados</v>
      </c>
      <c r="N13" s="58" t="str">
        <f t="shared" si="4"/>
        <v>010302 Cultivo de otros tubérculos (6)</v>
      </c>
      <c r="O13" s="58" t="str">
        <f t="shared" si="4"/>
        <v>010401 Cultivo de cítricos (7)</v>
      </c>
      <c r="P13" s="58" t="str">
        <f t="shared" si="4"/>
        <v>010402 Cultivo de uva</v>
      </c>
      <c r="Q13" s="58" t="str">
        <f t="shared" si="4"/>
        <v>010403 Cultivo de banano y plátano</v>
      </c>
      <c r="R13" s="58" t="str">
        <f t="shared" si="4"/>
        <v>010404 Cultivo de frutas diversas (8)</v>
      </c>
      <c r="S13" s="58" t="str">
        <f t="shared" si="4"/>
        <v>010501 Cultivo de soya</v>
      </c>
      <c r="T13" s="58" t="str">
        <f t="shared" si="4"/>
        <v>010502 Cultivo de girasol</v>
      </c>
      <c r="U13" s="58" t="str">
        <f t="shared" si="4"/>
        <v>010503 Cultivo de otras oleaginosas (9)</v>
      </c>
      <c r="V13" s="58" t="str">
        <f t="shared" si="4"/>
        <v>010601 Cultivo de fibra (10)</v>
      </c>
      <c r="W13" s="58" t="str">
        <f t="shared" si="4"/>
        <v>010701 Cultivo de café</v>
      </c>
      <c r="X13" s="58" t="str">
        <f t="shared" si="4"/>
        <v>010702 Cultivo de estimulantes diversos (11)</v>
      </c>
      <c r="Y13" s="58" t="str">
        <f t="shared" si="4"/>
        <v>010801 Cultivo de especias (12)</v>
      </c>
      <c r="Z13" s="58" t="str">
        <f t="shared" si="4"/>
        <v>010901 Cultivo de forrajes (13)</v>
      </c>
      <c r="AA13" s="58" t="str">
        <f t="shared" si="4"/>
        <v>011001 Cultivo de flores frescas y desarrollo de plantaciones (14)</v>
      </c>
      <c r="AB13" s="58" t="str">
        <f t="shared" si="4"/>
        <v>011101 Cultivo de tabaco en rama</v>
      </c>
      <c r="AC13" s="58" t="str">
        <f t="shared" si="4"/>
        <v>011201 Cultivos sacarinos (15)</v>
      </c>
      <c r="AD13" s="58" t="str">
        <f t="shared" si="4"/>
        <v>011301 Actividades de apoyo a la agricultura y actividades de poscosecha</v>
      </c>
      <c r="AE13" s="58" t="str">
        <f t="shared" si="4"/>
        <v>020101 Cultivo de hoja de coca</v>
      </c>
      <c r="AF13" s="58" t="str">
        <f t="shared" si="4"/>
        <v>030101 Cría de ganado bovino</v>
      </c>
      <c r="AG13" s="58" t="str">
        <f t="shared" si="4"/>
        <v>030102 Cría de ganado porcino</v>
      </c>
      <c r="AH13" s="58" t="str">
        <f t="shared" si="4"/>
        <v>030103 Cría de ganado camélido</v>
      </c>
      <c r="AI13" s="58" t="str">
        <f t="shared" si="4"/>
        <v>030104 Cría de ganado ovino y caprino</v>
      </c>
      <c r="AJ13" s="58" t="str">
        <f t="shared" si="4"/>
        <v>030105 Cría de ganado equino</v>
      </c>
      <c r="AK13" s="58" t="str">
        <f t="shared" si="4"/>
        <v>030199 Cría de otros animales vivos (1)</v>
      </c>
      <c r="AL13" s="58" t="str">
        <f t="shared" si="4"/>
        <v>030201 Cría de aves de corral (2)</v>
      </c>
      <c r="AM13" s="58" t="str">
        <f t="shared" si="4"/>
        <v>030301 Servicios prestados a la Ganadería</v>
      </c>
      <c r="AN13" s="58" t="str">
        <f t="shared" si="4"/>
        <v>040101 Extracción de madera</v>
      </c>
      <c r="AO13" s="58" t="str">
        <f t="shared" si="4"/>
        <v>040102 Silvicultura y otras actividades forestales (1)</v>
      </c>
      <c r="AP13" s="58" t="str">
        <f t="shared" si="4"/>
        <v>040103 Recolección de productos forestales distintos de la madera</v>
      </c>
      <c r="AQ13" s="58" t="str">
        <f t="shared" si="4"/>
        <v>040201 Captura de peces vivos o frescos  (2)</v>
      </c>
      <c r="AR13" s="58" t="str">
        <f t="shared" si="4"/>
        <v>040301 Caza  y captura de animales</v>
      </c>
      <c r="AS13" s="58" t="str">
        <f t="shared" si="4"/>
        <v>040401 Actividades de apoyo a la silvicultura</v>
      </c>
      <c r="AT13" s="58" t="str">
        <f t="shared" si="4"/>
        <v>050101 Extracción de petróleo crudo y condensado, Extracción de gas natural</v>
      </c>
      <c r="AU13" s="58" t="str">
        <f t="shared" si="4"/>
        <v>050201 Servicios de exploración relacionados con la extracción de petróleo y gas</v>
      </c>
      <c r="AV13" s="58" t="str">
        <f t="shared" si="4"/>
        <v>060101 Extracción Estaño concentrado</v>
      </c>
      <c r="AW13" s="58" t="str">
        <f t="shared" si="4"/>
        <v>060102 Extracción Oro concentrado</v>
      </c>
      <c r="AX13" s="58" t="str">
        <f t="shared" si="4"/>
        <v>060103 Extracción Minerales concentrados</v>
      </c>
      <c r="AY13" s="58" t="str">
        <f t="shared" si="4"/>
        <v>060104 Extracción Hierro concentrado</v>
      </c>
      <c r="AZ13" s="58" t="str">
        <f t="shared" si="4"/>
        <v>060105 Extracción Minerales metálicos concentrados diversos (1)</v>
      </c>
      <c r="BA13" s="58" t="str">
        <f t="shared" si="4"/>
        <v>060201 Extracción Minerales no metálicos para la industria química (2)</v>
      </c>
      <c r="BB13" s="58" t="str">
        <f t="shared" si="4"/>
        <v>060202 Extracción Piedras preciosas y semipreciosas (3)</v>
      </c>
      <c r="BC13" s="58" t="str">
        <f t="shared" si="4"/>
        <v>060203 Extracción Minerales no metálicos para la construcción (4)</v>
      </c>
      <c r="BD13" s="58" t="str">
        <f t="shared" si="4"/>
        <v>060301 Servicios de exploración, relacionados con la extracción de minerales, perforaciones de prueba y sondeos.</v>
      </c>
      <c r="BE13" s="58" t="str">
        <f t="shared" si="4"/>
        <v>070101 Elaboración de carnes frescas, refrigeradas o congeladas de ganado bovino y sus derivados</v>
      </c>
      <c r="BF13" s="58" t="str">
        <f t="shared" si="4"/>
        <v>070102 Elaboración de carnes frescas, refrigeradas o congeladas de ganado porcino y sus derivados</v>
      </c>
      <c r="BG13" s="58" t="str">
        <f t="shared" si="4"/>
        <v>070103 Elaboración de otras carnes frescas, refrigeradas o congeladas y sus derivados</v>
      </c>
      <c r="BH13" s="58" t="str">
        <f t="shared" si="4"/>
        <v>070104 Elaboración de carnes frescas, refrigeradas o congeladas de aves de corral y sus derivados</v>
      </c>
      <c r="BI13" s="58" t="str">
        <f t="shared" si="4"/>
        <v>070105 Explotación de mataderos que realizan actividades de matanza</v>
      </c>
      <c r="BJ13" s="58" t="str">
        <f t="shared" si="4"/>
        <v>070106 Elaboración y conservacion de carnes, embutidos y derivados</v>
      </c>
      <c r="BK13" s="58" t="str">
        <f t="shared" si="4"/>
        <v>070201 Elaboración y conservación de pescado</v>
      </c>
      <c r="BL13" s="58" t="str">
        <f t="shared" si="4"/>
        <v>080101 Elaboración de leche pasteurizada y subproductos grasos</v>
      </c>
      <c r="BM13" s="58" t="str">
        <f t="shared" si="4"/>
        <v>080102 Elaboración de leche en polvo</v>
      </c>
      <c r="BN13" s="58" t="str">
        <f t="shared" si="4"/>
        <v>080103 Elaboración de leche fermentada o yogurt</v>
      </c>
      <c r="BO13" s="58" t="str">
        <f t="shared" si="4"/>
        <v>080199 Elaboración de otros productos lácteos</v>
      </c>
      <c r="BP13" s="58" t="str">
        <f t="shared" si="4"/>
        <v xml:space="preserve">080201 Elaboración de quesos frescos o procesados </v>
      </c>
      <c r="BQ13" s="58" t="str">
        <f t="shared" ref="BQ13:EB13" si="5">+CONCATENATE(BQ11," ",BQ12)</f>
        <v>090101 Elaboración de harina de trigo y subproductos de la molienda de trigo</v>
      </c>
      <c r="BR13" s="58" t="str">
        <f t="shared" si="5"/>
        <v>090102 Elaboración de otras harinas y subproductos de cereales</v>
      </c>
      <c r="BS13" s="58" t="str">
        <f t="shared" si="5"/>
        <v>090103 Elaboración de arroz descascarillado, molido, pulido y blanqueado</v>
      </c>
      <c r="BT13" s="58" t="str">
        <f t="shared" si="5"/>
        <v>090201 Elaboración de pan de batalla</v>
      </c>
      <c r="BU13" s="58" t="str">
        <f t="shared" si="5"/>
        <v>090202 Elaboración de fideos y pastas</v>
      </c>
      <c r="BV13" s="58" t="str">
        <f t="shared" si="5"/>
        <v>090299 Elaboración de otros productos de panadería</v>
      </c>
      <c r="BW13" s="58" t="str">
        <f t="shared" si="5"/>
        <v>090301 Beneficiado de café</v>
      </c>
      <c r="BX13" s="58" t="str">
        <f t="shared" si="5"/>
        <v>090302 Beneficiado de castaña</v>
      </c>
      <c r="BY13" s="58" t="str">
        <f t="shared" si="5"/>
        <v>090303 Beneficiado de quinua</v>
      </c>
      <c r="BZ13" s="58" t="str">
        <f t="shared" si="5"/>
        <v>090304 Actividades de servicios de beneficiado</v>
      </c>
      <c r="CA13" s="58" t="str">
        <f t="shared" si="5"/>
        <v>100101 Elaboración de azúcar refinada de caña, melaza y otros de industria azucarera</v>
      </c>
      <c r="CB13" s="58" t="str">
        <f t="shared" si="5"/>
        <v>110101 Elaboración de aceite y grasa vegetal crudo de soya (1)</v>
      </c>
      <c r="CC13" s="58" t="str">
        <f t="shared" si="5"/>
        <v>110102 Elaboración de aceite y grasa vegetal crudo de girasol</v>
      </c>
      <c r="CD13" s="58" t="str">
        <f t="shared" si="5"/>
        <v>110103 Elaboración de aceites y grasas vegetales refinados</v>
      </c>
      <c r="CE13" s="58" t="str">
        <f t="shared" si="5"/>
        <v>110104 Elaboración de margarina, manteca y aceites mezclados</v>
      </c>
      <c r="CF13" s="58" t="str">
        <f t="shared" si="5"/>
        <v>110201 Elaboración de aceites y grasas de origen animal  no comestibles</v>
      </c>
      <c r="CG13" s="58" t="str">
        <f t="shared" si="5"/>
        <v>120101 Elaboración de alimentos balanceados</v>
      </c>
      <c r="CH13" s="58" t="str">
        <f t="shared" si="5"/>
        <v>120201 Elaboración productos de de cacao y confitería</v>
      </c>
      <c r="CI13" s="58" t="str">
        <f t="shared" si="5"/>
        <v>120301 Elaboración y conservación de frutas, legumbres y hortalizas</v>
      </c>
      <c r="CJ13" s="58" t="str">
        <f t="shared" si="5"/>
        <v>120401 Elaboración de café y sucedáneos</v>
      </c>
      <c r="CK13" s="58" t="str">
        <f t="shared" si="5"/>
        <v>120501 Elaboración de té, mates y otras infusiones</v>
      </c>
      <c r="CL13" s="58" t="str">
        <f t="shared" si="5"/>
        <v>120601 Elaboración de otros productos alimenticios (1)</v>
      </c>
      <c r="CM13" s="58" t="str">
        <f t="shared" si="5"/>
        <v>130101 Elaboración de cerveza y malta</v>
      </c>
      <c r="CN13" s="58" t="str">
        <f t="shared" si="5"/>
        <v>130102 Elaboración de vino y otras bebidas alcohólicas fermentadas (1)</v>
      </c>
      <c r="CO13" s="58" t="str">
        <f t="shared" si="5"/>
        <v>130201 Elaboración de bebidas alcohólicas destiladas (2)</v>
      </c>
      <c r="CP13" s="58" t="str">
        <f t="shared" si="5"/>
        <v>130301 Elaboración de bebidas no alcohólicas bebidas gaseosas, aguas minerales, bebidas no gaseosas y jugos</v>
      </c>
      <c r="CQ13" s="58" t="str">
        <f t="shared" si="5"/>
        <v>130401 Elaboración de productos de tabaco</v>
      </c>
      <c r="CR13" s="58" t="str">
        <f t="shared" si="5"/>
        <v>140101 Preparación e hilatura de fibras textiles</v>
      </c>
      <c r="CS13" s="58" t="str">
        <f t="shared" si="5"/>
        <v>140201 Fabricación de tejidos o telas</v>
      </c>
      <c r="CT13" s="58" t="str">
        <f t="shared" si="5"/>
        <v>140301 Fabricación de prendas de vestir (1)</v>
      </c>
      <c r="CU13" s="58" t="str">
        <f t="shared" si="5"/>
        <v>140302 Fabricación de prendas y accesorios de vestir de cuero natural o artificial y sombreros de fieltro</v>
      </c>
      <c r="CV13" s="58" t="str">
        <f t="shared" si="5"/>
        <v>140401 Fabricación de artículos textiles (2)</v>
      </c>
      <c r="CW13" s="58" t="str">
        <f t="shared" si="5"/>
        <v>140501 Curtido y adobo de cueros, adobo y teñido de pieles</v>
      </c>
      <c r="CX13" s="58" t="str">
        <f t="shared" si="5"/>
        <v>140502 Fabricación de maletas, bolsos de mano, productos y artículos similares de cuero</v>
      </c>
      <c r="CY13" s="58" t="str">
        <f t="shared" si="5"/>
        <v>140503 Fabricación de calzados</v>
      </c>
      <c r="CZ13" s="58" t="str">
        <f t="shared" si="5"/>
        <v>140601 Actividades de servicios prestados a la industria textil y cueros</v>
      </c>
      <c r="DA13" s="58" t="str">
        <f t="shared" si="5"/>
        <v>150101 Aserrado y acepilladura de madera (1)</v>
      </c>
      <c r="DB13" s="58" t="str">
        <f t="shared" si="5"/>
        <v>150201 Fabricación de tableros, hojas, paneles y otros aglomerados (2)</v>
      </c>
      <c r="DC13" s="58" t="str">
        <f t="shared" si="5"/>
        <v>150202 Fabricación de piezas de carpinteria para contrucciones (3)</v>
      </c>
      <c r="DD13" s="58" t="str">
        <f t="shared" si="5"/>
        <v>150203 Fabricación de productos y recipientes de madera, artículos de corcho, paja y materiales trenzables (4)</v>
      </c>
      <c r="DE13" s="58" t="str">
        <f t="shared" si="5"/>
        <v>160101 Fabricación de pasta de papel, madera u otras materias celulósicas</v>
      </c>
      <c r="DF13" s="58" t="str">
        <f t="shared" si="5"/>
        <v>160201 Fabricación de papel y cartón</v>
      </c>
      <c r="DG13" s="58" t="str">
        <f t="shared" si="5"/>
        <v>160202 Fabricación de productos y derivados de papel y cartón (1)</v>
      </c>
      <c r="DH13" s="58" t="str">
        <f t="shared" si="5"/>
        <v>160301 Impresión</v>
      </c>
      <c r="DI13" s="58" t="str">
        <f t="shared" si="5"/>
        <v>160401 Actividades de servicios prestados a la industria de papel, impresión y artículos análogos</v>
      </c>
      <c r="DJ13" s="58" t="str">
        <f t="shared" si="5"/>
        <v>170101 Fabricacion de Carburantes, Aceites y grasas, Gases de refinería</v>
      </c>
      <c r="DK13" s="58" t="str">
        <f t="shared" si="5"/>
        <v>180101 Fabricación de químicos orgánicos básicos excepto alcoholes</v>
      </c>
      <c r="DL13" s="58" t="str">
        <f t="shared" si="5"/>
        <v>180102 Fabricación de químicos inorgánicos básicos</v>
      </c>
      <c r="DM13" s="58" t="str">
        <f t="shared" si="5"/>
        <v>180103 Fabricación de extractos tintóreos, curtientes y otros colorantes</v>
      </c>
      <c r="DN13" s="58" t="str">
        <f t="shared" si="5"/>
        <v>180104 Fabricación de alcoholes</v>
      </c>
      <c r="DO13" s="58" t="str">
        <f t="shared" si="5"/>
        <v>180201 Fabricación de abonos y plaguicidas</v>
      </c>
      <c r="DP13" s="58" t="str">
        <f t="shared" si="5"/>
        <v>180301 Fabricación de Plásticos en formas primarias (1)</v>
      </c>
      <c r="DQ13" s="58" t="str">
        <f t="shared" si="5"/>
        <v>180401 Fabricación de pinturas, barnices y productos conexos</v>
      </c>
      <c r="DR13" s="58" t="str">
        <f t="shared" si="5"/>
        <v>180501 Fabricación de productos farmacéuticos</v>
      </c>
      <c r="DS13" s="58" t="str">
        <f t="shared" si="5"/>
        <v>180601 Fabricación de productos de limpieza y tocador</v>
      </c>
      <c r="DT13" s="58" t="str">
        <f t="shared" si="5"/>
        <v>180701 Fabricación de productos de caucho</v>
      </c>
      <c r="DU13" s="58" t="str">
        <f t="shared" si="5"/>
        <v>180801 Fabricación de productos de plástico</v>
      </c>
      <c r="DV13" s="58" t="str">
        <f t="shared" si="5"/>
        <v>180901 Fabricación de otros productos químicos (2)</v>
      </c>
      <c r="DW13" s="58" t="str">
        <f t="shared" si="5"/>
        <v>181001 Fabricación de productos químicos de uso ilícito</v>
      </c>
      <c r="DX13" s="58" t="str">
        <f t="shared" si="5"/>
        <v>190101 Fabricación de vidrio y productos de vidrio</v>
      </c>
      <c r="DY13" s="58" t="str">
        <f t="shared" si="5"/>
        <v>190201 Fabricación de artículos de cerámica no estructurales,  productos refractarios y productos de arcilla no refractarios estructurales</v>
      </c>
      <c r="DZ13" s="58" t="str">
        <f t="shared" si="5"/>
        <v>190301 Fabricación de cemento</v>
      </c>
      <c r="EA13" s="58" t="str">
        <f t="shared" si="5"/>
        <v>190302 Fabricación de clinker</v>
      </c>
      <c r="EB13" s="58" t="str">
        <f t="shared" si="5"/>
        <v>190303 Fabricación de cal viva, cal hidratada, cal hidráulica y yeso (estuco)</v>
      </c>
      <c r="EC13" s="58" t="str">
        <f t="shared" ref="EC13:GN13" si="6">+CONCATENATE(EC11," ",EC12)</f>
        <v>190304 Fabricación de artículos de concreto (hormigón), de cemento, yeso; piedra de construccion o de talla y otros productos minerales no metalicos</v>
      </c>
      <c r="ED13" s="58" t="str">
        <f t="shared" si="6"/>
        <v>200101 Fabricacion de materiales primarios del hierro y aleaciones de minerales metalicos preciosos y sus subproductos</v>
      </c>
      <c r="EE13" s="58" t="str">
        <f t="shared" si="6"/>
        <v>200201 Fabricación de estaño metálico fundido</v>
      </c>
      <c r="EF13" s="58" t="str">
        <f t="shared" si="6"/>
        <v>200202 Fabricación de Oro metálico fundido</v>
      </c>
      <c r="EG13" s="58" t="str">
        <f t="shared" si="6"/>
        <v>200203 Fabricacion de plata metálico fundido</v>
      </c>
      <c r="EH13" s="58" t="str">
        <f t="shared" si="6"/>
        <v>200204 Fabricacion de cobre catodos</v>
      </c>
      <c r="EI13" s="58" t="str">
        <f t="shared" si="6"/>
        <v>200205 Fabricacion de otros minerales metálicos</v>
      </c>
      <c r="EJ13" s="58" t="str">
        <f t="shared" si="6"/>
        <v>200301 Fabricación de productos metálicos manufacturados</v>
      </c>
      <c r="EK13" s="58" t="str">
        <f t="shared" si="6"/>
        <v>210101 Fabricación de maquinaria y equipo de usos generales (1)</v>
      </c>
      <c r="EL13" s="58" t="str">
        <f t="shared" si="6"/>
        <v>210201 Fabricación de maquinaria y equipo de usos especiales (2)</v>
      </c>
      <c r="EM13" s="58" t="str">
        <f t="shared" si="6"/>
        <v>210301 Fabricación de aparatos para uso doméstico eléctrico y no eléctrico (3)</v>
      </c>
      <c r="EN13" s="58" t="str">
        <f t="shared" si="6"/>
        <v>210401 Fabricación de equipo de informática y maquinas de oficina (4)</v>
      </c>
      <c r="EO13" s="58" t="str">
        <f t="shared" si="6"/>
        <v>210501 Fabricación de equipo eléctrico y dispositivos de cableado (5)</v>
      </c>
      <c r="EP13" s="58" t="str">
        <f t="shared" si="6"/>
        <v>210601 Fabricación de aparatos de radio, televisión y comunicaciones</v>
      </c>
      <c r="EQ13" s="58" t="str">
        <f t="shared" si="6"/>
        <v>210701 Fabricación de aparatos médicos, instrumentos ópticos y de precisión (incluye relojes) (6)</v>
      </c>
      <c r="ER13" s="58" t="str">
        <f t="shared" si="6"/>
        <v>210801 Fabricacón de maquinaria y equipo de transporte (7)</v>
      </c>
      <c r="ES13" s="58" t="str">
        <f t="shared" si="6"/>
        <v>220101 Fabricación de muebles y colchones</v>
      </c>
      <c r="ET13" s="58" t="str">
        <f t="shared" si="6"/>
        <v>220201 Fabricación de joyas y artículos conexos</v>
      </c>
      <c r="EU13" s="58" t="str">
        <f t="shared" si="6"/>
        <v>220301 Fabricación de instrumentos de música, deporte,  juegos y juguetes</v>
      </c>
      <c r="EV13" s="58" t="str">
        <f t="shared" si="6"/>
        <v>220401 Fabricación  de artículos manufacturados diversos</v>
      </c>
      <c r="EW13" s="58" t="str">
        <f t="shared" si="6"/>
        <v>220501 Reparación y mantenimiento de maquinaria y equipo e instalacion de productos metalicos</v>
      </c>
      <c r="EX13" s="58" t="str">
        <f t="shared" si="6"/>
        <v>230101 Generación de electricidad</v>
      </c>
      <c r="EY13" s="58" t="str">
        <f t="shared" si="6"/>
        <v xml:space="preserve">230102 Transmisión de electricidad </v>
      </c>
      <c r="EZ13" s="58" t="str">
        <f t="shared" si="6"/>
        <v>230103 Distribución de electricidad</v>
      </c>
      <c r="FA13" s="58" t="str">
        <f t="shared" si="6"/>
        <v>230201 Captación, tratamiento, distribución de agua (1)</v>
      </c>
      <c r="FB13" s="58" t="str">
        <f t="shared" si="6"/>
        <v>230301 Recogida, tratamiento y eliminación de desechos; recuperación de materiales y, evacuación de aguas residuales (2)</v>
      </c>
      <c r="FC13" s="58" t="str">
        <f t="shared" si="6"/>
        <v>240101 Construcción de edificaciones residenciales</v>
      </c>
      <c r="FD13" s="58" t="str">
        <f t="shared" si="6"/>
        <v>240102 Construcción de edificaciones no residenciales (1)</v>
      </c>
      <c r="FE13" s="58" t="str">
        <f t="shared" si="6"/>
        <v xml:space="preserve">240103 Trabajos de reparación y mantenimiento de edificaciones (2) </v>
      </c>
      <c r="FF13" s="58" t="str">
        <f t="shared" si="6"/>
        <v>240201 Alquiler de maquinaría y equipo de construcción con operarion y otros servicios para la construcción (3)</v>
      </c>
      <c r="FG13" s="58" t="str">
        <f t="shared" si="6"/>
        <v>250101 Construcción de obras de ingeniería civil (1)</v>
      </c>
      <c r="FH13" s="58" t="str">
        <f t="shared" si="6"/>
        <v>250201 Actividades de mejoramiento y mantenimiento (2)</v>
      </c>
      <c r="FI13" s="58" t="str">
        <f t="shared" si="6"/>
        <v>260101 Comercio al por mayor y menor</v>
      </c>
      <c r="FJ13" s="58" t="str">
        <f t="shared" si="6"/>
        <v>260102 Reparacion de vehiculos automotores y motocicletas</v>
      </c>
      <c r="FK13" s="58" t="str">
        <f t="shared" si="6"/>
        <v>270101 Transporte por ferrocarril de pasajeros y de carga.</v>
      </c>
      <c r="FL13" s="58" t="str">
        <f t="shared" si="6"/>
        <v>270201 Transporte por carretera de pasajeros y carga por carretera</v>
      </c>
      <c r="FM13" s="58" t="str">
        <f t="shared" si="6"/>
        <v>270301 Transporte urbano de pasajeros y carga</v>
      </c>
      <c r="FN13" s="58" t="str">
        <f t="shared" si="6"/>
        <v xml:space="preserve">270401 Transporte por vía aérea de pasajeros y de carga </v>
      </c>
      <c r="FO13" s="58" t="str">
        <f t="shared" si="6"/>
        <v xml:space="preserve">270501 Transporte vía Acuática de Pasajeros y Carga. </v>
      </c>
      <c r="FP13" s="58" t="str">
        <f t="shared" si="6"/>
        <v>270601 Transporte por ductos</v>
      </c>
      <c r="FQ13" s="58" t="str">
        <f t="shared" si="6"/>
        <v>270701 Almacenamiento y actividades de apoyo al transporte (1)</v>
      </c>
      <c r="FR13" s="58" t="str">
        <f t="shared" si="6"/>
        <v>270702 Actividades postales y de mensajeria (local, nacional e internacional)</v>
      </c>
      <c r="FS13" s="58" t="str">
        <f t="shared" si="6"/>
        <v>280101 Actividades de alojamiento (1)</v>
      </c>
      <c r="FT13" s="58" t="str">
        <f t="shared" si="6"/>
        <v>280102 Actividades de servicio de comidas y bebidas</v>
      </c>
      <c r="FU13" s="58" t="str">
        <f t="shared" si="6"/>
        <v>290101 Actividades de servicios de telefonía y telecomunicaciones (1)</v>
      </c>
      <c r="FV13" s="58" t="str">
        <f t="shared" si="6"/>
        <v>290102 Actividades de servicios de programación, transmisión y exhibición y otras actividades de comunicación (2)</v>
      </c>
      <c r="FW13" s="58" t="str">
        <f t="shared" si="6"/>
        <v>300101 Banca central</v>
      </c>
      <c r="FX13" s="58" t="str">
        <f t="shared" si="6"/>
        <v>300201 Actividades de intermediación financiera</v>
      </c>
      <c r="FY13" s="58" t="str">
        <f t="shared" si="6"/>
        <v>300301 Actividades de seguros, reaseguros y fondos de pensiones</v>
      </c>
      <c r="FZ13" s="58" t="str">
        <f t="shared" si="6"/>
        <v>300401 Actividades de auxiliares financieros</v>
      </c>
      <c r="GA13" s="58" t="str">
        <f t="shared" si="6"/>
        <v>310101 Alquiler de edificaciones  residenciales</v>
      </c>
      <c r="GB13" s="58" t="str">
        <f t="shared" si="6"/>
        <v>310201 Alquiler de edificaciones no residenciales</v>
      </c>
      <c r="GC13" s="58" t="str">
        <f t="shared" si="6"/>
        <v>310301 Actividades inmobiliarias</v>
      </c>
      <c r="GD13" s="58" t="str">
        <f t="shared" si="6"/>
        <v>320101 Actividades de arrendamiento de transporte, maquinaria y equipo sin operarios, y de otros productos n.c.p. (1)</v>
      </c>
      <c r="GE13" s="58" t="str">
        <f t="shared" si="6"/>
        <v>320201 Actividades de investigación y desarrollo, servicios profesionales, científicos y técnicos (2)</v>
      </c>
      <c r="GF13" s="58" t="str">
        <f t="shared" si="6"/>
        <v>320301 Actividades de auxiliares y otros servicios empresariales (3)</v>
      </c>
      <c r="GG13" s="58" t="str">
        <f t="shared" si="6"/>
        <v>330101 Actividades de la Administración Pública</v>
      </c>
      <c r="GH13" s="58" t="str">
        <f t="shared" si="6"/>
        <v>340101 Educación de mercado</v>
      </c>
      <c r="GI13" s="58" t="str">
        <f t="shared" si="6"/>
        <v>350101 Educación de no mercado</v>
      </c>
      <c r="GJ13" s="58" t="str">
        <f t="shared" si="6"/>
        <v>360101 Salud de mercado</v>
      </c>
      <c r="GK13" s="58" t="str">
        <f t="shared" si="6"/>
        <v>370101 Salud de no mercado</v>
      </c>
      <c r="GL13" s="58" t="str">
        <f t="shared" si="6"/>
        <v>380101 Actividades de organizaciones empresariales, profesionales y otras representaciones</v>
      </c>
      <c r="GM13" s="58" t="str">
        <f t="shared" si="6"/>
        <v>380201 Actividades recreativas, culturales y deportivos</v>
      </c>
      <c r="GN13" s="58" t="str">
        <f t="shared" si="6"/>
        <v>380301 Actividades de mantenimiento y reparación de ordenadores, efectos personales y enseres domésticos</v>
      </c>
      <c r="GO13" s="58" t="str">
        <f t="shared" ref="GO13:GP13" si="7">+CONCATENATE(GO11," ",GO12)</f>
        <v>389999 Actividades de otros servicios (1)</v>
      </c>
      <c r="GP13" s="58" t="str">
        <f t="shared" si="7"/>
        <v>390101 Actividades del personal doméstico</v>
      </c>
      <c r="GQ13" s="58"/>
      <c r="GR13" s="61"/>
      <c r="GS13" s="61"/>
      <c r="GT13" s="61"/>
      <c r="GU13" s="61"/>
      <c r="GV13" s="61"/>
      <c r="GW13" s="61"/>
      <c r="GX13" s="61"/>
      <c r="GY13" s="61"/>
      <c r="GZ13" s="61"/>
      <c r="HA13" s="61"/>
      <c r="HB13" s="61"/>
      <c r="HC13" s="62"/>
    </row>
    <row r="14" spans="1:211" s="7" customFormat="1" ht="17.25" customHeight="1">
      <c r="A14" s="7">
        <f>+A13+1</f>
        <v>14</v>
      </c>
      <c r="B14" s="25" t="s">
        <v>4</v>
      </c>
      <c r="C14" s="8" t="s">
        <v>408</v>
      </c>
      <c r="D14" s="27">
        <v>35.651334963894598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710.655965312577</v>
      </c>
      <c r="BR14" s="27">
        <v>0</v>
      </c>
      <c r="BS14" s="27">
        <v>0</v>
      </c>
      <c r="BT14" s="27">
        <v>0</v>
      </c>
      <c r="BU14" s="27">
        <v>140.22313448236901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0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>
        <v>0</v>
      </c>
      <c r="GJ14" s="27">
        <v>0</v>
      </c>
      <c r="GK14" s="27">
        <v>0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4">
        <v>886.53043475884056</v>
      </c>
      <c r="GR14" s="24">
        <v>26.1889740736591</v>
      </c>
      <c r="GS14" s="19">
        <v>25.806380345142198</v>
      </c>
      <c r="GT14" s="19">
        <v>0</v>
      </c>
      <c r="GU14" s="19">
        <v>0.3825937285169026</v>
      </c>
      <c r="GV14" s="19">
        <v>0.3825937285169026</v>
      </c>
      <c r="GW14" s="19">
        <v>0</v>
      </c>
      <c r="GX14" s="24">
        <v>80.81075759523732</v>
      </c>
      <c r="GY14" s="19">
        <v>0</v>
      </c>
      <c r="GZ14" s="19">
        <v>80.81075759523732</v>
      </c>
      <c r="HA14" s="19"/>
      <c r="HB14" s="24">
        <v>0</v>
      </c>
      <c r="HC14" s="24">
        <v>993.53016642773696</v>
      </c>
    </row>
    <row r="15" spans="1:211" s="7" customFormat="1" ht="17.25" customHeight="1">
      <c r="A15" s="7">
        <f t="shared" ref="A15:A78" si="8">+A14+1</f>
        <v>15</v>
      </c>
      <c r="B15" s="26" t="s">
        <v>5</v>
      </c>
      <c r="C15" s="9" t="s">
        <v>409</v>
      </c>
      <c r="D15" s="28">
        <v>0</v>
      </c>
      <c r="E15" s="28">
        <v>81.8753731839453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1428.4728142645199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  <c r="EU15" s="28">
        <v>0</v>
      </c>
      <c r="EV15" s="28">
        <v>0</v>
      </c>
      <c r="EW15" s="28">
        <v>0</v>
      </c>
      <c r="EX15" s="28">
        <v>0</v>
      </c>
      <c r="EY15" s="28">
        <v>0</v>
      </c>
      <c r="EZ15" s="28">
        <v>0</v>
      </c>
      <c r="FA15" s="28">
        <v>0</v>
      </c>
      <c r="FB15" s="28">
        <v>0</v>
      </c>
      <c r="FC15" s="28">
        <v>0</v>
      </c>
      <c r="FD15" s="28">
        <v>0</v>
      </c>
      <c r="FE15" s="28">
        <v>0</v>
      </c>
      <c r="FF15" s="28">
        <v>0</v>
      </c>
      <c r="FG15" s="28">
        <v>0</v>
      </c>
      <c r="FH15" s="28">
        <v>0</v>
      </c>
      <c r="FI15" s="28">
        <v>0</v>
      </c>
      <c r="FJ15" s="28">
        <v>0</v>
      </c>
      <c r="FK15" s="28">
        <v>0</v>
      </c>
      <c r="FL15" s="28">
        <v>0</v>
      </c>
      <c r="FM15" s="28">
        <v>0</v>
      </c>
      <c r="FN15" s="28">
        <v>0</v>
      </c>
      <c r="FO15" s="28">
        <v>0</v>
      </c>
      <c r="FP15" s="28">
        <v>0</v>
      </c>
      <c r="FQ15" s="28">
        <v>0</v>
      </c>
      <c r="FR15" s="28">
        <v>0</v>
      </c>
      <c r="FS15" s="28">
        <v>0</v>
      </c>
      <c r="FT15" s="28">
        <v>0</v>
      </c>
      <c r="FU15" s="28">
        <v>0</v>
      </c>
      <c r="FV15" s="28">
        <v>0</v>
      </c>
      <c r="FW15" s="28">
        <v>0</v>
      </c>
      <c r="FX15" s="28">
        <v>0</v>
      </c>
      <c r="FY15" s="28">
        <v>0</v>
      </c>
      <c r="FZ15" s="28">
        <v>0</v>
      </c>
      <c r="GA15" s="28">
        <v>0</v>
      </c>
      <c r="GB15" s="28">
        <v>0</v>
      </c>
      <c r="GC15" s="28">
        <v>0</v>
      </c>
      <c r="GD15" s="28">
        <v>0</v>
      </c>
      <c r="GE15" s="28">
        <v>0</v>
      </c>
      <c r="GF15" s="28">
        <v>0</v>
      </c>
      <c r="GG15" s="28">
        <v>0</v>
      </c>
      <c r="GH15" s="28">
        <v>0</v>
      </c>
      <c r="GI15" s="28">
        <v>0</v>
      </c>
      <c r="GJ15" s="28">
        <v>0</v>
      </c>
      <c r="GK15" s="28">
        <v>0</v>
      </c>
      <c r="GL15" s="28">
        <v>0</v>
      </c>
      <c r="GM15" s="28">
        <v>0</v>
      </c>
      <c r="GN15" s="28">
        <v>0</v>
      </c>
      <c r="GO15" s="28">
        <v>0</v>
      </c>
      <c r="GP15" s="28">
        <v>0</v>
      </c>
      <c r="GQ15" s="21">
        <v>1510.3481874484653</v>
      </c>
      <c r="GR15" s="21">
        <v>0</v>
      </c>
      <c r="GS15" s="20">
        <v>0</v>
      </c>
      <c r="GT15" s="20">
        <v>0</v>
      </c>
      <c r="GU15" s="20">
        <v>0</v>
      </c>
      <c r="GV15" s="20">
        <v>0</v>
      </c>
      <c r="GW15" s="20">
        <v>0</v>
      </c>
      <c r="GX15" s="21">
        <v>-19.831377867519368</v>
      </c>
      <c r="GY15" s="20">
        <v>0</v>
      </c>
      <c r="GZ15" s="20">
        <v>-19.831377867519368</v>
      </c>
      <c r="HA15" s="20"/>
      <c r="HB15" s="21">
        <v>0</v>
      </c>
      <c r="HC15" s="21">
        <v>1490.5168095809458</v>
      </c>
    </row>
    <row r="16" spans="1:211" s="7" customFormat="1" ht="17.25" customHeight="1">
      <c r="A16" s="7">
        <f t="shared" si="8"/>
        <v>16</v>
      </c>
      <c r="B16" s="26" t="s">
        <v>6</v>
      </c>
      <c r="C16" s="9" t="s">
        <v>410</v>
      </c>
      <c r="D16" s="28">
        <v>0</v>
      </c>
      <c r="E16" s="28">
        <v>0</v>
      </c>
      <c r="F16" s="28">
        <v>170.47898434002701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0.187749408040191</v>
      </c>
      <c r="Q16" s="28">
        <v>0</v>
      </c>
      <c r="R16" s="28">
        <v>0</v>
      </c>
      <c r="S16" s="28">
        <v>1.45032338843181E-2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0.74199733569874105</v>
      </c>
      <c r="AF16" s="28">
        <v>519.550061683678</v>
      </c>
      <c r="AG16" s="28">
        <v>292.940469057965</v>
      </c>
      <c r="AH16" s="28">
        <v>0</v>
      </c>
      <c r="AI16" s="28">
        <v>0</v>
      </c>
      <c r="AJ16" s="28">
        <v>0</v>
      </c>
      <c r="AK16" s="28">
        <v>0</v>
      </c>
      <c r="AL16" s="28">
        <v>754.827787452493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42.163399899434999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141.07786240834801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36.318695817821499</v>
      </c>
      <c r="CN16" s="28">
        <v>15.4200496673584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  <c r="EU16" s="28">
        <v>0</v>
      </c>
      <c r="EV16" s="28">
        <v>0</v>
      </c>
      <c r="EW16" s="28">
        <v>0</v>
      </c>
      <c r="EX16" s="28">
        <v>0</v>
      </c>
      <c r="EY16" s="28">
        <v>0</v>
      </c>
      <c r="EZ16" s="28">
        <v>0</v>
      </c>
      <c r="FA16" s="28">
        <v>0</v>
      </c>
      <c r="FB16" s="28">
        <v>0</v>
      </c>
      <c r="FC16" s="28">
        <v>0</v>
      </c>
      <c r="FD16" s="28">
        <v>0</v>
      </c>
      <c r="FE16" s="28">
        <v>0</v>
      </c>
      <c r="FF16" s="28">
        <v>0</v>
      </c>
      <c r="FG16" s="28">
        <v>0</v>
      </c>
      <c r="FH16" s="28">
        <v>0</v>
      </c>
      <c r="FI16" s="28">
        <v>0</v>
      </c>
      <c r="FJ16" s="28">
        <v>0</v>
      </c>
      <c r="FK16" s="28">
        <v>0</v>
      </c>
      <c r="FL16" s="28">
        <v>0</v>
      </c>
      <c r="FM16" s="28">
        <v>0</v>
      </c>
      <c r="FN16" s="28">
        <v>0</v>
      </c>
      <c r="FO16" s="28">
        <v>0</v>
      </c>
      <c r="FP16" s="28">
        <v>0</v>
      </c>
      <c r="FQ16" s="28">
        <v>0</v>
      </c>
      <c r="FR16" s="28">
        <v>0</v>
      </c>
      <c r="FS16" s="28">
        <v>0.94275379028288797</v>
      </c>
      <c r="FT16" s="28">
        <v>74.923783363247395</v>
      </c>
      <c r="FU16" s="28">
        <v>0</v>
      </c>
      <c r="FV16" s="28">
        <v>0</v>
      </c>
      <c r="FW16" s="28">
        <v>0</v>
      </c>
      <c r="FX16" s="28">
        <v>0</v>
      </c>
      <c r="FY16" s="28">
        <v>0</v>
      </c>
      <c r="FZ16" s="28">
        <v>0</v>
      </c>
      <c r="GA16" s="28">
        <v>0</v>
      </c>
      <c r="GB16" s="28">
        <v>0</v>
      </c>
      <c r="GC16" s="28">
        <v>0</v>
      </c>
      <c r="GD16" s="28">
        <v>0</v>
      </c>
      <c r="GE16" s="28">
        <v>0</v>
      </c>
      <c r="GF16" s="28">
        <v>0</v>
      </c>
      <c r="GG16" s="28">
        <v>22.628921033279099</v>
      </c>
      <c r="GH16" s="28">
        <v>0</v>
      </c>
      <c r="GI16" s="28">
        <v>1.0240236024520499</v>
      </c>
      <c r="GJ16" s="28">
        <v>0.27908704748783703</v>
      </c>
      <c r="GK16" s="28">
        <v>11.1708075504731</v>
      </c>
      <c r="GL16" s="28">
        <v>0</v>
      </c>
      <c r="GM16" s="28">
        <v>0</v>
      </c>
      <c r="GN16" s="28">
        <v>0</v>
      </c>
      <c r="GO16" s="28">
        <v>0</v>
      </c>
      <c r="GP16" s="28">
        <v>0</v>
      </c>
      <c r="GQ16" s="21">
        <v>2084.6909366919758</v>
      </c>
      <c r="GR16" s="21">
        <v>73.994489763369103</v>
      </c>
      <c r="GS16" s="20">
        <v>72.01680726090737</v>
      </c>
      <c r="GT16" s="20">
        <v>0</v>
      </c>
      <c r="GU16" s="20">
        <v>1.9776825024617297</v>
      </c>
      <c r="GV16" s="20">
        <v>1.9776825024617297</v>
      </c>
      <c r="GW16" s="20">
        <v>0</v>
      </c>
      <c r="GX16" s="21">
        <v>285.38900640154191</v>
      </c>
      <c r="GY16" s="20">
        <v>0</v>
      </c>
      <c r="GZ16" s="20">
        <v>285.38900640154191</v>
      </c>
      <c r="HA16" s="20"/>
      <c r="HB16" s="21">
        <v>152.37857050080001</v>
      </c>
      <c r="HC16" s="21">
        <v>2596.4530033576866</v>
      </c>
    </row>
    <row r="17" spans="1:211" s="7" customFormat="1" ht="17.25" customHeight="1">
      <c r="A17" s="7">
        <f t="shared" si="8"/>
        <v>17</v>
      </c>
      <c r="B17" s="26" t="s">
        <v>7</v>
      </c>
      <c r="C17" s="9" t="s">
        <v>411</v>
      </c>
      <c r="D17" s="28">
        <v>0</v>
      </c>
      <c r="E17" s="28">
        <v>0</v>
      </c>
      <c r="F17" s="28">
        <v>0</v>
      </c>
      <c r="G17" s="28">
        <v>37.800652555419497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333.79478967418299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  <c r="EU17" s="28">
        <v>0</v>
      </c>
      <c r="EV17" s="28">
        <v>0</v>
      </c>
      <c r="EW17" s="28">
        <v>0</v>
      </c>
      <c r="EX17" s="28">
        <v>0</v>
      </c>
      <c r="EY17" s="28">
        <v>0</v>
      </c>
      <c r="EZ17" s="28">
        <v>0</v>
      </c>
      <c r="FA17" s="28">
        <v>0</v>
      </c>
      <c r="FB17" s="28">
        <v>0</v>
      </c>
      <c r="FC17" s="28">
        <v>0</v>
      </c>
      <c r="FD17" s="28">
        <v>0</v>
      </c>
      <c r="FE17" s="28">
        <v>0</v>
      </c>
      <c r="FF17" s="28">
        <v>0</v>
      </c>
      <c r="FG17" s="28">
        <v>0</v>
      </c>
      <c r="FH17" s="28">
        <v>0</v>
      </c>
      <c r="FI17" s="28">
        <v>0</v>
      </c>
      <c r="FJ17" s="28">
        <v>0</v>
      </c>
      <c r="FK17" s="28">
        <v>0</v>
      </c>
      <c r="FL17" s="28">
        <v>0</v>
      </c>
      <c r="FM17" s="28">
        <v>0</v>
      </c>
      <c r="FN17" s="28">
        <v>0</v>
      </c>
      <c r="FO17" s="28">
        <v>0</v>
      </c>
      <c r="FP17" s="28">
        <v>0</v>
      </c>
      <c r="FQ17" s="28">
        <v>0</v>
      </c>
      <c r="FR17" s="28">
        <v>0</v>
      </c>
      <c r="FS17" s="28">
        <v>0</v>
      </c>
      <c r="FT17" s="28">
        <v>0</v>
      </c>
      <c r="FU17" s="28">
        <v>0</v>
      </c>
      <c r="FV17" s="28">
        <v>0</v>
      </c>
      <c r="FW17" s="28">
        <v>0</v>
      </c>
      <c r="FX17" s="28">
        <v>0</v>
      </c>
      <c r="FY17" s="28">
        <v>0</v>
      </c>
      <c r="FZ17" s="28">
        <v>0</v>
      </c>
      <c r="GA17" s="28">
        <v>0</v>
      </c>
      <c r="GB17" s="28">
        <v>0</v>
      </c>
      <c r="GC17" s="28">
        <v>0</v>
      </c>
      <c r="GD17" s="28">
        <v>0</v>
      </c>
      <c r="GE17" s="28">
        <v>0</v>
      </c>
      <c r="GF17" s="28">
        <v>0</v>
      </c>
      <c r="GG17" s="28">
        <v>0</v>
      </c>
      <c r="GH17" s="28">
        <v>0</v>
      </c>
      <c r="GI17" s="28">
        <v>0</v>
      </c>
      <c r="GJ17" s="28">
        <v>0</v>
      </c>
      <c r="GK17" s="28">
        <v>0</v>
      </c>
      <c r="GL17" s="28">
        <v>0</v>
      </c>
      <c r="GM17" s="28">
        <v>0</v>
      </c>
      <c r="GN17" s="28">
        <v>0</v>
      </c>
      <c r="GO17" s="28">
        <v>0</v>
      </c>
      <c r="GP17" s="28">
        <v>0</v>
      </c>
      <c r="GQ17" s="21">
        <v>371.5954422296025</v>
      </c>
      <c r="GR17" s="21">
        <v>8.0836822774461901</v>
      </c>
      <c r="GS17" s="20">
        <v>8.0836822774461901</v>
      </c>
      <c r="GT17" s="20">
        <v>0</v>
      </c>
      <c r="GU17" s="20">
        <v>0</v>
      </c>
      <c r="GV17" s="20">
        <v>0</v>
      </c>
      <c r="GW17" s="20">
        <v>0</v>
      </c>
      <c r="GX17" s="21">
        <v>1.6794244059558747</v>
      </c>
      <c r="GY17" s="20">
        <v>0</v>
      </c>
      <c r="GZ17" s="20">
        <v>1.6794244059558747</v>
      </c>
      <c r="HA17" s="20"/>
      <c r="HB17" s="21">
        <v>0</v>
      </c>
      <c r="HC17" s="21">
        <v>381.3585489130046</v>
      </c>
    </row>
    <row r="18" spans="1:211" s="7" customFormat="1" ht="17.25" customHeight="1">
      <c r="A18" s="7">
        <f t="shared" si="8"/>
        <v>18</v>
      </c>
      <c r="B18" s="26" t="s">
        <v>8</v>
      </c>
      <c r="C18" s="9" t="s">
        <v>412</v>
      </c>
      <c r="D18" s="28">
        <v>0</v>
      </c>
      <c r="E18" s="28">
        <v>0</v>
      </c>
      <c r="F18" s="28">
        <v>0</v>
      </c>
      <c r="G18" s="28">
        <v>0</v>
      </c>
      <c r="H18" s="28">
        <v>130.09989594717999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0.20203563695443699</v>
      </c>
      <c r="AF18" s="28">
        <v>475.15289128168899</v>
      </c>
      <c r="AG18" s="28">
        <v>148.780450911087</v>
      </c>
      <c r="AH18" s="28">
        <v>0</v>
      </c>
      <c r="AI18" s="28">
        <v>0</v>
      </c>
      <c r="AJ18" s="28">
        <v>0</v>
      </c>
      <c r="AK18" s="28">
        <v>0</v>
      </c>
      <c r="AL18" s="28">
        <v>297.82321566730502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4.3157573549591604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17.0394319577141</v>
      </c>
      <c r="CH18" s="28">
        <v>0</v>
      </c>
      <c r="CI18" s="28">
        <v>5.9592299461364702</v>
      </c>
      <c r="CJ18" s="28">
        <v>0</v>
      </c>
      <c r="CK18" s="28">
        <v>0</v>
      </c>
      <c r="CL18" s="28">
        <v>9.8806529122791797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  <c r="EU18" s="28">
        <v>0</v>
      </c>
      <c r="EV18" s="28">
        <v>0</v>
      </c>
      <c r="EW18" s="28">
        <v>0</v>
      </c>
      <c r="EX18" s="28">
        <v>0</v>
      </c>
      <c r="EY18" s="28">
        <v>0</v>
      </c>
      <c r="EZ18" s="28">
        <v>0</v>
      </c>
      <c r="FA18" s="28">
        <v>0</v>
      </c>
      <c r="FB18" s="28">
        <v>0</v>
      </c>
      <c r="FC18" s="28">
        <v>0</v>
      </c>
      <c r="FD18" s="28">
        <v>0</v>
      </c>
      <c r="FE18" s="28">
        <v>0</v>
      </c>
      <c r="FF18" s="28">
        <v>0</v>
      </c>
      <c r="FG18" s="28">
        <v>0</v>
      </c>
      <c r="FH18" s="28">
        <v>0</v>
      </c>
      <c r="FI18" s="28">
        <v>0</v>
      </c>
      <c r="FJ18" s="28">
        <v>0</v>
      </c>
      <c r="FK18" s="28">
        <v>0</v>
      </c>
      <c r="FL18" s="28">
        <v>0</v>
      </c>
      <c r="FM18" s="28">
        <v>0</v>
      </c>
      <c r="FN18" s="28">
        <v>0</v>
      </c>
      <c r="FO18" s="28">
        <v>0</v>
      </c>
      <c r="FP18" s="28">
        <v>0</v>
      </c>
      <c r="FQ18" s="28">
        <v>0</v>
      </c>
      <c r="FR18" s="28">
        <v>0</v>
      </c>
      <c r="FS18" s="28">
        <v>0</v>
      </c>
      <c r="FT18" s="28">
        <v>0</v>
      </c>
      <c r="FU18" s="28">
        <v>0</v>
      </c>
      <c r="FV18" s="28">
        <v>0</v>
      </c>
      <c r="FW18" s="28">
        <v>0</v>
      </c>
      <c r="FX18" s="28">
        <v>0</v>
      </c>
      <c r="FY18" s="28">
        <v>0</v>
      </c>
      <c r="FZ18" s="28">
        <v>0</v>
      </c>
      <c r="GA18" s="28">
        <v>0</v>
      </c>
      <c r="GB18" s="28">
        <v>0</v>
      </c>
      <c r="GC18" s="28">
        <v>0</v>
      </c>
      <c r="GD18" s="28">
        <v>0</v>
      </c>
      <c r="GE18" s="28">
        <v>0</v>
      </c>
      <c r="GF18" s="28">
        <v>0</v>
      </c>
      <c r="GG18" s="28">
        <v>7.8767366068999696</v>
      </c>
      <c r="GH18" s="28">
        <v>0</v>
      </c>
      <c r="GI18" s="28">
        <v>0</v>
      </c>
      <c r="GJ18" s="28">
        <v>0.13954352374391801</v>
      </c>
      <c r="GK18" s="28">
        <v>0</v>
      </c>
      <c r="GL18" s="28">
        <v>0</v>
      </c>
      <c r="GM18" s="28">
        <v>0</v>
      </c>
      <c r="GN18" s="28">
        <v>0</v>
      </c>
      <c r="GO18" s="28">
        <v>0</v>
      </c>
      <c r="GP18" s="28">
        <v>0</v>
      </c>
      <c r="GQ18" s="21">
        <v>1097.2698417459483</v>
      </c>
      <c r="GR18" s="21">
        <v>76.5375966367655</v>
      </c>
      <c r="GS18" s="20">
        <v>76.485970360568459</v>
      </c>
      <c r="GT18" s="20">
        <v>0</v>
      </c>
      <c r="GU18" s="20">
        <v>5.1626276197040716E-2</v>
      </c>
      <c r="GV18" s="20">
        <v>5.1626276197040716E-2</v>
      </c>
      <c r="GW18" s="20">
        <v>0</v>
      </c>
      <c r="GX18" s="21">
        <v>82.949407119743782</v>
      </c>
      <c r="GY18" s="20">
        <v>0</v>
      </c>
      <c r="GZ18" s="20">
        <v>82.949407119743782</v>
      </c>
      <c r="HA18" s="20"/>
      <c r="HB18" s="21">
        <v>25.710098224799999</v>
      </c>
      <c r="HC18" s="21">
        <v>1282.4669437272576</v>
      </c>
    </row>
    <row r="19" spans="1:211" s="7" customFormat="1" ht="17.25" customHeight="1">
      <c r="A19" s="7">
        <f t="shared" si="8"/>
        <v>19</v>
      </c>
      <c r="B19" s="26" t="s">
        <v>9</v>
      </c>
      <c r="C19" s="9" t="s">
        <v>413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112.722962185543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1.5038669541250899E-2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5.6873570206721999E-2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12.8724727630615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  <c r="EU19" s="28">
        <v>0</v>
      </c>
      <c r="EV19" s="28">
        <v>0</v>
      </c>
      <c r="EW19" s="28">
        <v>0</v>
      </c>
      <c r="EX19" s="28">
        <v>0</v>
      </c>
      <c r="EY19" s="28">
        <v>0</v>
      </c>
      <c r="EZ19" s="28">
        <v>0</v>
      </c>
      <c r="FA19" s="28">
        <v>0</v>
      </c>
      <c r="FB19" s="28">
        <v>0</v>
      </c>
      <c r="FC19" s="28">
        <v>0</v>
      </c>
      <c r="FD19" s="28">
        <v>0</v>
      </c>
      <c r="FE19" s="28">
        <v>0</v>
      </c>
      <c r="FF19" s="28">
        <v>0</v>
      </c>
      <c r="FG19" s="28">
        <v>0</v>
      </c>
      <c r="FH19" s="28">
        <v>0</v>
      </c>
      <c r="FI19" s="28">
        <v>0</v>
      </c>
      <c r="FJ19" s="28">
        <v>0</v>
      </c>
      <c r="FK19" s="28">
        <v>0</v>
      </c>
      <c r="FL19" s="28">
        <v>0</v>
      </c>
      <c r="FM19" s="28">
        <v>0</v>
      </c>
      <c r="FN19" s="28">
        <v>0</v>
      </c>
      <c r="FO19" s="28">
        <v>0</v>
      </c>
      <c r="FP19" s="28">
        <v>0</v>
      </c>
      <c r="FQ19" s="28">
        <v>0</v>
      </c>
      <c r="FR19" s="28">
        <v>0</v>
      </c>
      <c r="FS19" s="28">
        <v>1.10587628079001</v>
      </c>
      <c r="FT19" s="28">
        <v>87.887670930076396</v>
      </c>
      <c r="FU19" s="28">
        <v>0</v>
      </c>
      <c r="FV19" s="28">
        <v>0</v>
      </c>
      <c r="FW19" s="28">
        <v>0</v>
      </c>
      <c r="FX19" s="28">
        <v>0</v>
      </c>
      <c r="FY19" s="28">
        <v>0</v>
      </c>
      <c r="FZ19" s="28">
        <v>0</v>
      </c>
      <c r="GA19" s="28">
        <v>0</v>
      </c>
      <c r="GB19" s="28">
        <v>0</v>
      </c>
      <c r="GC19" s="28">
        <v>0</v>
      </c>
      <c r="GD19" s="28">
        <v>0</v>
      </c>
      <c r="GE19" s="28">
        <v>0</v>
      </c>
      <c r="GF19" s="28">
        <v>0</v>
      </c>
      <c r="GG19" s="28">
        <v>7.2724531240488703</v>
      </c>
      <c r="GH19" s="28">
        <v>0</v>
      </c>
      <c r="GI19" s="28">
        <v>0</v>
      </c>
      <c r="GJ19" s="28">
        <v>0.55817409497567405</v>
      </c>
      <c r="GK19" s="28">
        <v>0</v>
      </c>
      <c r="GL19" s="28">
        <v>0</v>
      </c>
      <c r="GM19" s="28">
        <v>0</v>
      </c>
      <c r="GN19" s="28">
        <v>0</v>
      </c>
      <c r="GO19" s="28">
        <v>0</v>
      </c>
      <c r="GP19" s="28">
        <v>0</v>
      </c>
      <c r="GQ19" s="21">
        <v>222.49152161824313</v>
      </c>
      <c r="GR19" s="21">
        <v>1179.8458895792201</v>
      </c>
      <c r="GS19" s="20">
        <v>1175.6669130508233</v>
      </c>
      <c r="GT19" s="20">
        <v>0</v>
      </c>
      <c r="GU19" s="20">
        <v>4.1789765283967784</v>
      </c>
      <c r="GV19" s="20">
        <v>4.1789765283967784</v>
      </c>
      <c r="GW19" s="20">
        <v>0</v>
      </c>
      <c r="GX19" s="21">
        <v>83.478672116911127</v>
      </c>
      <c r="GY19" s="20">
        <v>0</v>
      </c>
      <c r="GZ19" s="20">
        <v>83.478672116911127</v>
      </c>
      <c r="HA19" s="20"/>
      <c r="HB19" s="21">
        <v>102.816508476</v>
      </c>
      <c r="HC19" s="21">
        <v>1588.6325917903744</v>
      </c>
    </row>
    <row r="20" spans="1:211" s="7" customFormat="1" ht="17.25" customHeight="1">
      <c r="A20" s="7">
        <f t="shared" si="8"/>
        <v>20</v>
      </c>
      <c r="B20" s="26" t="s">
        <v>10</v>
      </c>
      <c r="C20" s="9" t="s">
        <v>414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21.353455892585799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1.0330612703130199E-2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5.74858127060753E-2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21.3858190452843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  <c r="EU20" s="28">
        <v>0</v>
      </c>
      <c r="EV20" s="28">
        <v>0</v>
      </c>
      <c r="EW20" s="28">
        <v>0</v>
      </c>
      <c r="EX20" s="28">
        <v>0</v>
      </c>
      <c r="EY20" s="28">
        <v>0</v>
      </c>
      <c r="EZ20" s="28">
        <v>0</v>
      </c>
      <c r="FA20" s="28">
        <v>0</v>
      </c>
      <c r="FB20" s="28">
        <v>0</v>
      </c>
      <c r="FC20" s="28">
        <v>0</v>
      </c>
      <c r="FD20" s="28">
        <v>0</v>
      </c>
      <c r="FE20" s="28">
        <v>0</v>
      </c>
      <c r="FF20" s="28">
        <v>0</v>
      </c>
      <c r="FG20" s="28">
        <v>0</v>
      </c>
      <c r="FH20" s="28">
        <v>0</v>
      </c>
      <c r="FI20" s="28">
        <v>0</v>
      </c>
      <c r="FJ20" s="28">
        <v>0</v>
      </c>
      <c r="FK20" s="28">
        <v>0</v>
      </c>
      <c r="FL20" s="28">
        <v>0</v>
      </c>
      <c r="FM20" s="28">
        <v>0</v>
      </c>
      <c r="FN20" s="28">
        <v>0</v>
      </c>
      <c r="FO20" s="28">
        <v>0</v>
      </c>
      <c r="FP20" s="28">
        <v>0</v>
      </c>
      <c r="FQ20" s="28">
        <v>0</v>
      </c>
      <c r="FR20" s="28">
        <v>0</v>
      </c>
      <c r="FS20" s="28">
        <v>0.75380775281311596</v>
      </c>
      <c r="FT20" s="28">
        <v>71.672915787712299</v>
      </c>
      <c r="FU20" s="28">
        <v>0</v>
      </c>
      <c r="FV20" s="28">
        <v>0</v>
      </c>
      <c r="FW20" s="28">
        <v>0</v>
      </c>
      <c r="FX20" s="28">
        <v>0</v>
      </c>
      <c r="FY20" s="28">
        <v>0</v>
      </c>
      <c r="FZ20" s="28">
        <v>0</v>
      </c>
      <c r="GA20" s="28">
        <v>0</v>
      </c>
      <c r="GB20" s="28">
        <v>0</v>
      </c>
      <c r="GC20" s="28">
        <v>0</v>
      </c>
      <c r="GD20" s="28">
        <v>0</v>
      </c>
      <c r="GE20" s="28">
        <v>0</v>
      </c>
      <c r="GF20" s="28">
        <v>0</v>
      </c>
      <c r="GG20" s="28">
        <v>1.9789478153667901</v>
      </c>
      <c r="GH20" s="28">
        <v>0.120810475575372</v>
      </c>
      <c r="GI20" s="28">
        <v>0.371849793616786</v>
      </c>
      <c r="GJ20" s="28">
        <v>0.22308677911198699</v>
      </c>
      <c r="GK20" s="28">
        <v>4.0564128328973403</v>
      </c>
      <c r="GL20" s="28">
        <v>0</v>
      </c>
      <c r="GM20" s="28">
        <v>0</v>
      </c>
      <c r="GN20" s="28">
        <v>0</v>
      </c>
      <c r="GO20" s="28">
        <v>0</v>
      </c>
      <c r="GP20" s="28">
        <v>0</v>
      </c>
      <c r="GQ20" s="21">
        <v>121.98492260037305</v>
      </c>
      <c r="GR20" s="21">
        <v>283.78495022287001</v>
      </c>
      <c r="GS20" s="20">
        <v>283.77016144583439</v>
      </c>
      <c r="GT20" s="20">
        <v>0</v>
      </c>
      <c r="GU20" s="20">
        <v>1.4788777035610622E-2</v>
      </c>
      <c r="GV20" s="20">
        <v>1.4788777035610622E-2</v>
      </c>
      <c r="GW20" s="20">
        <v>0</v>
      </c>
      <c r="GX20" s="21">
        <v>2.0467916794236078</v>
      </c>
      <c r="GY20" s="20">
        <v>0</v>
      </c>
      <c r="GZ20" s="20">
        <v>2.0467916794236078</v>
      </c>
      <c r="HA20" s="20"/>
      <c r="HB20" s="21">
        <v>1.2251946216</v>
      </c>
      <c r="HC20" s="21">
        <v>409.04185912426669</v>
      </c>
    </row>
    <row r="21" spans="1:211" s="7" customFormat="1" ht="17.25" customHeight="1">
      <c r="A21" s="7">
        <f t="shared" si="8"/>
        <v>21</v>
      </c>
      <c r="B21" s="26" t="s">
        <v>11</v>
      </c>
      <c r="C21" s="9" t="s">
        <v>415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7.0185667129046596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5.2536557823567601E-2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2.1513014805436499E-2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1.0970236898133601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  <c r="EU21" s="28">
        <v>0</v>
      </c>
      <c r="EV21" s="28">
        <v>0</v>
      </c>
      <c r="EW21" s="28">
        <v>0</v>
      </c>
      <c r="EX21" s="28">
        <v>0</v>
      </c>
      <c r="EY21" s="28">
        <v>0</v>
      </c>
      <c r="EZ21" s="28">
        <v>0</v>
      </c>
      <c r="FA21" s="28">
        <v>0</v>
      </c>
      <c r="FB21" s="28">
        <v>0</v>
      </c>
      <c r="FC21" s="28">
        <v>0</v>
      </c>
      <c r="FD21" s="28">
        <v>0</v>
      </c>
      <c r="FE21" s="28">
        <v>0</v>
      </c>
      <c r="FF21" s="28">
        <v>0</v>
      </c>
      <c r="FG21" s="28">
        <v>0</v>
      </c>
      <c r="FH21" s="28">
        <v>0</v>
      </c>
      <c r="FI21" s="28">
        <v>0</v>
      </c>
      <c r="FJ21" s="28">
        <v>0</v>
      </c>
      <c r="FK21" s="28">
        <v>0</v>
      </c>
      <c r="FL21" s="28">
        <v>0</v>
      </c>
      <c r="FM21" s="28">
        <v>0</v>
      </c>
      <c r="FN21" s="28">
        <v>0</v>
      </c>
      <c r="FO21" s="28">
        <v>0</v>
      </c>
      <c r="FP21" s="28">
        <v>0</v>
      </c>
      <c r="FQ21" s="28">
        <v>0</v>
      </c>
      <c r="FR21" s="28">
        <v>0</v>
      </c>
      <c r="FS21" s="28">
        <v>0.25934273927578</v>
      </c>
      <c r="FT21" s="28">
        <v>16.407188826155298</v>
      </c>
      <c r="FU21" s="28">
        <v>0</v>
      </c>
      <c r="FV21" s="28">
        <v>0</v>
      </c>
      <c r="FW21" s="28">
        <v>0</v>
      </c>
      <c r="FX21" s="28">
        <v>0</v>
      </c>
      <c r="FY21" s="28">
        <v>0</v>
      </c>
      <c r="FZ21" s="28">
        <v>0</v>
      </c>
      <c r="GA21" s="28">
        <v>0</v>
      </c>
      <c r="GB21" s="28">
        <v>0</v>
      </c>
      <c r="GC21" s="28">
        <v>0</v>
      </c>
      <c r="GD21" s="28">
        <v>0</v>
      </c>
      <c r="GE21" s="28">
        <v>0</v>
      </c>
      <c r="GF21" s="28">
        <v>0</v>
      </c>
      <c r="GG21" s="28">
        <v>1.46965701969901</v>
      </c>
      <c r="GH21" s="28">
        <v>0</v>
      </c>
      <c r="GI21" s="28">
        <v>0.51615026189990898</v>
      </c>
      <c r="GJ21" s="28">
        <v>0.72924692769250898</v>
      </c>
      <c r="GK21" s="28">
        <v>5.6305491680111501</v>
      </c>
      <c r="GL21" s="28">
        <v>0</v>
      </c>
      <c r="GM21" s="28">
        <v>0</v>
      </c>
      <c r="GN21" s="28">
        <v>0</v>
      </c>
      <c r="GO21" s="28">
        <v>0</v>
      </c>
      <c r="GP21" s="28">
        <v>0</v>
      </c>
      <c r="GQ21" s="21">
        <v>33.201774918080694</v>
      </c>
      <c r="GR21" s="21">
        <v>49.563171771996302</v>
      </c>
      <c r="GS21" s="20">
        <v>49.563171771996302</v>
      </c>
      <c r="GT21" s="20">
        <v>0</v>
      </c>
      <c r="GU21" s="20">
        <v>0</v>
      </c>
      <c r="GV21" s="20">
        <v>0</v>
      </c>
      <c r="GW21" s="20">
        <v>0</v>
      </c>
      <c r="GX21" s="21">
        <v>-0.25932922360254895</v>
      </c>
      <c r="GY21" s="20">
        <v>0</v>
      </c>
      <c r="GZ21" s="20">
        <v>-0.25932922360254895</v>
      </c>
      <c r="HA21" s="20"/>
      <c r="HB21" s="21">
        <v>1.9455288E-3</v>
      </c>
      <c r="HC21" s="21">
        <v>82.507562995274441</v>
      </c>
    </row>
    <row r="22" spans="1:211" s="7" customFormat="1" ht="17.25" customHeight="1">
      <c r="A22" s="7">
        <f t="shared" si="8"/>
        <v>22</v>
      </c>
      <c r="B22" s="26" t="s">
        <v>12</v>
      </c>
      <c r="C22" s="9" t="s">
        <v>416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20.096925701677598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0.17753731213424501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3.7483734267905099E-2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0.997505962848663</v>
      </c>
      <c r="CJ22" s="28">
        <v>0</v>
      </c>
      <c r="CK22" s="28">
        <v>0</v>
      </c>
      <c r="CL22" s="28">
        <v>1.0611040263946001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  <c r="EU22" s="28">
        <v>0</v>
      </c>
      <c r="EV22" s="28">
        <v>0</v>
      </c>
      <c r="EW22" s="28">
        <v>0</v>
      </c>
      <c r="EX22" s="28">
        <v>0</v>
      </c>
      <c r="EY22" s="28">
        <v>0</v>
      </c>
      <c r="EZ22" s="28">
        <v>0</v>
      </c>
      <c r="FA22" s="28">
        <v>0</v>
      </c>
      <c r="FB22" s="28">
        <v>0</v>
      </c>
      <c r="FC22" s="28">
        <v>0</v>
      </c>
      <c r="FD22" s="28">
        <v>0</v>
      </c>
      <c r="FE22" s="28">
        <v>0</v>
      </c>
      <c r="FF22" s="28">
        <v>0</v>
      </c>
      <c r="FG22" s="28">
        <v>0</v>
      </c>
      <c r="FH22" s="28">
        <v>0</v>
      </c>
      <c r="FI22" s="28">
        <v>0</v>
      </c>
      <c r="FJ22" s="28">
        <v>0</v>
      </c>
      <c r="FK22" s="28">
        <v>0</v>
      </c>
      <c r="FL22" s="28">
        <v>0</v>
      </c>
      <c r="FM22" s="28">
        <v>0</v>
      </c>
      <c r="FN22" s="28">
        <v>0</v>
      </c>
      <c r="FO22" s="28">
        <v>0</v>
      </c>
      <c r="FP22" s="28">
        <v>0</v>
      </c>
      <c r="FQ22" s="28">
        <v>0</v>
      </c>
      <c r="FR22" s="28">
        <v>0</v>
      </c>
      <c r="FS22" s="28">
        <v>1.9697511021599301</v>
      </c>
      <c r="FT22" s="28">
        <v>153.823118317085</v>
      </c>
      <c r="FU22" s="28">
        <v>0</v>
      </c>
      <c r="FV22" s="28">
        <v>0</v>
      </c>
      <c r="FW22" s="28">
        <v>0</v>
      </c>
      <c r="FX22" s="28">
        <v>0</v>
      </c>
      <c r="FY22" s="28">
        <v>0</v>
      </c>
      <c r="FZ22" s="28">
        <v>0</v>
      </c>
      <c r="GA22" s="28">
        <v>0</v>
      </c>
      <c r="GB22" s="28">
        <v>0</v>
      </c>
      <c r="GC22" s="28">
        <v>0</v>
      </c>
      <c r="GD22" s="28">
        <v>0</v>
      </c>
      <c r="GE22" s="28">
        <v>0</v>
      </c>
      <c r="GF22" s="28">
        <v>0</v>
      </c>
      <c r="GG22" s="28">
        <v>2.83186350195448</v>
      </c>
      <c r="GH22" s="28">
        <v>0</v>
      </c>
      <c r="GI22" s="28">
        <v>2.5399290122146501</v>
      </c>
      <c r="GJ22" s="28">
        <v>0.224954143113722</v>
      </c>
      <c r="GK22" s="28">
        <v>1.3670473202545399</v>
      </c>
      <c r="GL22" s="28">
        <v>0</v>
      </c>
      <c r="GM22" s="28">
        <v>0</v>
      </c>
      <c r="GN22" s="28">
        <v>0</v>
      </c>
      <c r="GO22" s="28">
        <v>0</v>
      </c>
      <c r="GP22" s="28">
        <v>0</v>
      </c>
      <c r="GQ22" s="21">
        <v>185.12722013410536</v>
      </c>
      <c r="GR22" s="21">
        <v>322.36932408860298</v>
      </c>
      <c r="GS22" s="20">
        <v>317.69122420933809</v>
      </c>
      <c r="GT22" s="20">
        <v>0</v>
      </c>
      <c r="GU22" s="20">
        <v>4.6780998792648969</v>
      </c>
      <c r="GV22" s="20">
        <v>4.6780998792648969</v>
      </c>
      <c r="GW22" s="20">
        <v>0</v>
      </c>
      <c r="GX22" s="21">
        <v>7.6529600381167828</v>
      </c>
      <c r="GY22" s="20">
        <v>0</v>
      </c>
      <c r="GZ22" s="20">
        <v>7.6529600381167828</v>
      </c>
      <c r="HA22" s="20"/>
      <c r="HB22" s="21">
        <v>3.5472577512000001</v>
      </c>
      <c r="HC22" s="21">
        <v>518.69676201202515</v>
      </c>
    </row>
    <row r="23" spans="1:211" s="7" customFormat="1" ht="17.25" customHeight="1">
      <c r="A23" s="7">
        <f t="shared" si="8"/>
        <v>23</v>
      </c>
      <c r="B23" s="26" t="s">
        <v>13</v>
      </c>
      <c r="C23" s="9" t="s">
        <v>417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223.558789268185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9.5886738944352901E-2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0.25189386911491501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12.341436555815299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4.6902561187744096</v>
      </c>
      <c r="CJ23" s="28">
        <v>0</v>
      </c>
      <c r="CK23" s="28">
        <v>0</v>
      </c>
      <c r="CL23" s="28">
        <v>40.973422782472099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  <c r="EU23" s="28">
        <v>0</v>
      </c>
      <c r="EV23" s="28">
        <v>0</v>
      </c>
      <c r="EW23" s="28">
        <v>0</v>
      </c>
      <c r="EX23" s="28">
        <v>0</v>
      </c>
      <c r="EY23" s="28">
        <v>0</v>
      </c>
      <c r="EZ23" s="28">
        <v>0</v>
      </c>
      <c r="FA23" s="28">
        <v>0</v>
      </c>
      <c r="FB23" s="28">
        <v>0</v>
      </c>
      <c r="FC23" s="28">
        <v>0</v>
      </c>
      <c r="FD23" s="28">
        <v>0</v>
      </c>
      <c r="FE23" s="28">
        <v>0</v>
      </c>
      <c r="FF23" s="28">
        <v>0</v>
      </c>
      <c r="FG23" s="28">
        <v>0</v>
      </c>
      <c r="FH23" s="28">
        <v>0</v>
      </c>
      <c r="FI23" s="28">
        <v>0</v>
      </c>
      <c r="FJ23" s="28">
        <v>0</v>
      </c>
      <c r="FK23" s="28">
        <v>0</v>
      </c>
      <c r="FL23" s="28">
        <v>0</v>
      </c>
      <c r="FM23" s="28">
        <v>0</v>
      </c>
      <c r="FN23" s="28">
        <v>0</v>
      </c>
      <c r="FO23" s="28">
        <v>0</v>
      </c>
      <c r="FP23" s="28">
        <v>0</v>
      </c>
      <c r="FQ23" s="28">
        <v>0</v>
      </c>
      <c r="FR23" s="28">
        <v>0</v>
      </c>
      <c r="FS23" s="28">
        <v>6.5426758780906296</v>
      </c>
      <c r="FT23" s="28">
        <v>1123.16295667192</v>
      </c>
      <c r="FU23" s="28">
        <v>0</v>
      </c>
      <c r="FV23" s="28">
        <v>0</v>
      </c>
      <c r="FW23" s="28">
        <v>0</v>
      </c>
      <c r="FX23" s="28">
        <v>0</v>
      </c>
      <c r="FY23" s="28">
        <v>0</v>
      </c>
      <c r="FZ23" s="28">
        <v>0</v>
      </c>
      <c r="GA23" s="28">
        <v>0</v>
      </c>
      <c r="GB23" s="28">
        <v>0</v>
      </c>
      <c r="GC23" s="28">
        <v>0</v>
      </c>
      <c r="GD23" s="28">
        <v>0</v>
      </c>
      <c r="GE23" s="28">
        <v>0</v>
      </c>
      <c r="GF23" s="28">
        <v>0</v>
      </c>
      <c r="GG23" s="28">
        <v>19.130837844606901</v>
      </c>
      <c r="GH23" s="28">
        <v>0.36950215014897397</v>
      </c>
      <c r="GI23" s="28">
        <v>0.84493070551928495</v>
      </c>
      <c r="GJ23" s="28">
        <v>0.51129827003929496</v>
      </c>
      <c r="GK23" s="28">
        <v>9.2171296464657004</v>
      </c>
      <c r="GL23" s="28">
        <v>0</v>
      </c>
      <c r="GM23" s="28">
        <v>0</v>
      </c>
      <c r="GN23" s="28">
        <v>0</v>
      </c>
      <c r="GO23" s="28">
        <v>0</v>
      </c>
      <c r="GP23" s="28">
        <v>0</v>
      </c>
      <c r="GQ23" s="21">
        <v>1441.6910165000961</v>
      </c>
      <c r="GR23" s="21">
        <v>2696.6143715524499</v>
      </c>
      <c r="GS23" s="20">
        <v>2696.5364158753923</v>
      </c>
      <c r="GT23" s="20">
        <v>0</v>
      </c>
      <c r="GU23" s="20">
        <v>7.7955677057531481E-2</v>
      </c>
      <c r="GV23" s="20">
        <v>7.7955677057531481E-2</v>
      </c>
      <c r="GW23" s="20">
        <v>0</v>
      </c>
      <c r="GX23" s="21">
        <v>10.040740316460926</v>
      </c>
      <c r="GY23" s="20">
        <v>0</v>
      </c>
      <c r="GZ23" s="20">
        <v>10.040740316460926</v>
      </c>
      <c r="HA23" s="20"/>
      <c r="HB23" s="21">
        <v>9.7211230848000003</v>
      </c>
      <c r="HC23" s="21">
        <v>4158.0672514538064</v>
      </c>
    </row>
    <row r="24" spans="1:211" s="7" customFormat="1" ht="17.25" customHeight="1">
      <c r="A24" s="7">
        <f t="shared" si="8"/>
        <v>24</v>
      </c>
      <c r="B24" s="26" t="s">
        <v>14</v>
      </c>
      <c r="C24" s="9" t="s">
        <v>418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27.736834294171899</v>
      </c>
      <c r="O24" s="28">
        <v>0</v>
      </c>
      <c r="P24" s="28">
        <v>0</v>
      </c>
      <c r="Q24" s="28">
        <v>0</v>
      </c>
      <c r="R24" s="28">
        <v>0</v>
      </c>
      <c r="S24" s="28">
        <v>1.81130346034548E-2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7.0678501322755896E-2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16.9411557597242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0.409196372677403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0.55320445526850204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  <c r="EU24" s="28">
        <v>0</v>
      </c>
      <c r="EV24" s="28">
        <v>0</v>
      </c>
      <c r="EW24" s="28">
        <v>0</v>
      </c>
      <c r="EX24" s="28">
        <v>0</v>
      </c>
      <c r="EY24" s="28">
        <v>0</v>
      </c>
      <c r="EZ24" s="28">
        <v>0</v>
      </c>
      <c r="FA24" s="28">
        <v>0</v>
      </c>
      <c r="FB24" s="28">
        <v>0</v>
      </c>
      <c r="FC24" s="28">
        <v>0</v>
      </c>
      <c r="FD24" s="28">
        <v>0</v>
      </c>
      <c r="FE24" s="28">
        <v>0</v>
      </c>
      <c r="FF24" s="28">
        <v>0</v>
      </c>
      <c r="FG24" s="28">
        <v>0</v>
      </c>
      <c r="FH24" s="28">
        <v>0</v>
      </c>
      <c r="FI24" s="28">
        <v>0</v>
      </c>
      <c r="FJ24" s="28">
        <v>0</v>
      </c>
      <c r="FK24" s="28">
        <v>0</v>
      </c>
      <c r="FL24" s="28">
        <v>0</v>
      </c>
      <c r="FM24" s="28">
        <v>0</v>
      </c>
      <c r="FN24" s="28">
        <v>0</v>
      </c>
      <c r="FO24" s="28">
        <v>0</v>
      </c>
      <c r="FP24" s="28">
        <v>0</v>
      </c>
      <c r="FQ24" s="28">
        <v>0</v>
      </c>
      <c r="FR24" s="28">
        <v>0</v>
      </c>
      <c r="FS24" s="28">
        <v>1.3028133520874301</v>
      </c>
      <c r="FT24" s="28">
        <v>104.040115424414</v>
      </c>
      <c r="FU24" s="28">
        <v>0</v>
      </c>
      <c r="FV24" s="28">
        <v>0</v>
      </c>
      <c r="FW24" s="28">
        <v>0</v>
      </c>
      <c r="FX24" s="28">
        <v>0</v>
      </c>
      <c r="FY24" s="28">
        <v>0</v>
      </c>
      <c r="FZ24" s="28">
        <v>0</v>
      </c>
      <c r="GA24" s="28">
        <v>0</v>
      </c>
      <c r="GB24" s="28">
        <v>0</v>
      </c>
      <c r="GC24" s="28">
        <v>0</v>
      </c>
      <c r="GD24" s="28">
        <v>0</v>
      </c>
      <c r="GE24" s="28">
        <v>0</v>
      </c>
      <c r="GF24" s="28">
        <v>0</v>
      </c>
      <c r="GG24" s="28">
        <v>0</v>
      </c>
      <c r="GH24" s="28">
        <v>0</v>
      </c>
      <c r="GI24" s="28">
        <v>0</v>
      </c>
      <c r="GJ24" s="28">
        <v>1.0465764280793901</v>
      </c>
      <c r="GK24" s="28">
        <v>0</v>
      </c>
      <c r="GL24" s="28">
        <v>0</v>
      </c>
      <c r="GM24" s="28">
        <v>0</v>
      </c>
      <c r="GN24" s="28">
        <v>0</v>
      </c>
      <c r="GO24" s="28">
        <v>0</v>
      </c>
      <c r="GP24" s="28">
        <v>0</v>
      </c>
      <c r="GQ24" s="21">
        <v>152.11868762234965</v>
      </c>
      <c r="GR24" s="21">
        <v>500.67902823781799</v>
      </c>
      <c r="GS24" s="20">
        <v>500.67902823781799</v>
      </c>
      <c r="GT24" s="20">
        <v>0</v>
      </c>
      <c r="GU24" s="20">
        <v>0</v>
      </c>
      <c r="GV24" s="20">
        <v>0</v>
      </c>
      <c r="GW24" s="20">
        <v>0</v>
      </c>
      <c r="GX24" s="21">
        <v>19.086687866946889</v>
      </c>
      <c r="GY24" s="20">
        <v>0</v>
      </c>
      <c r="GZ24" s="20">
        <v>19.086687866946889</v>
      </c>
      <c r="HA24" s="20"/>
      <c r="HB24" s="21">
        <v>0.29675178000000002</v>
      </c>
      <c r="HC24" s="21">
        <v>672.18115550711457</v>
      </c>
    </row>
    <row r="25" spans="1:211" s="7" customFormat="1" ht="17.25" customHeight="1">
      <c r="A25" s="7">
        <f t="shared" si="8"/>
        <v>25</v>
      </c>
      <c r="B25" s="26" t="s">
        <v>15</v>
      </c>
      <c r="C25" s="9" t="s">
        <v>419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36.533189079811997</v>
      </c>
      <c r="P25" s="28">
        <v>0</v>
      </c>
      <c r="Q25" s="28">
        <v>0</v>
      </c>
      <c r="R25" s="28">
        <v>0</v>
      </c>
      <c r="S25" s="28">
        <v>1.9302256835052298E-2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1.18977882224104E-2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3.21295710095742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31.634325027465799</v>
      </c>
      <c r="CJ25" s="28">
        <v>0</v>
      </c>
      <c r="CK25" s="28">
        <v>0</v>
      </c>
      <c r="CL25" s="28">
        <v>6.9118694970305796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  <c r="EU25" s="28">
        <v>0</v>
      </c>
      <c r="EV25" s="28">
        <v>0</v>
      </c>
      <c r="EW25" s="28">
        <v>0</v>
      </c>
      <c r="EX25" s="28">
        <v>0</v>
      </c>
      <c r="EY25" s="28">
        <v>0</v>
      </c>
      <c r="EZ25" s="28">
        <v>0</v>
      </c>
      <c r="FA25" s="28">
        <v>0</v>
      </c>
      <c r="FB25" s="28">
        <v>0</v>
      </c>
      <c r="FC25" s="28">
        <v>0</v>
      </c>
      <c r="FD25" s="28">
        <v>0</v>
      </c>
      <c r="FE25" s="28">
        <v>0</v>
      </c>
      <c r="FF25" s="28">
        <v>0</v>
      </c>
      <c r="FG25" s="28">
        <v>0</v>
      </c>
      <c r="FH25" s="28">
        <v>0</v>
      </c>
      <c r="FI25" s="28">
        <v>0</v>
      </c>
      <c r="FJ25" s="28">
        <v>0</v>
      </c>
      <c r="FK25" s="28">
        <v>0</v>
      </c>
      <c r="FL25" s="28">
        <v>0</v>
      </c>
      <c r="FM25" s="28">
        <v>0</v>
      </c>
      <c r="FN25" s="28">
        <v>0</v>
      </c>
      <c r="FO25" s="28">
        <v>0</v>
      </c>
      <c r="FP25" s="28">
        <v>0</v>
      </c>
      <c r="FQ25" s="28">
        <v>0</v>
      </c>
      <c r="FR25" s="28">
        <v>0</v>
      </c>
      <c r="FS25" s="28">
        <v>1.25470470499241</v>
      </c>
      <c r="FT25" s="28">
        <v>99.715561444192502</v>
      </c>
      <c r="FU25" s="28">
        <v>0</v>
      </c>
      <c r="FV25" s="28">
        <v>0</v>
      </c>
      <c r="FW25" s="28">
        <v>0</v>
      </c>
      <c r="FX25" s="28">
        <v>0</v>
      </c>
      <c r="FY25" s="28">
        <v>0</v>
      </c>
      <c r="FZ25" s="28">
        <v>0</v>
      </c>
      <c r="GA25" s="28">
        <v>0</v>
      </c>
      <c r="GB25" s="28">
        <v>0</v>
      </c>
      <c r="GC25" s="28">
        <v>0</v>
      </c>
      <c r="GD25" s="28">
        <v>0</v>
      </c>
      <c r="GE25" s="28">
        <v>0</v>
      </c>
      <c r="GF25" s="28">
        <v>0</v>
      </c>
      <c r="GG25" s="28">
        <v>3.2398773820403801</v>
      </c>
      <c r="GH25" s="28">
        <v>0.205251791761106</v>
      </c>
      <c r="GI25" s="28">
        <v>0.63292055967777106</v>
      </c>
      <c r="GJ25" s="28">
        <v>0.84293659229363305</v>
      </c>
      <c r="GK25" s="28">
        <v>6.9043660223927104</v>
      </c>
      <c r="GL25" s="28">
        <v>0</v>
      </c>
      <c r="GM25" s="28">
        <v>0</v>
      </c>
      <c r="GN25" s="28">
        <v>0</v>
      </c>
      <c r="GO25" s="28">
        <v>0</v>
      </c>
      <c r="GP25" s="28">
        <v>0</v>
      </c>
      <c r="GQ25" s="21">
        <v>191.11915924767391</v>
      </c>
      <c r="GR25" s="21">
        <v>666.53254837950601</v>
      </c>
      <c r="GS25" s="20">
        <v>657.58858119632293</v>
      </c>
      <c r="GT25" s="20">
        <v>0</v>
      </c>
      <c r="GU25" s="20">
        <v>8.9439671831830285</v>
      </c>
      <c r="GV25" s="20">
        <v>8.9439671831830285</v>
      </c>
      <c r="GW25" s="20">
        <v>0</v>
      </c>
      <c r="GX25" s="21">
        <v>-1.134286133685805</v>
      </c>
      <c r="GY25" s="20">
        <v>0</v>
      </c>
      <c r="GZ25" s="20">
        <v>-1.134286133685805</v>
      </c>
      <c r="HA25" s="20"/>
      <c r="HB25" s="21">
        <v>13.667825280000001</v>
      </c>
      <c r="HC25" s="21">
        <v>870.1852467734941</v>
      </c>
    </row>
    <row r="26" spans="1:211" s="7" customFormat="1" ht="17.25" customHeight="1">
      <c r="A26" s="7">
        <f t="shared" si="8"/>
        <v>26</v>
      </c>
      <c r="B26" s="26" t="s">
        <v>16</v>
      </c>
      <c r="C26" s="9" t="s">
        <v>420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15.5209093956533</v>
      </c>
      <c r="Q26" s="28">
        <v>0</v>
      </c>
      <c r="R26" s="28">
        <v>0</v>
      </c>
      <c r="S26" s="28">
        <v>1.62114399678593E-4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1.5818122988720299E-3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38.920022710247601</v>
      </c>
      <c r="CO26" s="28">
        <v>10.989475738196999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1.05379231953009E-2</v>
      </c>
      <c r="FT26" s="28">
        <v>0.83748385073725995</v>
      </c>
      <c r="FU26" s="28">
        <v>0</v>
      </c>
      <c r="FV26" s="28">
        <v>0</v>
      </c>
      <c r="FW26" s="28">
        <v>0</v>
      </c>
      <c r="FX26" s="28">
        <v>0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</v>
      </c>
      <c r="GG26" s="28">
        <v>0.471647887455243</v>
      </c>
      <c r="GH26" s="28">
        <v>0</v>
      </c>
      <c r="GI26" s="28">
        <v>6.5616043144000893E-2</v>
      </c>
      <c r="GJ26" s="28">
        <v>0</v>
      </c>
      <c r="GK26" s="28">
        <v>0.715788374828496</v>
      </c>
      <c r="GL26" s="28">
        <v>0</v>
      </c>
      <c r="GM26" s="28">
        <v>0</v>
      </c>
      <c r="GN26" s="28">
        <v>0</v>
      </c>
      <c r="GO26" s="28">
        <v>0</v>
      </c>
      <c r="GP26" s="28">
        <v>0</v>
      </c>
      <c r="GQ26" s="21">
        <v>67.533225850156782</v>
      </c>
      <c r="GR26" s="21">
        <v>46.664325340150498</v>
      </c>
      <c r="GS26" s="20">
        <v>46.664325340150498</v>
      </c>
      <c r="GT26" s="20">
        <v>0</v>
      </c>
      <c r="GU26" s="20">
        <v>0</v>
      </c>
      <c r="GV26" s="20">
        <v>0</v>
      </c>
      <c r="GW26" s="20">
        <v>0</v>
      </c>
      <c r="GX26" s="21">
        <v>-0.10457323087025827</v>
      </c>
      <c r="GY26" s="20">
        <v>0</v>
      </c>
      <c r="GZ26" s="20">
        <v>-0.10457323087025827</v>
      </c>
      <c r="HA26" s="20"/>
      <c r="HB26" s="21">
        <v>0</v>
      </c>
      <c r="HC26" s="21">
        <v>114.09297795943702</v>
      </c>
    </row>
    <row r="27" spans="1:211" s="7" customFormat="1" ht="17.25" customHeight="1">
      <c r="A27" s="7">
        <f t="shared" si="8"/>
        <v>27</v>
      </c>
      <c r="B27" s="26" t="s">
        <v>17</v>
      </c>
      <c r="C27" s="9" t="s">
        <v>421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39.700238579776602</v>
      </c>
      <c r="R27" s="28">
        <v>0</v>
      </c>
      <c r="S27" s="28">
        <v>2.3555003539771101E-2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4.4717755523010001E-2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9.26964272526105E-2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8.1821584701538104</v>
      </c>
      <c r="CJ27" s="28">
        <v>0</v>
      </c>
      <c r="CK27" s="28">
        <v>0</v>
      </c>
      <c r="CL27" s="28">
        <v>48.287845936586002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  <c r="EU27" s="28">
        <v>0</v>
      </c>
      <c r="EV27" s="28">
        <v>0</v>
      </c>
      <c r="EW27" s="28">
        <v>0</v>
      </c>
      <c r="EX27" s="28">
        <v>0</v>
      </c>
      <c r="EY27" s="28">
        <v>0</v>
      </c>
      <c r="EZ27" s="28">
        <v>0</v>
      </c>
      <c r="FA27" s="28">
        <v>0</v>
      </c>
      <c r="FB27" s="28">
        <v>0</v>
      </c>
      <c r="FC27" s="28">
        <v>0</v>
      </c>
      <c r="FD27" s="28">
        <v>0</v>
      </c>
      <c r="FE27" s="28">
        <v>0</v>
      </c>
      <c r="FF27" s="28">
        <v>0</v>
      </c>
      <c r="FG27" s="28">
        <v>0</v>
      </c>
      <c r="FH27" s="28">
        <v>0</v>
      </c>
      <c r="FI27" s="28">
        <v>0</v>
      </c>
      <c r="FJ27" s="28">
        <v>0</v>
      </c>
      <c r="FK27" s="28">
        <v>0</v>
      </c>
      <c r="FL27" s="28">
        <v>0</v>
      </c>
      <c r="FM27" s="28">
        <v>0</v>
      </c>
      <c r="FN27" s="28">
        <v>0</v>
      </c>
      <c r="FO27" s="28">
        <v>0</v>
      </c>
      <c r="FP27" s="28">
        <v>0</v>
      </c>
      <c r="FQ27" s="28">
        <v>0</v>
      </c>
      <c r="FR27" s="28">
        <v>0</v>
      </c>
      <c r="FS27" s="28">
        <v>1.7411202169487701</v>
      </c>
      <c r="FT27" s="28">
        <v>151.030053947488</v>
      </c>
      <c r="FU27" s="28">
        <v>0</v>
      </c>
      <c r="FV27" s="28">
        <v>0</v>
      </c>
      <c r="FW27" s="28">
        <v>0</v>
      </c>
      <c r="FX27" s="28">
        <v>0</v>
      </c>
      <c r="FY27" s="28">
        <v>0</v>
      </c>
      <c r="FZ27" s="28">
        <v>0</v>
      </c>
      <c r="GA27" s="28">
        <v>0</v>
      </c>
      <c r="GB27" s="28">
        <v>0</v>
      </c>
      <c r="GC27" s="28">
        <v>0</v>
      </c>
      <c r="GD27" s="28">
        <v>0</v>
      </c>
      <c r="GE27" s="28">
        <v>0</v>
      </c>
      <c r="GF27" s="28">
        <v>0</v>
      </c>
      <c r="GG27" s="28">
        <v>5.6970838317410299</v>
      </c>
      <c r="GH27" s="28">
        <v>0.55941880960004997</v>
      </c>
      <c r="GI27" s="28">
        <v>0.68321557556596002</v>
      </c>
      <c r="GJ27" s="28">
        <v>0.85775499468209804</v>
      </c>
      <c r="GK27" s="28">
        <v>7.4530212896049202</v>
      </c>
      <c r="GL27" s="28">
        <v>0</v>
      </c>
      <c r="GM27" s="28">
        <v>0</v>
      </c>
      <c r="GN27" s="28">
        <v>0</v>
      </c>
      <c r="GO27" s="28">
        <v>0</v>
      </c>
      <c r="GP27" s="28">
        <v>0</v>
      </c>
      <c r="GQ27" s="21">
        <v>264.35288083846285</v>
      </c>
      <c r="GR27" s="21">
        <v>1451.6207560543501</v>
      </c>
      <c r="GS27" s="20">
        <v>1439.0453020225159</v>
      </c>
      <c r="GT27" s="20">
        <v>0</v>
      </c>
      <c r="GU27" s="20">
        <v>12.575454031834187</v>
      </c>
      <c r="GV27" s="20">
        <v>12.575454031834187</v>
      </c>
      <c r="GW27" s="20">
        <v>0</v>
      </c>
      <c r="GX27" s="21">
        <v>6.716026540015933E-3</v>
      </c>
      <c r="GY27" s="20">
        <v>0</v>
      </c>
      <c r="GZ27" s="20">
        <v>6.716026540015933E-3</v>
      </c>
      <c r="HA27" s="20"/>
      <c r="HB27" s="21">
        <v>272.28873720000001</v>
      </c>
      <c r="HC27" s="21">
        <v>1988.269090119353</v>
      </c>
    </row>
    <row r="28" spans="1:211" s="7" customFormat="1" ht="17.25" customHeight="1">
      <c r="A28" s="7">
        <f t="shared" si="8"/>
        <v>28</v>
      </c>
      <c r="B28" s="26" t="s">
        <v>18</v>
      </c>
      <c r="C28" s="9" t="s">
        <v>422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146.89186459614601</v>
      </c>
      <c r="S28" s="28">
        <v>2.95519732598453E-2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0.23507289251870001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33.043266886964503</v>
      </c>
      <c r="BO28" s="28">
        <v>13.9199046681686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3.1442459702305299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213.56114038586901</v>
      </c>
      <c r="CJ28" s="28">
        <v>0</v>
      </c>
      <c r="CK28" s="28">
        <v>0</v>
      </c>
      <c r="CL28" s="28">
        <v>0</v>
      </c>
      <c r="CM28" s="28">
        <v>23.599588292995101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  <c r="EU28" s="28">
        <v>0</v>
      </c>
      <c r="EV28" s="28">
        <v>0</v>
      </c>
      <c r="EW28" s="28">
        <v>0</v>
      </c>
      <c r="EX28" s="28">
        <v>0</v>
      </c>
      <c r="EY28" s="28">
        <v>0</v>
      </c>
      <c r="EZ28" s="28">
        <v>0</v>
      </c>
      <c r="FA28" s="28">
        <v>0</v>
      </c>
      <c r="FB28" s="28">
        <v>0</v>
      </c>
      <c r="FC28" s="28">
        <v>0</v>
      </c>
      <c r="FD28" s="28">
        <v>0</v>
      </c>
      <c r="FE28" s="28">
        <v>0</v>
      </c>
      <c r="FF28" s="28">
        <v>0</v>
      </c>
      <c r="FG28" s="28">
        <v>0</v>
      </c>
      <c r="FH28" s="28">
        <v>0</v>
      </c>
      <c r="FI28" s="28">
        <v>0</v>
      </c>
      <c r="FJ28" s="28">
        <v>0</v>
      </c>
      <c r="FK28" s="28">
        <v>0</v>
      </c>
      <c r="FL28" s="28">
        <v>0</v>
      </c>
      <c r="FM28" s="28">
        <v>0</v>
      </c>
      <c r="FN28" s="28">
        <v>0</v>
      </c>
      <c r="FO28" s="28">
        <v>0</v>
      </c>
      <c r="FP28" s="28">
        <v>0</v>
      </c>
      <c r="FQ28" s="28">
        <v>0</v>
      </c>
      <c r="FR28" s="28">
        <v>0</v>
      </c>
      <c r="FS28" s="28">
        <v>1.32862851428479</v>
      </c>
      <c r="FT28" s="28">
        <v>105.590532756847</v>
      </c>
      <c r="FU28" s="28">
        <v>0</v>
      </c>
      <c r="FV28" s="28">
        <v>0</v>
      </c>
      <c r="FW28" s="28">
        <v>0</v>
      </c>
      <c r="FX28" s="28">
        <v>0</v>
      </c>
      <c r="FY28" s="28">
        <v>0.121645752075226</v>
      </c>
      <c r="FZ28" s="28">
        <v>0</v>
      </c>
      <c r="GA28" s="28">
        <v>0</v>
      </c>
      <c r="GB28" s="28">
        <v>0</v>
      </c>
      <c r="GC28" s="28">
        <v>0</v>
      </c>
      <c r="GD28" s="28">
        <v>0</v>
      </c>
      <c r="GE28" s="28">
        <v>0</v>
      </c>
      <c r="GF28" s="28">
        <v>0</v>
      </c>
      <c r="GG28" s="28">
        <v>5.7643247695051896</v>
      </c>
      <c r="GH28" s="28">
        <v>2.2490561386953298</v>
      </c>
      <c r="GI28" s="28">
        <v>0.92967314097827602</v>
      </c>
      <c r="GJ28" s="28">
        <v>3.2872984532477401</v>
      </c>
      <c r="GK28" s="28">
        <v>10.141562868125799</v>
      </c>
      <c r="GL28" s="28">
        <v>0</v>
      </c>
      <c r="GM28" s="28">
        <v>0</v>
      </c>
      <c r="GN28" s="28">
        <v>0</v>
      </c>
      <c r="GO28" s="28">
        <v>0</v>
      </c>
      <c r="GP28" s="28">
        <v>0</v>
      </c>
      <c r="GQ28" s="21">
        <v>563.83735805991103</v>
      </c>
      <c r="GR28" s="21">
        <v>1655.0251695942</v>
      </c>
      <c r="GS28" s="20">
        <v>1632.4273575088218</v>
      </c>
      <c r="GT28" s="20">
        <v>0</v>
      </c>
      <c r="GU28" s="20">
        <v>22.597812085378109</v>
      </c>
      <c r="GV28" s="20">
        <v>22.597812085378109</v>
      </c>
      <c r="GW28" s="20">
        <v>0</v>
      </c>
      <c r="GX28" s="21">
        <v>1.3403954495902322</v>
      </c>
      <c r="GY28" s="20">
        <v>0</v>
      </c>
      <c r="GZ28" s="20">
        <v>1.3403954495902322</v>
      </c>
      <c r="HA28" s="20"/>
      <c r="HB28" s="21">
        <v>1.9929751200000001</v>
      </c>
      <c r="HC28" s="21">
        <v>2222.1958982237015</v>
      </c>
    </row>
    <row r="29" spans="1:211" s="7" customFormat="1" ht="17.25" customHeight="1">
      <c r="A29" s="7">
        <f t="shared" si="8"/>
        <v>29</v>
      </c>
      <c r="B29" s="26" t="s">
        <v>19</v>
      </c>
      <c r="C29" s="10" t="s">
        <v>423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209.04378962383601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18.9260646042876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2966.20807873802</v>
      </c>
      <c r="CC29" s="28">
        <v>0</v>
      </c>
      <c r="CD29" s="28">
        <v>1391.8816768500501</v>
      </c>
      <c r="CE29" s="28">
        <v>451.99082027547303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7.0582809259400596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  <c r="EU29" s="28">
        <v>0</v>
      </c>
      <c r="EV29" s="28">
        <v>0</v>
      </c>
      <c r="EW29" s="28">
        <v>0</v>
      </c>
      <c r="EX29" s="28">
        <v>0</v>
      </c>
      <c r="EY29" s="28">
        <v>0</v>
      </c>
      <c r="EZ29" s="28">
        <v>0</v>
      </c>
      <c r="FA29" s="28">
        <v>0</v>
      </c>
      <c r="FB29" s="28">
        <v>0</v>
      </c>
      <c r="FC29" s="28">
        <v>0</v>
      </c>
      <c r="FD29" s="28">
        <v>0</v>
      </c>
      <c r="FE29" s="28">
        <v>0</v>
      </c>
      <c r="FF29" s="28">
        <v>0</v>
      </c>
      <c r="FG29" s="28">
        <v>0</v>
      </c>
      <c r="FH29" s="28">
        <v>0</v>
      </c>
      <c r="FI29" s="28">
        <v>0</v>
      </c>
      <c r="FJ29" s="28">
        <v>0</v>
      </c>
      <c r="FK29" s="28">
        <v>0</v>
      </c>
      <c r="FL29" s="28">
        <v>0</v>
      </c>
      <c r="FM29" s="28">
        <v>0</v>
      </c>
      <c r="FN29" s="28">
        <v>0</v>
      </c>
      <c r="FO29" s="28">
        <v>0</v>
      </c>
      <c r="FP29" s="28">
        <v>0</v>
      </c>
      <c r="FQ29" s="28">
        <v>0</v>
      </c>
      <c r="FR29" s="28">
        <v>0</v>
      </c>
      <c r="FS29" s="28">
        <v>0</v>
      </c>
      <c r="FT29" s="28">
        <v>0</v>
      </c>
      <c r="FU29" s="28">
        <v>0</v>
      </c>
      <c r="FV29" s="28">
        <v>0</v>
      </c>
      <c r="FW29" s="28">
        <v>0</v>
      </c>
      <c r="FX29" s="28">
        <v>0</v>
      </c>
      <c r="FY29" s="28">
        <v>0</v>
      </c>
      <c r="FZ29" s="28">
        <v>0</v>
      </c>
      <c r="GA29" s="28">
        <v>0</v>
      </c>
      <c r="GB29" s="28">
        <v>0</v>
      </c>
      <c r="GC29" s="28">
        <v>0</v>
      </c>
      <c r="GD29" s="28">
        <v>0</v>
      </c>
      <c r="GE29" s="28">
        <v>0</v>
      </c>
      <c r="GF29" s="28">
        <v>0</v>
      </c>
      <c r="GG29" s="28">
        <v>0</v>
      </c>
      <c r="GH29" s="28">
        <v>0</v>
      </c>
      <c r="GI29" s="28">
        <v>0</v>
      </c>
      <c r="GJ29" s="28">
        <v>0</v>
      </c>
      <c r="GK29" s="28">
        <v>0</v>
      </c>
      <c r="GL29" s="28">
        <v>0</v>
      </c>
      <c r="GM29" s="28">
        <v>0</v>
      </c>
      <c r="GN29" s="28">
        <v>0</v>
      </c>
      <c r="GO29" s="28">
        <v>0</v>
      </c>
      <c r="GP29" s="28">
        <v>0</v>
      </c>
      <c r="GQ29" s="21">
        <v>5045.108711017604</v>
      </c>
      <c r="GR29" s="21">
        <v>0.78006246033126603</v>
      </c>
      <c r="GS29" s="20">
        <v>0.78006246033126603</v>
      </c>
      <c r="GT29" s="20">
        <v>0</v>
      </c>
      <c r="GU29" s="20">
        <v>0</v>
      </c>
      <c r="GV29" s="20">
        <v>0</v>
      </c>
      <c r="GW29" s="20">
        <v>0</v>
      </c>
      <c r="GX29" s="21">
        <v>125.68796788170602</v>
      </c>
      <c r="GY29" s="20">
        <v>0</v>
      </c>
      <c r="GZ29" s="20">
        <v>125.68796788170602</v>
      </c>
      <c r="HA29" s="20"/>
      <c r="HB29" s="21">
        <v>38.722743974399997</v>
      </c>
      <c r="HC29" s="21">
        <v>5210.2994853340415</v>
      </c>
    </row>
    <row r="30" spans="1:211" s="7" customFormat="1" ht="17.25" customHeight="1">
      <c r="A30" s="7">
        <f t="shared" si="8"/>
        <v>30</v>
      </c>
      <c r="B30" s="26" t="s">
        <v>20</v>
      </c>
      <c r="C30" s="9" t="s">
        <v>424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23.681023246683299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187.501114025551</v>
      </c>
      <c r="CD30" s="28">
        <v>113.009976611531</v>
      </c>
      <c r="CE30" s="28">
        <v>10.773668132011201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0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  <c r="EU30" s="28">
        <v>0</v>
      </c>
      <c r="EV30" s="28">
        <v>0</v>
      </c>
      <c r="EW30" s="28">
        <v>0</v>
      </c>
      <c r="EX30" s="28">
        <v>0</v>
      </c>
      <c r="EY30" s="28">
        <v>0</v>
      </c>
      <c r="EZ30" s="28">
        <v>0</v>
      </c>
      <c r="FA30" s="28">
        <v>0</v>
      </c>
      <c r="FB30" s="28">
        <v>0</v>
      </c>
      <c r="FC30" s="28">
        <v>0</v>
      </c>
      <c r="FD30" s="28">
        <v>0</v>
      </c>
      <c r="FE30" s="28">
        <v>0</v>
      </c>
      <c r="FF30" s="28">
        <v>0</v>
      </c>
      <c r="FG30" s="28">
        <v>0</v>
      </c>
      <c r="FH30" s="28">
        <v>0</v>
      </c>
      <c r="FI30" s="28">
        <v>0</v>
      </c>
      <c r="FJ30" s="28">
        <v>0</v>
      </c>
      <c r="FK30" s="28">
        <v>0</v>
      </c>
      <c r="FL30" s="28">
        <v>0</v>
      </c>
      <c r="FM30" s="28">
        <v>0</v>
      </c>
      <c r="FN30" s="28">
        <v>0</v>
      </c>
      <c r="FO30" s="28">
        <v>0</v>
      </c>
      <c r="FP30" s="28">
        <v>0</v>
      </c>
      <c r="FQ30" s="28">
        <v>0</v>
      </c>
      <c r="FR30" s="28">
        <v>0</v>
      </c>
      <c r="FS30" s="28">
        <v>0</v>
      </c>
      <c r="FT30" s="28">
        <v>0</v>
      </c>
      <c r="FU30" s="28">
        <v>0</v>
      </c>
      <c r="FV30" s="28">
        <v>0</v>
      </c>
      <c r="FW30" s="28">
        <v>0</v>
      </c>
      <c r="FX30" s="28">
        <v>0</v>
      </c>
      <c r="FY30" s="28">
        <v>0</v>
      </c>
      <c r="FZ30" s="28">
        <v>0</v>
      </c>
      <c r="GA30" s="28">
        <v>0</v>
      </c>
      <c r="GB30" s="28">
        <v>0</v>
      </c>
      <c r="GC30" s="28">
        <v>0</v>
      </c>
      <c r="GD30" s="28">
        <v>0</v>
      </c>
      <c r="GE30" s="28">
        <v>0</v>
      </c>
      <c r="GF30" s="28">
        <v>0</v>
      </c>
      <c r="GG30" s="28">
        <v>0</v>
      </c>
      <c r="GH30" s="28">
        <v>0</v>
      </c>
      <c r="GI30" s="28">
        <v>0</v>
      </c>
      <c r="GJ30" s="28">
        <v>0</v>
      </c>
      <c r="GK30" s="28">
        <v>0</v>
      </c>
      <c r="GL30" s="28">
        <v>0</v>
      </c>
      <c r="GM30" s="28">
        <v>0</v>
      </c>
      <c r="GN30" s="28">
        <v>0</v>
      </c>
      <c r="GO30" s="28">
        <v>0</v>
      </c>
      <c r="GP30" s="28">
        <v>0</v>
      </c>
      <c r="GQ30" s="21">
        <v>334.96578201577734</v>
      </c>
      <c r="GR30" s="21">
        <v>6.2270576737124603</v>
      </c>
      <c r="GS30" s="20">
        <v>6.2270576737124603</v>
      </c>
      <c r="GT30" s="20">
        <v>0</v>
      </c>
      <c r="GU30" s="20">
        <v>0</v>
      </c>
      <c r="GV30" s="20">
        <v>0</v>
      </c>
      <c r="GW30" s="20">
        <v>0</v>
      </c>
      <c r="GX30" s="21">
        <v>-19.286903846460589</v>
      </c>
      <c r="GY30" s="20">
        <v>0</v>
      </c>
      <c r="GZ30" s="20">
        <v>-19.286903846460589</v>
      </c>
      <c r="HA30" s="20"/>
      <c r="HB30" s="21">
        <v>11.3596115064</v>
      </c>
      <c r="HC30" s="21">
        <v>333.2655473494292</v>
      </c>
    </row>
    <row r="31" spans="1:211" s="7" customFormat="1" ht="17.25" customHeight="1">
      <c r="A31" s="7">
        <f t="shared" si="8"/>
        <v>31</v>
      </c>
      <c r="B31" s="26" t="s">
        <v>21</v>
      </c>
      <c r="C31" s="9" t="s">
        <v>425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1.1171428526926701E-2</v>
      </c>
      <c r="T31" s="28">
        <v>0</v>
      </c>
      <c r="U31" s="28">
        <v>106.905551242793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2.29188107471608E-2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1.3833354657500201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2.4799611079920099</v>
      </c>
      <c r="CC31" s="28">
        <v>0.135940000264756</v>
      </c>
      <c r="CD31" s="28">
        <v>1.7859976810415099</v>
      </c>
      <c r="CE31" s="28">
        <v>0.60728436081935799</v>
      </c>
      <c r="CF31" s="28">
        <v>0</v>
      </c>
      <c r="CG31" s="28">
        <v>0</v>
      </c>
      <c r="CH31" s="28">
        <v>77.208964384458</v>
      </c>
      <c r="CI31" s="28">
        <v>0</v>
      </c>
      <c r="CJ31" s="28">
        <v>0</v>
      </c>
      <c r="CK31" s="28">
        <v>0</v>
      </c>
      <c r="CL31" s="28">
        <v>29.807530462738299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  <c r="EU31" s="28">
        <v>0</v>
      </c>
      <c r="EV31" s="28">
        <v>0</v>
      </c>
      <c r="EW31" s="28">
        <v>0</v>
      </c>
      <c r="EX31" s="28">
        <v>0</v>
      </c>
      <c r="EY31" s="28">
        <v>0</v>
      </c>
      <c r="EZ31" s="28">
        <v>0</v>
      </c>
      <c r="FA31" s="28">
        <v>0</v>
      </c>
      <c r="FB31" s="28">
        <v>0</v>
      </c>
      <c r="FC31" s="28">
        <v>0</v>
      </c>
      <c r="FD31" s="28">
        <v>0</v>
      </c>
      <c r="FE31" s="28">
        <v>0</v>
      </c>
      <c r="FF31" s="28">
        <v>0</v>
      </c>
      <c r="FG31" s="28">
        <v>0</v>
      </c>
      <c r="FH31" s="28">
        <v>0</v>
      </c>
      <c r="FI31" s="28">
        <v>0</v>
      </c>
      <c r="FJ31" s="28">
        <v>0</v>
      </c>
      <c r="FK31" s="28">
        <v>0</v>
      </c>
      <c r="FL31" s="28">
        <v>0</v>
      </c>
      <c r="FM31" s="28">
        <v>0</v>
      </c>
      <c r="FN31" s="28">
        <v>0</v>
      </c>
      <c r="FO31" s="28">
        <v>0</v>
      </c>
      <c r="FP31" s="28">
        <v>0</v>
      </c>
      <c r="FQ31" s="28">
        <v>0</v>
      </c>
      <c r="FR31" s="28">
        <v>0</v>
      </c>
      <c r="FS31" s="28">
        <v>0.72617642869445798</v>
      </c>
      <c r="FT31" s="28">
        <v>57.7116591710273</v>
      </c>
      <c r="FU31" s="28">
        <v>0</v>
      </c>
      <c r="FV31" s="28">
        <v>0</v>
      </c>
      <c r="FW31" s="28">
        <v>0</v>
      </c>
      <c r="FX31" s="28">
        <v>0</v>
      </c>
      <c r="FY31" s="28">
        <v>0</v>
      </c>
      <c r="FZ31" s="28">
        <v>0</v>
      </c>
      <c r="GA31" s="28">
        <v>0</v>
      </c>
      <c r="GB31" s="28">
        <v>0</v>
      </c>
      <c r="GC31" s="28">
        <v>0</v>
      </c>
      <c r="GD31" s="28">
        <v>0</v>
      </c>
      <c r="GE31" s="28">
        <v>0</v>
      </c>
      <c r="GF31" s="28">
        <v>0</v>
      </c>
      <c r="GG31" s="28">
        <v>0</v>
      </c>
      <c r="GH31" s="28">
        <v>0</v>
      </c>
      <c r="GI31" s="28">
        <v>0</v>
      </c>
      <c r="GJ31" s="28">
        <v>0.41863057123175501</v>
      </c>
      <c r="GK31" s="28">
        <v>0</v>
      </c>
      <c r="GL31" s="28">
        <v>0</v>
      </c>
      <c r="GM31" s="28">
        <v>0</v>
      </c>
      <c r="GN31" s="28">
        <v>0</v>
      </c>
      <c r="GO31" s="28">
        <v>0</v>
      </c>
      <c r="GP31" s="28">
        <v>0</v>
      </c>
      <c r="GQ31" s="21">
        <v>279.20512111608434</v>
      </c>
      <c r="GR31" s="21">
        <v>174.795598027208</v>
      </c>
      <c r="GS31" s="20">
        <v>172.80054284115843</v>
      </c>
      <c r="GT31" s="20">
        <v>0</v>
      </c>
      <c r="GU31" s="20">
        <v>1.9950551860495744</v>
      </c>
      <c r="GV31" s="20">
        <v>1.9950551860495744</v>
      </c>
      <c r="GW31" s="20">
        <v>0</v>
      </c>
      <c r="GX31" s="21">
        <v>21.160001072723059</v>
      </c>
      <c r="GY31" s="20">
        <v>0</v>
      </c>
      <c r="GZ31" s="20">
        <v>21.160001072723059</v>
      </c>
      <c r="HA31" s="20"/>
      <c r="HB31" s="21">
        <v>254.49455920080001</v>
      </c>
      <c r="HC31" s="21">
        <v>729.65527941681546</v>
      </c>
    </row>
    <row r="32" spans="1:211" s="7" customFormat="1" ht="17.25" customHeight="1">
      <c r="A32" s="7">
        <f t="shared" si="8"/>
        <v>32</v>
      </c>
      <c r="B32" s="26" t="s">
        <v>22</v>
      </c>
      <c r="C32" s="9" t="s">
        <v>426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3.1995247712316202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16.0372948101802</v>
      </c>
      <c r="CS32" s="28">
        <v>0</v>
      </c>
      <c r="CT32" s="28">
        <v>0</v>
      </c>
      <c r="CU32" s="28">
        <v>8.9570670648810094E-3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  <c r="EU32" s="28">
        <v>0</v>
      </c>
      <c r="EV32" s="28">
        <v>0</v>
      </c>
      <c r="EW32" s="28">
        <v>0</v>
      </c>
      <c r="EX32" s="28">
        <v>0</v>
      </c>
      <c r="EY32" s="28">
        <v>0</v>
      </c>
      <c r="EZ32" s="28">
        <v>0</v>
      </c>
      <c r="FA32" s="28">
        <v>0</v>
      </c>
      <c r="FB32" s="28">
        <v>0</v>
      </c>
      <c r="FC32" s="28">
        <v>0</v>
      </c>
      <c r="FD32" s="28">
        <v>0</v>
      </c>
      <c r="FE32" s="28">
        <v>0</v>
      </c>
      <c r="FF32" s="28">
        <v>0</v>
      </c>
      <c r="FG32" s="28">
        <v>0</v>
      </c>
      <c r="FH32" s="28">
        <v>0</v>
      </c>
      <c r="FI32" s="28">
        <v>0</v>
      </c>
      <c r="FJ32" s="28">
        <v>0</v>
      </c>
      <c r="FK32" s="28">
        <v>0</v>
      </c>
      <c r="FL32" s="28">
        <v>0</v>
      </c>
      <c r="FM32" s="28">
        <v>0</v>
      </c>
      <c r="FN32" s="28">
        <v>0</v>
      </c>
      <c r="FO32" s="28">
        <v>0</v>
      </c>
      <c r="FP32" s="28">
        <v>0</v>
      </c>
      <c r="FQ32" s="28">
        <v>0</v>
      </c>
      <c r="FR32" s="28">
        <v>0</v>
      </c>
      <c r="FS32" s="28">
        <v>0</v>
      </c>
      <c r="FT32" s="28">
        <v>0</v>
      </c>
      <c r="FU32" s="28">
        <v>0</v>
      </c>
      <c r="FV32" s="28">
        <v>0</v>
      </c>
      <c r="FW32" s="28">
        <v>0</v>
      </c>
      <c r="FX32" s="28">
        <v>0</v>
      </c>
      <c r="FY32" s="28">
        <v>0</v>
      </c>
      <c r="FZ32" s="28">
        <v>0</v>
      </c>
      <c r="GA32" s="28">
        <v>0</v>
      </c>
      <c r="GB32" s="28">
        <v>0</v>
      </c>
      <c r="GC32" s="28">
        <v>0</v>
      </c>
      <c r="GD32" s="28">
        <v>0</v>
      </c>
      <c r="GE32" s="28">
        <v>0</v>
      </c>
      <c r="GF32" s="28">
        <v>0</v>
      </c>
      <c r="GG32" s="28">
        <v>0</v>
      </c>
      <c r="GH32" s="28">
        <v>0</v>
      </c>
      <c r="GI32" s="28">
        <v>0</v>
      </c>
      <c r="GJ32" s="28">
        <v>0</v>
      </c>
      <c r="GK32" s="28">
        <v>0</v>
      </c>
      <c r="GL32" s="28">
        <v>0</v>
      </c>
      <c r="GM32" s="28">
        <v>0</v>
      </c>
      <c r="GN32" s="28">
        <v>0</v>
      </c>
      <c r="GO32" s="28">
        <v>0</v>
      </c>
      <c r="GP32" s="28">
        <v>0</v>
      </c>
      <c r="GQ32" s="21">
        <v>19.245776648476721</v>
      </c>
      <c r="GR32" s="21">
        <v>0</v>
      </c>
      <c r="GS32" s="20">
        <v>0</v>
      </c>
      <c r="GT32" s="20">
        <v>0</v>
      </c>
      <c r="GU32" s="20">
        <v>0</v>
      </c>
      <c r="GV32" s="20">
        <v>0</v>
      </c>
      <c r="GW32" s="20">
        <v>0</v>
      </c>
      <c r="GX32" s="21">
        <v>6.124548553924531E-2</v>
      </c>
      <c r="GY32" s="20">
        <v>0</v>
      </c>
      <c r="GZ32" s="20">
        <v>6.124548553924531E-2</v>
      </c>
      <c r="HA32" s="20"/>
      <c r="HB32" s="21">
        <v>0</v>
      </c>
      <c r="HC32" s="21">
        <v>19.307022134015966</v>
      </c>
    </row>
    <row r="33" spans="1:211" s="7" customFormat="1" ht="17.25" customHeight="1">
      <c r="A33" s="7">
        <f t="shared" si="8"/>
        <v>33</v>
      </c>
      <c r="B33" s="26" t="s">
        <v>23</v>
      </c>
      <c r="C33" s="9" t="s">
        <v>427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1.5960892673871101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0.39657257612461699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226.39816017652399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  <c r="EU33" s="28">
        <v>0</v>
      </c>
      <c r="EV33" s="28">
        <v>0</v>
      </c>
      <c r="EW33" s="28">
        <v>0</v>
      </c>
      <c r="EX33" s="28">
        <v>0</v>
      </c>
      <c r="EY33" s="28">
        <v>0</v>
      </c>
      <c r="EZ33" s="28">
        <v>0</v>
      </c>
      <c r="FA33" s="28">
        <v>0</v>
      </c>
      <c r="FB33" s="28">
        <v>0</v>
      </c>
      <c r="FC33" s="28">
        <v>0</v>
      </c>
      <c r="FD33" s="28">
        <v>0</v>
      </c>
      <c r="FE33" s="28">
        <v>0</v>
      </c>
      <c r="FF33" s="28">
        <v>0</v>
      </c>
      <c r="FG33" s="28">
        <v>0</v>
      </c>
      <c r="FH33" s="28">
        <v>0</v>
      </c>
      <c r="FI33" s="28">
        <v>0</v>
      </c>
      <c r="FJ33" s="28">
        <v>0</v>
      </c>
      <c r="FK33" s="28">
        <v>0</v>
      </c>
      <c r="FL33" s="28">
        <v>0</v>
      </c>
      <c r="FM33" s="28">
        <v>0</v>
      </c>
      <c r="FN33" s="28">
        <v>0</v>
      </c>
      <c r="FO33" s="28">
        <v>0</v>
      </c>
      <c r="FP33" s="28">
        <v>0</v>
      </c>
      <c r="FQ33" s="28">
        <v>0</v>
      </c>
      <c r="FR33" s="28">
        <v>0</v>
      </c>
      <c r="FS33" s="28">
        <v>1.44610054008012E-2</v>
      </c>
      <c r="FT33" s="28">
        <v>1.1492642586345501</v>
      </c>
      <c r="FU33" s="28">
        <v>0</v>
      </c>
      <c r="FV33" s="28">
        <v>0</v>
      </c>
      <c r="FW33" s="28">
        <v>0</v>
      </c>
      <c r="FX33" s="28">
        <v>0</v>
      </c>
      <c r="FY33" s="28">
        <v>0</v>
      </c>
      <c r="FZ33" s="28">
        <v>0</v>
      </c>
      <c r="GA33" s="28">
        <v>0</v>
      </c>
      <c r="GB33" s="28">
        <v>0</v>
      </c>
      <c r="GC33" s="28">
        <v>0</v>
      </c>
      <c r="GD33" s="28">
        <v>0</v>
      </c>
      <c r="GE33" s="28">
        <v>0</v>
      </c>
      <c r="GF33" s="28">
        <v>0</v>
      </c>
      <c r="GG33" s="28">
        <v>0</v>
      </c>
      <c r="GH33" s="28">
        <v>0</v>
      </c>
      <c r="GI33" s="28">
        <v>0</v>
      </c>
      <c r="GJ33" s="28">
        <v>0</v>
      </c>
      <c r="GK33" s="28">
        <v>0</v>
      </c>
      <c r="GL33" s="28">
        <v>0</v>
      </c>
      <c r="GM33" s="28">
        <v>0</v>
      </c>
      <c r="GN33" s="28">
        <v>0</v>
      </c>
      <c r="GO33" s="28">
        <v>0</v>
      </c>
      <c r="GP33" s="28">
        <v>0</v>
      </c>
      <c r="GQ33" s="21">
        <v>229.55454728407108</v>
      </c>
      <c r="GR33" s="21">
        <v>1.0353117750778</v>
      </c>
      <c r="GS33" s="20">
        <v>1.0353117750778</v>
      </c>
      <c r="GT33" s="20">
        <v>0</v>
      </c>
      <c r="GU33" s="20">
        <v>0</v>
      </c>
      <c r="GV33" s="20">
        <v>0</v>
      </c>
      <c r="GW33" s="20">
        <v>0</v>
      </c>
      <c r="GX33" s="21">
        <v>-2.2089129815786515</v>
      </c>
      <c r="GY33" s="20">
        <v>0</v>
      </c>
      <c r="GZ33" s="20">
        <v>-2.2089129815786515</v>
      </c>
      <c r="HA33" s="20"/>
      <c r="HB33" s="21">
        <v>5.2523291999999999E-2</v>
      </c>
      <c r="HC33" s="21">
        <v>228.43346936957019</v>
      </c>
    </row>
    <row r="34" spans="1:211" s="7" customFormat="1" ht="17.25" customHeight="1">
      <c r="A34" s="7">
        <f t="shared" si="8"/>
        <v>34</v>
      </c>
      <c r="B34" s="26" t="s">
        <v>24</v>
      </c>
      <c r="C34" s="9" t="s">
        <v>428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1.76191500287189</v>
      </c>
      <c r="T34" s="28">
        <v>0</v>
      </c>
      <c r="U34" s="28">
        <v>0</v>
      </c>
      <c r="V34" s="28">
        <v>0</v>
      </c>
      <c r="W34" s="28">
        <v>0</v>
      </c>
      <c r="X34" s="28">
        <v>16.1501405574903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6.9379479183486997E-2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122.570151336675</v>
      </c>
      <c r="CI34" s="28">
        <v>0</v>
      </c>
      <c r="CJ34" s="28">
        <v>0</v>
      </c>
      <c r="CK34" s="28">
        <v>5.20438420720905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0.19189324171467401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0</v>
      </c>
      <c r="EC34" s="28">
        <v>0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  <c r="EU34" s="28">
        <v>0</v>
      </c>
      <c r="EV34" s="28">
        <v>0</v>
      </c>
      <c r="EW34" s="28">
        <v>0</v>
      </c>
      <c r="EX34" s="28">
        <v>0</v>
      </c>
      <c r="EY34" s="28">
        <v>0</v>
      </c>
      <c r="EZ34" s="28">
        <v>0</v>
      </c>
      <c r="FA34" s="28">
        <v>0</v>
      </c>
      <c r="FB34" s="28">
        <v>0</v>
      </c>
      <c r="FC34" s="28">
        <v>0</v>
      </c>
      <c r="FD34" s="28">
        <v>0</v>
      </c>
      <c r="FE34" s="28">
        <v>0</v>
      </c>
      <c r="FF34" s="28">
        <v>0</v>
      </c>
      <c r="FG34" s="28">
        <v>0</v>
      </c>
      <c r="FH34" s="28">
        <v>0</v>
      </c>
      <c r="FI34" s="28">
        <v>0</v>
      </c>
      <c r="FJ34" s="28">
        <v>0</v>
      </c>
      <c r="FK34" s="28">
        <v>0</v>
      </c>
      <c r="FL34" s="28">
        <v>0</v>
      </c>
      <c r="FM34" s="28">
        <v>0</v>
      </c>
      <c r="FN34" s="28">
        <v>0</v>
      </c>
      <c r="FO34" s="28">
        <v>0</v>
      </c>
      <c r="FP34" s="28">
        <v>0</v>
      </c>
      <c r="FQ34" s="28">
        <v>0</v>
      </c>
      <c r="FR34" s="28">
        <v>0</v>
      </c>
      <c r="FS34" s="28">
        <v>0</v>
      </c>
      <c r="FT34" s="28">
        <v>0</v>
      </c>
      <c r="FU34" s="28">
        <v>0</v>
      </c>
      <c r="FV34" s="28">
        <v>0</v>
      </c>
      <c r="FW34" s="28">
        <v>0</v>
      </c>
      <c r="FX34" s="28">
        <v>0</v>
      </c>
      <c r="FY34" s="28">
        <v>0</v>
      </c>
      <c r="FZ34" s="28">
        <v>0</v>
      </c>
      <c r="GA34" s="28">
        <v>0</v>
      </c>
      <c r="GB34" s="28">
        <v>0</v>
      </c>
      <c r="GC34" s="28">
        <v>0</v>
      </c>
      <c r="GD34" s="28">
        <v>0</v>
      </c>
      <c r="GE34" s="28">
        <v>0</v>
      </c>
      <c r="GF34" s="28">
        <v>0</v>
      </c>
      <c r="GG34" s="28">
        <v>0</v>
      </c>
      <c r="GH34" s="28">
        <v>0</v>
      </c>
      <c r="GI34" s="28">
        <v>0</v>
      </c>
      <c r="GJ34" s="28">
        <v>0</v>
      </c>
      <c r="GK34" s="28">
        <v>0</v>
      </c>
      <c r="GL34" s="28">
        <v>0</v>
      </c>
      <c r="GM34" s="28">
        <v>0</v>
      </c>
      <c r="GN34" s="28">
        <v>0</v>
      </c>
      <c r="GO34" s="28">
        <v>0</v>
      </c>
      <c r="GP34" s="28">
        <v>0</v>
      </c>
      <c r="GQ34" s="21">
        <v>145.94786382514437</v>
      </c>
      <c r="GR34" s="21">
        <v>2.3035308558493699</v>
      </c>
      <c r="GS34" s="20">
        <v>2.3035308558493699</v>
      </c>
      <c r="GT34" s="20">
        <v>0</v>
      </c>
      <c r="GU34" s="20">
        <v>0</v>
      </c>
      <c r="GV34" s="20">
        <v>0</v>
      </c>
      <c r="GW34" s="20">
        <v>0</v>
      </c>
      <c r="GX34" s="21">
        <v>-0.62710083651120363</v>
      </c>
      <c r="GY34" s="20">
        <v>0</v>
      </c>
      <c r="GZ34" s="20">
        <v>-0.62710083651120363</v>
      </c>
      <c r="HA34" s="20"/>
      <c r="HB34" s="21">
        <v>6.8610521856000002</v>
      </c>
      <c r="HC34" s="21">
        <v>154.48534603008252</v>
      </c>
    </row>
    <row r="35" spans="1:211" s="7" customFormat="1" ht="17.25" customHeight="1">
      <c r="A35" s="7">
        <f t="shared" si="8"/>
        <v>35</v>
      </c>
      <c r="B35" s="26" t="s">
        <v>25</v>
      </c>
      <c r="C35" s="9" t="s">
        <v>429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0.34461119191258299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1.71241590709896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1.18855553523329E-2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8.0590630416310791</v>
      </c>
      <c r="CL35" s="28">
        <v>1.6447463581992099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  <c r="EU35" s="28">
        <v>0</v>
      </c>
      <c r="EV35" s="28">
        <v>0</v>
      </c>
      <c r="EW35" s="28">
        <v>0</v>
      </c>
      <c r="EX35" s="28">
        <v>0</v>
      </c>
      <c r="EY35" s="28">
        <v>0</v>
      </c>
      <c r="EZ35" s="28">
        <v>0</v>
      </c>
      <c r="FA35" s="28">
        <v>0</v>
      </c>
      <c r="FB35" s="28">
        <v>0</v>
      </c>
      <c r="FC35" s="28">
        <v>0</v>
      </c>
      <c r="FD35" s="28">
        <v>0</v>
      </c>
      <c r="FE35" s="28">
        <v>0</v>
      </c>
      <c r="FF35" s="28">
        <v>0</v>
      </c>
      <c r="FG35" s="28">
        <v>0</v>
      </c>
      <c r="FH35" s="28">
        <v>0</v>
      </c>
      <c r="FI35" s="28">
        <v>0</v>
      </c>
      <c r="FJ35" s="28">
        <v>0</v>
      </c>
      <c r="FK35" s="28">
        <v>0</v>
      </c>
      <c r="FL35" s="28">
        <v>0</v>
      </c>
      <c r="FM35" s="28">
        <v>0</v>
      </c>
      <c r="FN35" s="28">
        <v>0</v>
      </c>
      <c r="FO35" s="28">
        <v>0</v>
      </c>
      <c r="FP35" s="28">
        <v>0</v>
      </c>
      <c r="FQ35" s="28">
        <v>0</v>
      </c>
      <c r="FR35" s="28">
        <v>0</v>
      </c>
      <c r="FS35" s="28">
        <v>0.174107289120881</v>
      </c>
      <c r="FT35" s="28">
        <v>13.8368860952984</v>
      </c>
      <c r="FU35" s="28">
        <v>0</v>
      </c>
      <c r="FV35" s="28">
        <v>0</v>
      </c>
      <c r="FW35" s="28">
        <v>0</v>
      </c>
      <c r="FX35" s="28">
        <v>0</v>
      </c>
      <c r="FY35" s="28">
        <v>0</v>
      </c>
      <c r="FZ35" s="28">
        <v>0</v>
      </c>
      <c r="GA35" s="28">
        <v>0</v>
      </c>
      <c r="GB35" s="28">
        <v>0</v>
      </c>
      <c r="GC35" s="28">
        <v>0</v>
      </c>
      <c r="GD35" s="28">
        <v>0</v>
      </c>
      <c r="GE35" s="28">
        <v>0</v>
      </c>
      <c r="GF35" s="28">
        <v>0</v>
      </c>
      <c r="GG35" s="28">
        <v>0</v>
      </c>
      <c r="GH35" s="28">
        <v>0</v>
      </c>
      <c r="GI35" s="28">
        <v>0</v>
      </c>
      <c r="GJ35" s="28">
        <v>0</v>
      </c>
      <c r="GK35" s="28">
        <v>0</v>
      </c>
      <c r="GL35" s="28">
        <v>0</v>
      </c>
      <c r="GM35" s="28">
        <v>0</v>
      </c>
      <c r="GN35" s="28">
        <v>0</v>
      </c>
      <c r="GO35" s="28">
        <v>0</v>
      </c>
      <c r="GP35" s="28">
        <v>0</v>
      </c>
      <c r="GQ35" s="21">
        <v>25.783715438613363</v>
      </c>
      <c r="GR35" s="21">
        <v>65.212476671818493</v>
      </c>
      <c r="GS35" s="20">
        <v>65.178418118305487</v>
      </c>
      <c r="GT35" s="20">
        <v>0</v>
      </c>
      <c r="GU35" s="20">
        <v>3.4058553513011264E-2</v>
      </c>
      <c r="GV35" s="20">
        <v>3.4058553513011264E-2</v>
      </c>
      <c r="GW35" s="20">
        <v>0</v>
      </c>
      <c r="GX35" s="21">
        <v>0.18278091032961741</v>
      </c>
      <c r="GY35" s="20">
        <v>0</v>
      </c>
      <c r="GZ35" s="20">
        <v>0.18278091032961741</v>
      </c>
      <c r="HA35" s="20"/>
      <c r="HB35" s="21">
        <v>14.750735856</v>
      </c>
      <c r="HC35" s="21">
        <v>105.92970887676147</v>
      </c>
    </row>
    <row r="36" spans="1:211" s="7" customFormat="1" ht="17.25" customHeight="1">
      <c r="A36" s="7">
        <f t="shared" si="8"/>
        <v>36</v>
      </c>
      <c r="B36" s="26" t="s">
        <v>26</v>
      </c>
      <c r="C36" s="9" t="s">
        <v>430</v>
      </c>
      <c r="D36" s="28">
        <v>1.2888032965911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56.283587165632099</v>
      </c>
      <c r="AA36" s="28">
        <v>0</v>
      </c>
      <c r="AB36" s="28">
        <v>0</v>
      </c>
      <c r="AC36" s="28">
        <v>0</v>
      </c>
      <c r="AD36" s="28">
        <v>0</v>
      </c>
      <c r="AE36" s="28">
        <v>6.5661324398717804</v>
      </c>
      <c r="AF36" s="28">
        <v>402.04116500045302</v>
      </c>
      <c r="AG36" s="28">
        <v>0</v>
      </c>
      <c r="AH36" s="28">
        <v>9.0053139930969603</v>
      </c>
      <c r="AI36" s="28">
        <v>44.6588620576767</v>
      </c>
      <c r="AJ36" s="28">
        <v>6.6832568868009004</v>
      </c>
      <c r="AK36" s="28">
        <v>0.87973516592397505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  <c r="EU36" s="28">
        <v>0</v>
      </c>
      <c r="EV36" s="28">
        <v>0</v>
      </c>
      <c r="EW36" s="28">
        <v>0</v>
      </c>
      <c r="EX36" s="28">
        <v>0</v>
      </c>
      <c r="EY36" s="28">
        <v>0</v>
      </c>
      <c r="EZ36" s="28">
        <v>0</v>
      </c>
      <c r="FA36" s="28">
        <v>0</v>
      </c>
      <c r="FB36" s="28">
        <v>0</v>
      </c>
      <c r="FC36" s="28">
        <v>0</v>
      </c>
      <c r="FD36" s="28">
        <v>0</v>
      </c>
      <c r="FE36" s="28">
        <v>0</v>
      </c>
      <c r="FF36" s="28">
        <v>0</v>
      </c>
      <c r="FG36" s="28">
        <v>0</v>
      </c>
      <c r="FH36" s="28">
        <v>0</v>
      </c>
      <c r="FI36" s="28">
        <v>0</v>
      </c>
      <c r="FJ36" s="28">
        <v>0</v>
      </c>
      <c r="FK36" s="28">
        <v>0</v>
      </c>
      <c r="FL36" s="28">
        <v>0</v>
      </c>
      <c r="FM36" s="28">
        <v>0</v>
      </c>
      <c r="FN36" s="28">
        <v>0</v>
      </c>
      <c r="FO36" s="28">
        <v>0</v>
      </c>
      <c r="FP36" s="28">
        <v>0</v>
      </c>
      <c r="FQ36" s="28">
        <v>0</v>
      </c>
      <c r="FR36" s="28">
        <v>0</v>
      </c>
      <c r="FS36" s="28">
        <v>0</v>
      </c>
      <c r="FT36" s="28">
        <v>0</v>
      </c>
      <c r="FU36" s="28">
        <v>0</v>
      </c>
      <c r="FV36" s="28">
        <v>0</v>
      </c>
      <c r="FW36" s="28">
        <v>0</v>
      </c>
      <c r="FX36" s="28">
        <v>0</v>
      </c>
      <c r="FY36" s="28">
        <v>0</v>
      </c>
      <c r="FZ36" s="28">
        <v>0</v>
      </c>
      <c r="GA36" s="28">
        <v>0</v>
      </c>
      <c r="GB36" s="28">
        <v>0</v>
      </c>
      <c r="GC36" s="28">
        <v>0</v>
      </c>
      <c r="GD36" s="28">
        <v>0</v>
      </c>
      <c r="GE36" s="28">
        <v>0</v>
      </c>
      <c r="GF36" s="28">
        <v>0</v>
      </c>
      <c r="GG36" s="28">
        <v>0</v>
      </c>
      <c r="GH36" s="28">
        <v>4.0258667744779801</v>
      </c>
      <c r="GI36" s="28">
        <v>0</v>
      </c>
      <c r="GJ36" s="28">
        <v>0</v>
      </c>
      <c r="GK36" s="28">
        <v>0</v>
      </c>
      <c r="GL36" s="28">
        <v>0</v>
      </c>
      <c r="GM36" s="28">
        <v>0</v>
      </c>
      <c r="GN36" s="28">
        <v>0</v>
      </c>
      <c r="GO36" s="28">
        <v>0</v>
      </c>
      <c r="GP36" s="28">
        <v>0</v>
      </c>
      <c r="GQ36" s="21">
        <v>531.43272278052405</v>
      </c>
      <c r="GR36" s="21">
        <v>0.63922530258682397</v>
      </c>
      <c r="GS36" s="20">
        <v>0.63922530258682397</v>
      </c>
      <c r="GT36" s="20">
        <v>0</v>
      </c>
      <c r="GU36" s="20">
        <v>0</v>
      </c>
      <c r="GV36" s="20">
        <v>0</v>
      </c>
      <c r="GW36" s="20">
        <v>0</v>
      </c>
      <c r="GX36" s="21">
        <v>3.0009289917992543</v>
      </c>
      <c r="GY36" s="20">
        <v>0</v>
      </c>
      <c r="GZ36" s="20">
        <v>3.0009289917992543</v>
      </c>
      <c r="HA36" s="20"/>
      <c r="HB36" s="21">
        <v>0.26775120000000002</v>
      </c>
      <c r="HC36" s="21">
        <v>535.34062827491016</v>
      </c>
    </row>
    <row r="37" spans="1:211" s="7" customFormat="1" ht="17.25" customHeight="1">
      <c r="A37" s="7">
        <f t="shared" si="8"/>
        <v>37</v>
      </c>
      <c r="B37" s="26" t="s">
        <v>27</v>
      </c>
      <c r="C37" s="9" t="s">
        <v>431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6.3070879956130801E-4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9.1683547489432904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0.121299101561987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  <c r="EU37" s="28">
        <v>0</v>
      </c>
      <c r="EV37" s="28">
        <v>0</v>
      </c>
      <c r="EW37" s="28">
        <v>0</v>
      </c>
      <c r="EX37" s="28">
        <v>0</v>
      </c>
      <c r="EY37" s="28">
        <v>0</v>
      </c>
      <c r="EZ37" s="28">
        <v>0</v>
      </c>
      <c r="FA37" s="28">
        <v>0</v>
      </c>
      <c r="FB37" s="28">
        <v>0</v>
      </c>
      <c r="FC37" s="28">
        <v>0</v>
      </c>
      <c r="FD37" s="28">
        <v>5.2008911830995496E-6</v>
      </c>
      <c r="FE37" s="28">
        <v>0</v>
      </c>
      <c r="FF37" s="28">
        <v>0</v>
      </c>
      <c r="FG37" s="28">
        <v>0</v>
      </c>
      <c r="FH37" s="28">
        <v>0</v>
      </c>
      <c r="FI37" s="28">
        <v>0</v>
      </c>
      <c r="FJ37" s="28">
        <v>0</v>
      </c>
      <c r="FK37" s="28">
        <v>0</v>
      </c>
      <c r="FL37" s="28">
        <v>0</v>
      </c>
      <c r="FM37" s="28">
        <v>0</v>
      </c>
      <c r="FN37" s="28">
        <v>0</v>
      </c>
      <c r="FO37" s="28">
        <v>0</v>
      </c>
      <c r="FP37" s="28">
        <v>0</v>
      </c>
      <c r="FQ37" s="28">
        <v>0</v>
      </c>
      <c r="FR37" s="28">
        <v>0</v>
      </c>
      <c r="FS37" s="28">
        <v>4.0997967494278802E-2</v>
      </c>
      <c r="FT37" s="28">
        <v>3.2582450121500801</v>
      </c>
      <c r="FU37" s="28">
        <v>0</v>
      </c>
      <c r="FV37" s="28">
        <v>0</v>
      </c>
      <c r="FW37" s="28">
        <v>0</v>
      </c>
      <c r="FX37" s="28">
        <v>0</v>
      </c>
      <c r="FY37" s="28">
        <v>0</v>
      </c>
      <c r="FZ37" s="28">
        <v>0</v>
      </c>
      <c r="GA37" s="28">
        <v>0</v>
      </c>
      <c r="GB37" s="28">
        <v>0</v>
      </c>
      <c r="GC37" s="28">
        <v>0</v>
      </c>
      <c r="GD37" s="28">
        <v>0</v>
      </c>
      <c r="GE37" s="28">
        <v>0</v>
      </c>
      <c r="GF37" s="28">
        <v>0</v>
      </c>
      <c r="GG37" s="28">
        <v>32.283468969596299</v>
      </c>
      <c r="GH37" s="28">
        <v>0</v>
      </c>
      <c r="GI37" s="28">
        <v>0</v>
      </c>
      <c r="GJ37" s="28">
        <v>0</v>
      </c>
      <c r="GK37" s="28">
        <v>0</v>
      </c>
      <c r="GL37" s="28">
        <v>0</v>
      </c>
      <c r="GM37" s="28">
        <v>0</v>
      </c>
      <c r="GN37" s="28">
        <v>0</v>
      </c>
      <c r="GO37" s="28">
        <v>16.0127252869245</v>
      </c>
      <c r="GP37" s="28">
        <v>0</v>
      </c>
      <c r="GQ37" s="21">
        <v>60.885726996361178</v>
      </c>
      <c r="GR37" s="21">
        <v>8.0331900041494197</v>
      </c>
      <c r="GS37" s="20">
        <v>8.0331900041494197</v>
      </c>
      <c r="GT37" s="20">
        <v>0</v>
      </c>
      <c r="GU37" s="20">
        <v>0</v>
      </c>
      <c r="GV37" s="20">
        <v>0</v>
      </c>
      <c r="GW37" s="20">
        <v>0</v>
      </c>
      <c r="GX37" s="21">
        <v>33.946745341307427</v>
      </c>
      <c r="GY37" s="20">
        <v>33.820888928798603</v>
      </c>
      <c r="GZ37" s="20">
        <v>0.12585641250882346</v>
      </c>
      <c r="HA37" s="20"/>
      <c r="HB37" s="21">
        <v>2.7555635280000002</v>
      </c>
      <c r="HC37" s="21">
        <v>105.62122586981802</v>
      </c>
    </row>
    <row r="38" spans="1:211" s="7" customFormat="1" ht="17.25" customHeight="1">
      <c r="A38" s="7">
        <f t="shared" si="8"/>
        <v>38</v>
      </c>
      <c r="B38" s="26" t="s">
        <v>28</v>
      </c>
      <c r="C38" s="10" t="s">
        <v>432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4.3745957824374004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28.3486530632251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  <c r="EU38" s="28">
        <v>0</v>
      </c>
      <c r="EV38" s="28">
        <v>0</v>
      </c>
      <c r="EW38" s="28">
        <v>0</v>
      </c>
      <c r="EX38" s="28">
        <v>0</v>
      </c>
      <c r="EY38" s="28">
        <v>0</v>
      </c>
      <c r="EZ38" s="28">
        <v>0</v>
      </c>
      <c r="FA38" s="28">
        <v>0</v>
      </c>
      <c r="FB38" s="28">
        <v>0</v>
      </c>
      <c r="FC38" s="28">
        <v>0</v>
      </c>
      <c r="FD38" s="28">
        <v>0</v>
      </c>
      <c r="FE38" s="28">
        <v>0</v>
      </c>
      <c r="FF38" s="28">
        <v>0</v>
      </c>
      <c r="FG38" s="28">
        <v>0</v>
      </c>
      <c r="FH38" s="28">
        <v>0</v>
      </c>
      <c r="FI38" s="28">
        <v>0</v>
      </c>
      <c r="FJ38" s="28">
        <v>0</v>
      </c>
      <c r="FK38" s="28">
        <v>0</v>
      </c>
      <c r="FL38" s="28">
        <v>0</v>
      </c>
      <c r="FM38" s="28">
        <v>0</v>
      </c>
      <c r="FN38" s="28">
        <v>0</v>
      </c>
      <c r="FO38" s="28">
        <v>0</v>
      </c>
      <c r="FP38" s="28">
        <v>0</v>
      </c>
      <c r="FQ38" s="28">
        <v>0</v>
      </c>
      <c r="FR38" s="28">
        <v>0</v>
      </c>
      <c r="FS38" s="28">
        <v>0</v>
      </c>
      <c r="FT38" s="28">
        <v>0</v>
      </c>
      <c r="FU38" s="28">
        <v>0</v>
      </c>
      <c r="FV38" s="28">
        <v>0</v>
      </c>
      <c r="FW38" s="28">
        <v>0</v>
      </c>
      <c r="FX38" s="28">
        <v>0</v>
      </c>
      <c r="FY38" s="28">
        <v>0</v>
      </c>
      <c r="FZ38" s="28">
        <v>0</v>
      </c>
      <c r="GA38" s="28">
        <v>0</v>
      </c>
      <c r="GB38" s="28">
        <v>0</v>
      </c>
      <c r="GC38" s="28">
        <v>0</v>
      </c>
      <c r="GD38" s="28">
        <v>0</v>
      </c>
      <c r="GE38" s="28">
        <v>0</v>
      </c>
      <c r="GF38" s="28">
        <v>0</v>
      </c>
      <c r="GG38" s="28">
        <v>0</v>
      </c>
      <c r="GH38" s="28">
        <v>0</v>
      </c>
      <c r="GI38" s="28">
        <v>0</v>
      </c>
      <c r="GJ38" s="28">
        <v>0</v>
      </c>
      <c r="GK38" s="28">
        <v>0</v>
      </c>
      <c r="GL38" s="28">
        <v>0</v>
      </c>
      <c r="GM38" s="28">
        <v>0</v>
      </c>
      <c r="GN38" s="28">
        <v>0</v>
      </c>
      <c r="GO38" s="28">
        <v>0</v>
      </c>
      <c r="GP38" s="28">
        <v>0</v>
      </c>
      <c r="GQ38" s="21">
        <v>32.723248845662503</v>
      </c>
      <c r="GR38" s="21">
        <v>0</v>
      </c>
      <c r="GS38" s="20">
        <v>0</v>
      </c>
      <c r="GT38" s="20">
        <v>0</v>
      </c>
      <c r="GU38" s="20">
        <v>0</v>
      </c>
      <c r="GV38" s="20">
        <v>0</v>
      </c>
      <c r="GW38" s="20">
        <v>0</v>
      </c>
      <c r="GX38" s="21">
        <v>-1.2938848590479068</v>
      </c>
      <c r="GY38" s="20">
        <v>0</v>
      </c>
      <c r="GZ38" s="20">
        <v>-1.2938848590479068</v>
      </c>
      <c r="HA38" s="20"/>
      <c r="HB38" s="21">
        <v>0</v>
      </c>
      <c r="HC38" s="21">
        <v>31.429363986614597</v>
      </c>
    </row>
    <row r="39" spans="1:211" s="7" customFormat="1" ht="17.25" customHeight="1">
      <c r="A39" s="7">
        <f t="shared" si="8"/>
        <v>39</v>
      </c>
      <c r="B39" s="26" t="s">
        <v>29</v>
      </c>
      <c r="C39" s="9" t="s">
        <v>433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104.469741301019</v>
      </c>
      <c r="AD39" s="28">
        <v>0</v>
      </c>
      <c r="AE39" s="28">
        <v>0</v>
      </c>
      <c r="AF39" s="28">
        <v>2.0001892830533001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1063.5600096876001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0.13524133307324701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41.076565172842699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  <c r="EU39" s="28">
        <v>0</v>
      </c>
      <c r="EV39" s="28">
        <v>0</v>
      </c>
      <c r="EW39" s="28">
        <v>0</v>
      </c>
      <c r="EX39" s="28">
        <v>0</v>
      </c>
      <c r="EY39" s="28">
        <v>0</v>
      </c>
      <c r="EZ39" s="28">
        <v>0</v>
      </c>
      <c r="FA39" s="28">
        <v>0</v>
      </c>
      <c r="FB39" s="28">
        <v>0</v>
      </c>
      <c r="FC39" s="28">
        <v>0</v>
      </c>
      <c r="FD39" s="28">
        <v>0</v>
      </c>
      <c r="FE39" s="28">
        <v>0</v>
      </c>
      <c r="FF39" s="28">
        <v>0</v>
      </c>
      <c r="FG39" s="28">
        <v>0</v>
      </c>
      <c r="FH39" s="28">
        <v>0</v>
      </c>
      <c r="FI39" s="28">
        <v>0</v>
      </c>
      <c r="FJ39" s="28">
        <v>0</v>
      </c>
      <c r="FK39" s="28">
        <v>0</v>
      </c>
      <c r="FL39" s="28">
        <v>0</v>
      </c>
      <c r="FM39" s="28">
        <v>0</v>
      </c>
      <c r="FN39" s="28">
        <v>0</v>
      </c>
      <c r="FO39" s="28">
        <v>0</v>
      </c>
      <c r="FP39" s="28">
        <v>0</v>
      </c>
      <c r="FQ39" s="28">
        <v>0</v>
      </c>
      <c r="FR39" s="28">
        <v>0</v>
      </c>
      <c r="FS39" s="28">
        <v>0</v>
      </c>
      <c r="FT39" s="28">
        <v>0</v>
      </c>
      <c r="FU39" s="28">
        <v>0</v>
      </c>
      <c r="FV39" s="28">
        <v>0</v>
      </c>
      <c r="FW39" s="28">
        <v>0</v>
      </c>
      <c r="FX39" s="28">
        <v>0</v>
      </c>
      <c r="FY39" s="28">
        <v>0</v>
      </c>
      <c r="FZ39" s="28">
        <v>0</v>
      </c>
      <c r="GA39" s="28">
        <v>0</v>
      </c>
      <c r="GB39" s="28">
        <v>0</v>
      </c>
      <c r="GC39" s="28">
        <v>0</v>
      </c>
      <c r="GD39" s="28">
        <v>0</v>
      </c>
      <c r="GE39" s="28">
        <v>0</v>
      </c>
      <c r="GF39" s="28">
        <v>0</v>
      </c>
      <c r="GG39" s="28">
        <v>0</v>
      </c>
      <c r="GH39" s="28">
        <v>0</v>
      </c>
      <c r="GI39" s="28">
        <v>0</v>
      </c>
      <c r="GJ39" s="28">
        <v>0</v>
      </c>
      <c r="GK39" s="28">
        <v>0</v>
      </c>
      <c r="GL39" s="28">
        <v>0</v>
      </c>
      <c r="GM39" s="28">
        <v>0</v>
      </c>
      <c r="GN39" s="28">
        <v>0</v>
      </c>
      <c r="GO39" s="28">
        <v>0</v>
      </c>
      <c r="GP39" s="28">
        <v>0</v>
      </c>
      <c r="GQ39" s="21">
        <v>1211.2417467775883</v>
      </c>
      <c r="GR39" s="21">
        <v>0.136912651507614</v>
      </c>
      <c r="GS39" s="20">
        <v>0.136912651507614</v>
      </c>
      <c r="GT39" s="20">
        <v>0</v>
      </c>
      <c r="GU39" s="20">
        <v>0</v>
      </c>
      <c r="GV39" s="20">
        <v>0</v>
      </c>
      <c r="GW39" s="20">
        <v>0</v>
      </c>
      <c r="GX39" s="21">
        <v>4.1478648751506171</v>
      </c>
      <c r="GY39" s="20">
        <v>0</v>
      </c>
      <c r="GZ39" s="20">
        <v>4.1478648751506171</v>
      </c>
      <c r="HA39" s="20"/>
      <c r="HB39" s="21">
        <v>0</v>
      </c>
      <c r="HC39" s="21">
        <v>1215.5265243042465</v>
      </c>
    </row>
    <row r="40" spans="1:211" s="7" customFormat="1" ht="17.25" customHeight="1">
      <c r="A40" s="7">
        <f t="shared" si="8"/>
        <v>40</v>
      </c>
      <c r="B40" s="26" t="s">
        <v>31</v>
      </c>
      <c r="C40" s="9" t="s">
        <v>434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2.2406468375836499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61.523005972170502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20.9944248199463</v>
      </c>
      <c r="CL40" s="28">
        <v>0</v>
      </c>
      <c r="CM40" s="28">
        <v>0</v>
      </c>
      <c r="CN40" s="28">
        <v>0</v>
      </c>
      <c r="CO40" s="28">
        <v>1.51858246326447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</v>
      </c>
      <c r="CZ40" s="28">
        <v>0</v>
      </c>
      <c r="DA40" s="28">
        <v>0</v>
      </c>
      <c r="DB40" s="28">
        <v>0</v>
      </c>
      <c r="DC40" s="28">
        <v>0</v>
      </c>
      <c r="DD40" s="28">
        <v>0</v>
      </c>
      <c r="DE40" s="28">
        <v>0</v>
      </c>
      <c r="DF40" s="28">
        <v>0</v>
      </c>
      <c r="DG40" s="28">
        <v>0</v>
      </c>
      <c r="DH40" s="28">
        <v>0</v>
      </c>
      <c r="DI40" s="28">
        <v>0</v>
      </c>
      <c r="DJ40" s="28">
        <v>0</v>
      </c>
      <c r="DK40" s="28">
        <v>0</v>
      </c>
      <c r="DL40" s="28">
        <v>0</v>
      </c>
      <c r="DM40" s="28">
        <v>0</v>
      </c>
      <c r="DN40" s="28">
        <v>0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</v>
      </c>
      <c r="DX40" s="28">
        <v>0</v>
      </c>
      <c r="DY40" s="28">
        <v>0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0</v>
      </c>
      <c r="EF40" s="28">
        <v>0</v>
      </c>
      <c r="EG40" s="28">
        <v>0</v>
      </c>
      <c r="EH40" s="28">
        <v>0</v>
      </c>
      <c r="EI40" s="28">
        <v>0</v>
      </c>
      <c r="EJ40" s="28">
        <v>0</v>
      </c>
      <c r="EK40" s="28">
        <v>0</v>
      </c>
      <c r="EL40" s="28">
        <v>0</v>
      </c>
      <c r="EM40" s="28">
        <v>0</v>
      </c>
      <c r="EN40" s="28">
        <v>0</v>
      </c>
      <c r="EO40" s="28">
        <v>0</v>
      </c>
      <c r="EP40" s="28">
        <v>0</v>
      </c>
      <c r="EQ40" s="28">
        <v>0</v>
      </c>
      <c r="ER40" s="28">
        <v>0</v>
      </c>
      <c r="ES40" s="28">
        <v>0</v>
      </c>
      <c r="ET40" s="28">
        <v>0</v>
      </c>
      <c r="EU40" s="28">
        <v>0</v>
      </c>
      <c r="EV40" s="28">
        <v>0</v>
      </c>
      <c r="EW40" s="28">
        <v>0</v>
      </c>
      <c r="EX40" s="28">
        <v>0</v>
      </c>
      <c r="EY40" s="28">
        <v>0</v>
      </c>
      <c r="EZ40" s="28">
        <v>0</v>
      </c>
      <c r="FA40" s="28">
        <v>0</v>
      </c>
      <c r="FB40" s="28">
        <v>0</v>
      </c>
      <c r="FC40" s="28">
        <v>0</v>
      </c>
      <c r="FD40" s="28">
        <v>0</v>
      </c>
      <c r="FE40" s="28">
        <v>0</v>
      </c>
      <c r="FF40" s="28">
        <v>0</v>
      </c>
      <c r="FG40" s="28">
        <v>0</v>
      </c>
      <c r="FH40" s="28">
        <v>0</v>
      </c>
      <c r="FI40" s="28">
        <v>0</v>
      </c>
      <c r="FJ40" s="28">
        <v>0</v>
      </c>
      <c r="FK40" s="28">
        <v>0</v>
      </c>
      <c r="FL40" s="28">
        <v>0</v>
      </c>
      <c r="FM40" s="28">
        <v>0</v>
      </c>
      <c r="FN40" s="28">
        <v>0</v>
      </c>
      <c r="FO40" s="28">
        <v>0</v>
      </c>
      <c r="FP40" s="28">
        <v>0</v>
      </c>
      <c r="FQ40" s="28">
        <v>0</v>
      </c>
      <c r="FR40" s="28">
        <v>0</v>
      </c>
      <c r="FS40" s="28">
        <v>0.58726148563140401</v>
      </c>
      <c r="FT40" s="28">
        <v>46.671626017884599</v>
      </c>
      <c r="FU40" s="28">
        <v>0</v>
      </c>
      <c r="FV40" s="28">
        <v>0</v>
      </c>
      <c r="FW40" s="28">
        <v>0</v>
      </c>
      <c r="FX40" s="28">
        <v>0</v>
      </c>
      <c r="FY40" s="28">
        <v>0</v>
      </c>
      <c r="FZ40" s="28">
        <v>0</v>
      </c>
      <c r="GA40" s="28">
        <v>0</v>
      </c>
      <c r="GB40" s="28">
        <v>0</v>
      </c>
      <c r="GC40" s="28">
        <v>0</v>
      </c>
      <c r="GD40" s="28">
        <v>0</v>
      </c>
      <c r="GE40" s="28">
        <v>0</v>
      </c>
      <c r="GF40" s="28">
        <v>0</v>
      </c>
      <c r="GG40" s="28">
        <v>0</v>
      </c>
      <c r="GH40" s="28">
        <v>0</v>
      </c>
      <c r="GI40" s="28">
        <v>0</v>
      </c>
      <c r="GJ40" s="28">
        <v>0</v>
      </c>
      <c r="GK40" s="28">
        <v>0</v>
      </c>
      <c r="GL40" s="28">
        <v>0</v>
      </c>
      <c r="GM40" s="28">
        <v>70.597611266702401</v>
      </c>
      <c r="GN40" s="28">
        <v>0</v>
      </c>
      <c r="GO40" s="28">
        <v>3.5863769739550899</v>
      </c>
      <c r="GP40" s="28">
        <v>0</v>
      </c>
      <c r="GQ40" s="21">
        <v>207.71953583713841</v>
      </c>
      <c r="GR40" s="21">
        <v>2517.6635889962599</v>
      </c>
      <c r="GS40" s="20">
        <v>2517.6635889962599</v>
      </c>
      <c r="GT40" s="20">
        <v>0</v>
      </c>
      <c r="GU40" s="20">
        <v>0</v>
      </c>
      <c r="GV40" s="20">
        <v>0</v>
      </c>
      <c r="GW40" s="20">
        <v>0</v>
      </c>
      <c r="GX40" s="21">
        <v>0</v>
      </c>
      <c r="GY40" s="20">
        <v>0</v>
      </c>
      <c r="GZ40" s="20">
        <v>0</v>
      </c>
      <c r="HA40" s="20"/>
      <c r="HB40" s="21">
        <v>229.604638042695</v>
      </c>
      <c r="HC40" s="21">
        <v>2954.9877628760933</v>
      </c>
    </row>
    <row r="41" spans="1:211" s="7" customFormat="1" ht="17.25" customHeight="1">
      <c r="A41" s="7">
        <f t="shared" si="8"/>
        <v>41</v>
      </c>
      <c r="B41" s="26" t="s">
        <v>32</v>
      </c>
      <c r="C41" s="9" t="s">
        <v>435</v>
      </c>
      <c r="D41" s="28">
        <v>12.0646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1.25005212600191</v>
      </c>
      <c r="AF41" s="28">
        <v>621.19701669987296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3740.0652036622901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0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0</v>
      </c>
      <c r="DC41" s="28">
        <v>0</v>
      </c>
      <c r="DD41" s="28">
        <v>0</v>
      </c>
      <c r="DE41" s="28">
        <v>0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0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28">
        <v>0</v>
      </c>
      <c r="EM41" s="28">
        <v>0</v>
      </c>
      <c r="EN41" s="28">
        <v>0</v>
      </c>
      <c r="EO41" s="28">
        <v>0</v>
      </c>
      <c r="EP41" s="28">
        <v>0</v>
      </c>
      <c r="EQ41" s="28">
        <v>0</v>
      </c>
      <c r="ER41" s="28">
        <v>0</v>
      </c>
      <c r="ES41" s="28">
        <v>0</v>
      </c>
      <c r="ET41" s="28">
        <v>0</v>
      </c>
      <c r="EU41" s="28">
        <v>0</v>
      </c>
      <c r="EV41" s="28">
        <v>0</v>
      </c>
      <c r="EW41" s="28">
        <v>0</v>
      </c>
      <c r="EX41" s="28">
        <v>0</v>
      </c>
      <c r="EY41" s="28">
        <v>0</v>
      </c>
      <c r="EZ41" s="28">
        <v>0</v>
      </c>
      <c r="FA41" s="28">
        <v>0</v>
      </c>
      <c r="FB41" s="28">
        <v>0</v>
      </c>
      <c r="FC41" s="28">
        <v>0</v>
      </c>
      <c r="FD41" s="28">
        <v>0</v>
      </c>
      <c r="FE41" s="28">
        <v>0</v>
      </c>
      <c r="FF41" s="28">
        <v>0</v>
      </c>
      <c r="FG41" s="28">
        <v>0</v>
      </c>
      <c r="FH41" s="28">
        <v>0</v>
      </c>
      <c r="FI41" s="28">
        <v>0</v>
      </c>
      <c r="FJ41" s="28">
        <v>0</v>
      </c>
      <c r="FK41" s="28">
        <v>0</v>
      </c>
      <c r="FL41" s="28">
        <v>0</v>
      </c>
      <c r="FM41" s="28">
        <v>0</v>
      </c>
      <c r="FN41" s="28">
        <v>0</v>
      </c>
      <c r="FO41" s="28">
        <v>0</v>
      </c>
      <c r="FP41" s="28">
        <v>0</v>
      </c>
      <c r="FQ41" s="28">
        <v>0</v>
      </c>
      <c r="FR41" s="28">
        <v>0</v>
      </c>
      <c r="FS41" s="28">
        <v>0</v>
      </c>
      <c r="FT41" s="28">
        <v>0</v>
      </c>
      <c r="FU41" s="28">
        <v>0</v>
      </c>
      <c r="FV41" s="28">
        <v>0</v>
      </c>
      <c r="FW41" s="28">
        <v>0</v>
      </c>
      <c r="FX41" s="28">
        <v>0</v>
      </c>
      <c r="FY41" s="28">
        <v>0</v>
      </c>
      <c r="FZ41" s="28">
        <v>0</v>
      </c>
      <c r="GA41" s="28">
        <v>0</v>
      </c>
      <c r="GB41" s="28">
        <v>0</v>
      </c>
      <c r="GC41" s="28">
        <v>0</v>
      </c>
      <c r="GD41" s="28">
        <v>0</v>
      </c>
      <c r="GE41" s="28">
        <v>0</v>
      </c>
      <c r="GF41" s="28">
        <v>0</v>
      </c>
      <c r="GG41" s="28">
        <v>0</v>
      </c>
      <c r="GH41" s="28">
        <v>0</v>
      </c>
      <c r="GI41" s="28">
        <v>0</v>
      </c>
      <c r="GJ41" s="28">
        <v>0</v>
      </c>
      <c r="GK41" s="28">
        <v>0</v>
      </c>
      <c r="GL41" s="28">
        <v>0</v>
      </c>
      <c r="GM41" s="28">
        <v>0</v>
      </c>
      <c r="GN41" s="28">
        <v>0</v>
      </c>
      <c r="GO41" s="28">
        <v>0</v>
      </c>
      <c r="GP41" s="28">
        <v>0</v>
      </c>
      <c r="GQ41" s="21">
        <v>4374.5768724881646</v>
      </c>
      <c r="GR41" s="21">
        <v>0</v>
      </c>
      <c r="GS41" s="20">
        <v>0</v>
      </c>
      <c r="GT41" s="20">
        <v>0</v>
      </c>
      <c r="GU41" s="20">
        <v>0</v>
      </c>
      <c r="GV41" s="20">
        <v>0</v>
      </c>
      <c r="GW41" s="20">
        <v>0</v>
      </c>
      <c r="GX41" s="21">
        <v>651.00517058078299</v>
      </c>
      <c r="GY41" s="20">
        <v>556.30117439532205</v>
      </c>
      <c r="GZ41" s="20">
        <v>94.703996185460937</v>
      </c>
      <c r="HA41" s="20"/>
      <c r="HB41" s="21">
        <v>0</v>
      </c>
      <c r="HC41" s="21">
        <v>5025.5820430689473</v>
      </c>
    </row>
    <row r="42" spans="1:211" s="7" customFormat="1" ht="17.25" customHeight="1">
      <c r="A42" s="7">
        <f t="shared" si="8"/>
        <v>42</v>
      </c>
      <c r="B42" s="26" t="s">
        <v>33</v>
      </c>
      <c r="C42" s="9" t="s">
        <v>436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12.687987</v>
      </c>
      <c r="AD42" s="28">
        <v>0</v>
      </c>
      <c r="AE42" s="28">
        <v>1.4508748208868101</v>
      </c>
      <c r="AF42" s="28">
        <v>0</v>
      </c>
      <c r="AG42" s="28">
        <v>25.4507170849589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1821.7892174758799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  <c r="EU42" s="28">
        <v>0</v>
      </c>
      <c r="EV42" s="28">
        <v>0</v>
      </c>
      <c r="EW42" s="28">
        <v>0</v>
      </c>
      <c r="EX42" s="28">
        <v>0</v>
      </c>
      <c r="EY42" s="28">
        <v>0</v>
      </c>
      <c r="EZ42" s="28">
        <v>0</v>
      </c>
      <c r="FA42" s="28">
        <v>0</v>
      </c>
      <c r="FB42" s="28">
        <v>0</v>
      </c>
      <c r="FC42" s="28">
        <v>0</v>
      </c>
      <c r="FD42" s="28">
        <v>0</v>
      </c>
      <c r="FE42" s="28">
        <v>0</v>
      </c>
      <c r="FF42" s="28">
        <v>0</v>
      </c>
      <c r="FG42" s="28">
        <v>0</v>
      </c>
      <c r="FH42" s="28">
        <v>0</v>
      </c>
      <c r="FI42" s="28">
        <v>0</v>
      </c>
      <c r="FJ42" s="28">
        <v>0</v>
      </c>
      <c r="FK42" s="28">
        <v>0</v>
      </c>
      <c r="FL42" s="28">
        <v>0</v>
      </c>
      <c r="FM42" s="28">
        <v>0</v>
      </c>
      <c r="FN42" s="28">
        <v>0</v>
      </c>
      <c r="FO42" s="28">
        <v>0</v>
      </c>
      <c r="FP42" s="28">
        <v>0</v>
      </c>
      <c r="FQ42" s="28">
        <v>0</v>
      </c>
      <c r="FR42" s="28">
        <v>0</v>
      </c>
      <c r="FS42" s="28">
        <v>0</v>
      </c>
      <c r="FT42" s="28">
        <v>0</v>
      </c>
      <c r="FU42" s="28">
        <v>0</v>
      </c>
      <c r="FV42" s="28">
        <v>0</v>
      </c>
      <c r="FW42" s="28">
        <v>0</v>
      </c>
      <c r="FX42" s="28">
        <v>0</v>
      </c>
      <c r="FY42" s="28">
        <v>0</v>
      </c>
      <c r="FZ42" s="28">
        <v>0</v>
      </c>
      <c r="GA42" s="28">
        <v>0</v>
      </c>
      <c r="GB42" s="28">
        <v>0</v>
      </c>
      <c r="GC42" s="28">
        <v>0</v>
      </c>
      <c r="GD42" s="28">
        <v>0</v>
      </c>
      <c r="GE42" s="28">
        <v>0</v>
      </c>
      <c r="GF42" s="28">
        <v>0</v>
      </c>
      <c r="GG42" s="28">
        <v>0</v>
      </c>
      <c r="GH42" s="28">
        <v>0</v>
      </c>
      <c r="GI42" s="28">
        <v>0</v>
      </c>
      <c r="GJ42" s="28">
        <v>0</v>
      </c>
      <c r="GK42" s="28">
        <v>0</v>
      </c>
      <c r="GL42" s="28">
        <v>0</v>
      </c>
      <c r="GM42" s="28">
        <v>0</v>
      </c>
      <c r="GN42" s="28">
        <v>0</v>
      </c>
      <c r="GO42" s="28">
        <v>0</v>
      </c>
      <c r="GP42" s="28">
        <v>0</v>
      </c>
      <c r="GQ42" s="21">
        <v>1861.3787963817256</v>
      </c>
      <c r="GR42" s="21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1">
        <v>-31.618671891252006</v>
      </c>
      <c r="GY42" s="20">
        <v>-37.3696856902638</v>
      </c>
      <c r="GZ42" s="20">
        <v>5.7510137990117922</v>
      </c>
      <c r="HA42" s="20"/>
      <c r="HB42" s="21">
        <v>0</v>
      </c>
      <c r="HC42" s="21">
        <v>1829.7601244904736</v>
      </c>
    </row>
    <row r="43" spans="1:211" s="7" customFormat="1" ht="17.25" customHeight="1">
      <c r="A43" s="7">
        <f t="shared" si="8"/>
        <v>43</v>
      </c>
      <c r="B43" s="26" t="s">
        <v>34</v>
      </c>
      <c r="C43" s="9" t="s">
        <v>437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3.3549869999999999</v>
      </c>
      <c r="AD43" s="28">
        <v>0</v>
      </c>
      <c r="AE43" s="28">
        <v>0</v>
      </c>
      <c r="AF43" s="28">
        <v>0</v>
      </c>
      <c r="AG43" s="28">
        <v>0</v>
      </c>
      <c r="AH43" s="28">
        <v>9.8895588931642404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217.174685739479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  <c r="EU43" s="28">
        <v>0</v>
      </c>
      <c r="EV43" s="28">
        <v>0</v>
      </c>
      <c r="EW43" s="28">
        <v>0</v>
      </c>
      <c r="EX43" s="28">
        <v>0</v>
      </c>
      <c r="EY43" s="28">
        <v>0</v>
      </c>
      <c r="EZ43" s="28">
        <v>0</v>
      </c>
      <c r="FA43" s="28">
        <v>0</v>
      </c>
      <c r="FB43" s="28">
        <v>0</v>
      </c>
      <c r="FC43" s="28">
        <v>0</v>
      </c>
      <c r="FD43" s="28">
        <v>0</v>
      </c>
      <c r="FE43" s="28">
        <v>0</v>
      </c>
      <c r="FF43" s="28">
        <v>0</v>
      </c>
      <c r="FG43" s="28">
        <v>0</v>
      </c>
      <c r="FH43" s="28">
        <v>0</v>
      </c>
      <c r="FI43" s="28">
        <v>0</v>
      </c>
      <c r="FJ43" s="28">
        <v>0</v>
      </c>
      <c r="FK43" s="28">
        <v>0</v>
      </c>
      <c r="FL43" s="28">
        <v>0</v>
      </c>
      <c r="FM43" s="28">
        <v>0</v>
      </c>
      <c r="FN43" s="28">
        <v>0</v>
      </c>
      <c r="FO43" s="28">
        <v>0</v>
      </c>
      <c r="FP43" s="28">
        <v>0</v>
      </c>
      <c r="FQ43" s="28">
        <v>0</v>
      </c>
      <c r="FR43" s="28">
        <v>0</v>
      </c>
      <c r="FS43" s="28">
        <v>0</v>
      </c>
      <c r="FT43" s="28">
        <v>0</v>
      </c>
      <c r="FU43" s="28">
        <v>0</v>
      </c>
      <c r="FV43" s="28">
        <v>0</v>
      </c>
      <c r="FW43" s="28">
        <v>0</v>
      </c>
      <c r="FX43" s="28">
        <v>0</v>
      </c>
      <c r="FY43" s="28">
        <v>0</v>
      </c>
      <c r="FZ43" s="28">
        <v>0</v>
      </c>
      <c r="GA43" s="28">
        <v>0</v>
      </c>
      <c r="GB43" s="28">
        <v>0</v>
      </c>
      <c r="GC43" s="28">
        <v>0</v>
      </c>
      <c r="GD43" s="28">
        <v>0</v>
      </c>
      <c r="GE43" s="28">
        <v>0</v>
      </c>
      <c r="GF43" s="28">
        <v>0</v>
      </c>
      <c r="GG43" s="28">
        <v>0</v>
      </c>
      <c r="GH43" s="28">
        <v>0</v>
      </c>
      <c r="GI43" s="28">
        <v>0</v>
      </c>
      <c r="GJ43" s="28">
        <v>0</v>
      </c>
      <c r="GK43" s="28">
        <v>0</v>
      </c>
      <c r="GL43" s="28">
        <v>0</v>
      </c>
      <c r="GM43" s="28">
        <v>0</v>
      </c>
      <c r="GN43" s="28">
        <v>0</v>
      </c>
      <c r="GO43" s="28">
        <v>0</v>
      </c>
      <c r="GP43" s="28">
        <v>0</v>
      </c>
      <c r="GQ43" s="21">
        <v>230.41923163264323</v>
      </c>
      <c r="GR43" s="21">
        <v>0</v>
      </c>
      <c r="GS43" s="20">
        <v>0</v>
      </c>
      <c r="GT43" s="20">
        <v>0</v>
      </c>
      <c r="GU43" s="20">
        <v>0</v>
      </c>
      <c r="GV43" s="20">
        <v>0</v>
      </c>
      <c r="GW43" s="20">
        <v>0</v>
      </c>
      <c r="GX43" s="21">
        <v>-51.969711427450008</v>
      </c>
      <c r="GY43" s="20">
        <v>-38.801747044518997</v>
      </c>
      <c r="GZ43" s="20">
        <v>-13.167964382931009</v>
      </c>
      <c r="HA43" s="20"/>
      <c r="HB43" s="21">
        <v>0</v>
      </c>
      <c r="HC43" s="21">
        <v>178.44952020519321</v>
      </c>
    </row>
    <row r="44" spans="1:211" s="7" customFormat="1" ht="17.25" customHeight="1">
      <c r="A44" s="7">
        <f t="shared" si="8"/>
        <v>44</v>
      </c>
      <c r="B44" s="26" t="s">
        <v>35</v>
      </c>
      <c r="C44" s="9" t="s">
        <v>438</v>
      </c>
      <c r="D44" s="28">
        <v>5.1222549878999999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289.34446910296202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  <c r="EU44" s="28">
        <v>0</v>
      </c>
      <c r="EV44" s="28">
        <v>0</v>
      </c>
      <c r="EW44" s="28">
        <v>0</v>
      </c>
      <c r="EX44" s="28">
        <v>0</v>
      </c>
      <c r="EY44" s="28">
        <v>0</v>
      </c>
      <c r="EZ44" s="28">
        <v>0</v>
      </c>
      <c r="FA44" s="28">
        <v>0</v>
      </c>
      <c r="FB44" s="28">
        <v>0</v>
      </c>
      <c r="FC44" s="28">
        <v>0</v>
      </c>
      <c r="FD44" s="28">
        <v>0</v>
      </c>
      <c r="FE44" s="28">
        <v>0</v>
      </c>
      <c r="FF44" s="28">
        <v>0</v>
      </c>
      <c r="FG44" s="28">
        <v>0</v>
      </c>
      <c r="FH44" s="28">
        <v>0</v>
      </c>
      <c r="FI44" s="28">
        <v>0</v>
      </c>
      <c r="FJ44" s="28">
        <v>0</v>
      </c>
      <c r="FK44" s="28">
        <v>0</v>
      </c>
      <c r="FL44" s="28">
        <v>0</v>
      </c>
      <c r="FM44" s="28">
        <v>0</v>
      </c>
      <c r="FN44" s="28">
        <v>0</v>
      </c>
      <c r="FO44" s="28">
        <v>0</v>
      </c>
      <c r="FP44" s="28">
        <v>0</v>
      </c>
      <c r="FQ44" s="28">
        <v>0</v>
      </c>
      <c r="FR44" s="28">
        <v>0</v>
      </c>
      <c r="FS44" s="28">
        <v>0</v>
      </c>
      <c r="FT44" s="28">
        <v>0</v>
      </c>
      <c r="FU44" s="28">
        <v>0</v>
      </c>
      <c r="FV44" s="28">
        <v>0</v>
      </c>
      <c r="FW44" s="28">
        <v>0</v>
      </c>
      <c r="FX44" s="28">
        <v>0</v>
      </c>
      <c r="FY44" s="28">
        <v>0</v>
      </c>
      <c r="FZ44" s="28">
        <v>0</v>
      </c>
      <c r="GA44" s="28">
        <v>0</v>
      </c>
      <c r="GB44" s="28">
        <v>0</v>
      </c>
      <c r="GC44" s="28">
        <v>0</v>
      </c>
      <c r="GD44" s="28">
        <v>0</v>
      </c>
      <c r="GE44" s="28">
        <v>0</v>
      </c>
      <c r="GF44" s="28">
        <v>0</v>
      </c>
      <c r="GG44" s="28">
        <v>0</v>
      </c>
      <c r="GH44" s="28">
        <v>0</v>
      </c>
      <c r="GI44" s="28">
        <v>0</v>
      </c>
      <c r="GJ44" s="28">
        <v>0</v>
      </c>
      <c r="GK44" s="28">
        <v>0</v>
      </c>
      <c r="GL44" s="28">
        <v>0</v>
      </c>
      <c r="GM44" s="28">
        <v>0</v>
      </c>
      <c r="GN44" s="28">
        <v>0</v>
      </c>
      <c r="GO44" s="28">
        <v>0</v>
      </c>
      <c r="GP44" s="28">
        <v>0</v>
      </c>
      <c r="GQ44" s="21">
        <v>294.46672409086204</v>
      </c>
      <c r="GR44" s="21">
        <v>2.4583000000000001E-3</v>
      </c>
      <c r="GS44" s="20">
        <v>2.4583000000000001E-3</v>
      </c>
      <c r="GT44" s="20">
        <v>0</v>
      </c>
      <c r="GU44" s="20">
        <v>0</v>
      </c>
      <c r="GV44" s="20">
        <v>0</v>
      </c>
      <c r="GW44" s="20">
        <v>0</v>
      </c>
      <c r="GX44" s="21">
        <v>4.0062570897331797</v>
      </c>
      <c r="GY44" s="20">
        <v>1.65872153147852</v>
      </c>
      <c r="GZ44" s="20">
        <v>2.34753555825466</v>
      </c>
      <c r="HA44" s="20"/>
      <c r="HB44" s="21">
        <v>0</v>
      </c>
      <c r="HC44" s="21">
        <v>298.47543948059524</v>
      </c>
    </row>
    <row r="45" spans="1:211" s="7" customFormat="1" ht="17.25" customHeight="1">
      <c r="A45" s="7">
        <f t="shared" si="8"/>
        <v>45</v>
      </c>
      <c r="B45" s="26" t="s">
        <v>36</v>
      </c>
      <c r="C45" s="9" t="s">
        <v>439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17.656178969992599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  <c r="EU45" s="28">
        <v>0</v>
      </c>
      <c r="EV45" s="28">
        <v>0</v>
      </c>
      <c r="EW45" s="28">
        <v>0</v>
      </c>
      <c r="EX45" s="28">
        <v>0</v>
      </c>
      <c r="EY45" s="28">
        <v>0</v>
      </c>
      <c r="EZ45" s="28">
        <v>0</v>
      </c>
      <c r="FA45" s="28">
        <v>0</v>
      </c>
      <c r="FB45" s="28">
        <v>0</v>
      </c>
      <c r="FC45" s="28">
        <v>0</v>
      </c>
      <c r="FD45" s="28">
        <v>0</v>
      </c>
      <c r="FE45" s="28">
        <v>0</v>
      </c>
      <c r="FF45" s="28">
        <v>0</v>
      </c>
      <c r="FG45" s="28">
        <v>0</v>
      </c>
      <c r="FH45" s="28">
        <v>0</v>
      </c>
      <c r="FI45" s="28">
        <v>0</v>
      </c>
      <c r="FJ45" s="28">
        <v>0</v>
      </c>
      <c r="FK45" s="28">
        <v>0</v>
      </c>
      <c r="FL45" s="28">
        <v>0</v>
      </c>
      <c r="FM45" s="28">
        <v>0</v>
      </c>
      <c r="FN45" s="28">
        <v>0</v>
      </c>
      <c r="FO45" s="28">
        <v>0</v>
      </c>
      <c r="FP45" s="28">
        <v>0</v>
      </c>
      <c r="FQ45" s="28">
        <v>0</v>
      </c>
      <c r="FR45" s="28">
        <v>0</v>
      </c>
      <c r="FS45" s="28">
        <v>0</v>
      </c>
      <c r="FT45" s="28">
        <v>0</v>
      </c>
      <c r="FU45" s="28">
        <v>0</v>
      </c>
      <c r="FV45" s="28">
        <v>0</v>
      </c>
      <c r="FW45" s="28">
        <v>0</v>
      </c>
      <c r="FX45" s="28">
        <v>0</v>
      </c>
      <c r="FY45" s="28">
        <v>0</v>
      </c>
      <c r="FZ45" s="28">
        <v>0</v>
      </c>
      <c r="GA45" s="28">
        <v>0</v>
      </c>
      <c r="GB45" s="28">
        <v>0</v>
      </c>
      <c r="GC45" s="28">
        <v>0</v>
      </c>
      <c r="GD45" s="28">
        <v>0</v>
      </c>
      <c r="GE45" s="28">
        <v>0</v>
      </c>
      <c r="GF45" s="28">
        <v>0</v>
      </c>
      <c r="GG45" s="28">
        <v>0</v>
      </c>
      <c r="GH45" s="28">
        <v>0</v>
      </c>
      <c r="GI45" s="28">
        <v>0</v>
      </c>
      <c r="GJ45" s="28">
        <v>0</v>
      </c>
      <c r="GK45" s="28">
        <v>0</v>
      </c>
      <c r="GL45" s="28">
        <v>0</v>
      </c>
      <c r="GM45" s="28">
        <v>0</v>
      </c>
      <c r="GN45" s="28">
        <v>0</v>
      </c>
      <c r="GO45" s="28">
        <v>0</v>
      </c>
      <c r="GP45" s="28">
        <v>0</v>
      </c>
      <c r="GQ45" s="21">
        <v>17.656178969992599</v>
      </c>
      <c r="GR45" s="21">
        <v>1.39945E-2</v>
      </c>
      <c r="GS45" s="20">
        <v>1.39945E-2</v>
      </c>
      <c r="GT45" s="20">
        <v>0</v>
      </c>
      <c r="GU45" s="20">
        <v>0</v>
      </c>
      <c r="GV45" s="20">
        <v>0</v>
      </c>
      <c r="GW45" s="20">
        <v>0</v>
      </c>
      <c r="GX45" s="21">
        <v>59.573980604074002</v>
      </c>
      <c r="GY45" s="20">
        <v>59.573980604074002</v>
      </c>
      <c r="GZ45" s="20">
        <v>0</v>
      </c>
      <c r="HA45" s="20"/>
      <c r="HB45" s="21">
        <v>0</v>
      </c>
      <c r="HC45" s="21">
        <v>77.2441540740666</v>
      </c>
    </row>
    <row r="46" spans="1:211" s="7" customFormat="1" ht="17.25" customHeight="1">
      <c r="A46" s="7">
        <f t="shared" si="8"/>
        <v>46</v>
      </c>
      <c r="B46" s="26" t="s">
        <v>37</v>
      </c>
      <c r="C46" s="9" t="s">
        <v>440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4.3302484471207503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  <c r="EU46" s="28">
        <v>0</v>
      </c>
      <c r="EV46" s="28">
        <v>0</v>
      </c>
      <c r="EW46" s="28">
        <v>0</v>
      </c>
      <c r="EX46" s="28">
        <v>0</v>
      </c>
      <c r="EY46" s="28">
        <v>0</v>
      </c>
      <c r="EZ46" s="28">
        <v>0</v>
      </c>
      <c r="FA46" s="28">
        <v>0</v>
      </c>
      <c r="FB46" s="28">
        <v>0</v>
      </c>
      <c r="FC46" s="28">
        <v>0</v>
      </c>
      <c r="FD46" s="28">
        <v>0</v>
      </c>
      <c r="FE46" s="28">
        <v>0</v>
      </c>
      <c r="FF46" s="28">
        <v>0</v>
      </c>
      <c r="FG46" s="28">
        <v>0</v>
      </c>
      <c r="FH46" s="28">
        <v>0</v>
      </c>
      <c r="FI46" s="28">
        <v>0</v>
      </c>
      <c r="FJ46" s="28">
        <v>0</v>
      </c>
      <c r="FK46" s="28">
        <v>0</v>
      </c>
      <c r="FL46" s="28">
        <v>0</v>
      </c>
      <c r="FM46" s="28">
        <v>0</v>
      </c>
      <c r="FN46" s="28">
        <v>0</v>
      </c>
      <c r="FO46" s="28">
        <v>0</v>
      </c>
      <c r="FP46" s="28">
        <v>0</v>
      </c>
      <c r="FQ46" s="28">
        <v>0</v>
      </c>
      <c r="FR46" s="28">
        <v>0</v>
      </c>
      <c r="FS46" s="28">
        <v>0</v>
      </c>
      <c r="FT46" s="28">
        <v>0</v>
      </c>
      <c r="FU46" s="28">
        <v>0</v>
      </c>
      <c r="FV46" s="28">
        <v>0</v>
      </c>
      <c r="FW46" s="28">
        <v>0</v>
      </c>
      <c r="FX46" s="28">
        <v>0</v>
      </c>
      <c r="FY46" s="28">
        <v>0</v>
      </c>
      <c r="FZ46" s="28">
        <v>0</v>
      </c>
      <c r="GA46" s="28">
        <v>0</v>
      </c>
      <c r="GB46" s="28">
        <v>0</v>
      </c>
      <c r="GC46" s="28">
        <v>0</v>
      </c>
      <c r="GD46" s="28">
        <v>0</v>
      </c>
      <c r="GE46" s="28">
        <v>0</v>
      </c>
      <c r="GF46" s="28">
        <v>0</v>
      </c>
      <c r="GG46" s="28">
        <v>0</v>
      </c>
      <c r="GH46" s="28">
        <v>0</v>
      </c>
      <c r="GI46" s="28">
        <v>9.4985126700000002</v>
      </c>
      <c r="GJ46" s="28">
        <v>0</v>
      </c>
      <c r="GK46" s="28">
        <v>0.48010186512534903</v>
      </c>
      <c r="GL46" s="28">
        <v>0</v>
      </c>
      <c r="GM46" s="28">
        <v>0</v>
      </c>
      <c r="GN46" s="28">
        <v>0</v>
      </c>
      <c r="GO46" s="28">
        <v>0</v>
      </c>
      <c r="GP46" s="28">
        <v>0</v>
      </c>
      <c r="GQ46" s="21">
        <v>14.308862982246099</v>
      </c>
      <c r="GR46" s="21">
        <v>0</v>
      </c>
      <c r="GS46" s="20">
        <v>0</v>
      </c>
      <c r="GT46" s="20">
        <v>0</v>
      </c>
      <c r="GU46" s="20">
        <v>0</v>
      </c>
      <c r="GV46" s="20">
        <v>0</v>
      </c>
      <c r="GW46" s="20">
        <v>0</v>
      </c>
      <c r="GX46" s="21">
        <v>-7.735089059491866</v>
      </c>
      <c r="GY46" s="20">
        <v>1.1128186875088999</v>
      </c>
      <c r="GZ46" s="20">
        <v>-8.8479077470007663</v>
      </c>
      <c r="HA46" s="20"/>
      <c r="HB46" s="21">
        <v>0</v>
      </c>
      <c r="HC46" s="21">
        <v>6.5737739227542331</v>
      </c>
    </row>
    <row r="47" spans="1:211" s="7" customFormat="1" ht="17.25" customHeight="1">
      <c r="A47" s="7">
        <f t="shared" si="8"/>
        <v>47</v>
      </c>
      <c r="B47" s="26" t="s">
        <v>38</v>
      </c>
      <c r="C47" s="9" t="s">
        <v>441</v>
      </c>
      <c r="D47" s="28">
        <v>8.6549870000000002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1.4511021208839601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24.495430449048399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3595.7886331300701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  <c r="EU47" s="28">
        <v>0</v>
      </c>
      <c r="EV47" s="28">
        <v>0</v>
      </c>
      <c r="EW47" s="28">
        <v>0</v>
      </c>
      <c r="EX47" s="28">
        <v>0</v>
      </c>
      <c r="EY47" s="28">
        <v>0</v>
      </c>
      <c r="EZ47" s="28">
        <v>0</v>
      </c>
      <c r="FA47" s="28">
        <v>0</v>
      </c>
      <c r="FB47" s="28">
        <v>0</v>
      </c>
      <c r="FC47" s="28">
        <v>0</v>
      </c>
      <c r="FD47" s="28">
        <v>0</v>
      </c>
      <c r="FE47" s="28">
        <v>0</v>
      </c>
      <c r="FF47" s="28">
        <v>0</v>
      </c>
      <c r="FG47" s="28">
        <v>0</v>
      </c>
      <c r="FH47" s="28">
        <v>0</v>
      </c>
      <c r="FI47" s="28">
        <v>0</v>
      </c>
      <c r="FJ47" s="28">
        <v>0</v>
      </c>
      <c r="FK47" s="28">
        <v>0</v>
      </c>
      <c r="FL47" s="28">
        <v>0</v>
      </c>
      <c r="FM47" s="28">
        <v>0</v>
      </c>
      <c r="FN47" s="28">
        <v>0</v>
      </c>
      <c r="FO47" s="28">
        <v>0</v>
      </c>
      <c r="FP47" s="28">
        <v>0</v>
      </c>
      <c r="FQ47" s="28">
        <v>0</v>
      </c>
      <c r="FR47" s="28">
        <v>0</v>
      </c>
      <c r="FS47" s="28">
        <v>0</v>
      </c>
      <c r="FT47" s="28">
        <v>0</v>
      </c>
      <c r="FU47" s="28">
        <v>0</v>
      </c>
      <c r="FV47" s="28">
        <v>0</v>
      </c>
      <c r="FW47" s="28">
        <v>0</v>
      </c>
      <c r="FX47" s="28">
        <v>0</v>
      </c>
      <c r="FY47" s="28">
        <v>0</v>
      </c>
      <c r="FZ47" s="28">
        <v>0</v>
      </c>
      <c r="GA47" s="28">
        <v>0</v>
      </c>
      <c r="GB47" s="28">
        <v>0</v>
      </c>
      <c r="GC47" s="28">
        <v>0</v>
      </c>
      <c r="GD47" s="28">
        <v>0</v>
      </c>
      <c r="GE47" s="28">
        <v>0</v>
      </c>
      <c r="GF47" s="28">
        <v>0</v>
      </c>
      <c r="GG47" s="28">
        <v>0</v>
      </c>
      <c r="GH47" s="28">
        <v>0</v>
      </c>
      <c r="GI47" s="28">
        <v>0</v>
      </c>
      <c r="GJ47" s="28">
        <v>0</v>
      </c>
      <c r="GK47" s="28">
        <v>0</v>
      </c>
      <c r="GL47" s="28">
        <v>0</v>
      </c>
      <c r="GM47" s="28">
        <v>0</v>
      </c>
      <c r="GN47" s="28">
        <v>0</v>
      </c>
      <c r="GO47" s="28">
        <v>0</v>
      </c>
      <c r="GP47" s="28">
        <v>0</v>
      </c>
      <c r="GQ47" s="21">
        <v>3630.3901527000025</v>
      </c>
      <c r="GR47" s="21">
        <v>1.209E-4</v>
      </c>
      <c r="GS47" s="20">
        <v>1.209E-4</v>
      </c>
      <c r="GT47" s="20">
        <v>0</v>
      </c>
      <c r="GU47" s="20">
        <v>0</v>
      </c>
      <c r="GV47" s="20">
        <v>0</v>
      </c>
      <c r="GW47" s="20">
        <v>0</v>
      </c>
      <c r="GX47" s="21">
        <v>259.24933351457463</v>
      </c>
      <c r="GY47" s="20">
        <v>131.00317050024199</v>
      </c>
      <c r="GZ47" s="20">
        <v>128.24616301433264</v>
      </c>
      <c r="HA47" s="20"/>
      <c r="HB47" s="21">
        <v>0</v>
      </c>
      <c r="HC47" s="21">
        <v>3889.6396071145773</v>
      </c>
    </row>
    <row r="48" spans="1:211" s="7" customFormat="1" ht="17.25" customHeight="1">
      <c r="A48" s="7">
        <f t="shared" si="8"/>
        <v>48</v>
      </c>
      <c r="B48" s="26" t="s">
        <v>39</v>
      </c>
      <c r="C48" s="9" t="s">
        <v>442</v>
      </c>
      <c r="D48" s="28">
        <v>0.2612587561602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0.13198060760918701</v>
      </c>
      <c r="AF48" s="28">
        <v>47.062910682018597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425.37491251425803</v>
      </c>
      <c r="BM48" s="28">
        <v>346.89626881155499</v>
      </c>
      <c r="BN48" s="28">
        <v>173.33517241425699</v>
      </c>
      <c r="BO48" s="28">
        <v>122.2255747711</v>
      </c>
      <c r="BP48" s="28">
        <v>444.40170040854701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  <c r="EU48" s="28">
        <v>0</v>
      </c>
      <c r="EV48" s="28">
        <v>0</v>
      </c>
      <c r="EW48" s="28">
        <v>0</v>
      </c>
      <c r="EX48" s="28">
        <v>0</v>
      </c>
      <c r="EY48" s="28">
        <v>0</v>
      </c>
      <c r="EZ48" s="28">
        <v>0</v>
      </c>
      <c r="FA48" s="28">
        <v>0</v>
      </c>
      <c r="FB48" s="28">
        <v>0</v>
      </c>
      <c r="FC48" s="28">
        <v>0</v>
      </c>
      <c r="FD48" s="28">
        <v>0</v>
      </c>
      <c r="FE48" s="28">
        <v>0</v>
      </c>
      <c r="FF48" s="28">
        <v>0</v>
      </c>
      <c r="FG48" s="28">
        <v>0</v>
      </c>
      <c r="FH48" s="28">
        <v>0</v>
      </c>
      <c r="FI48" s="28">
        <v>0</v>
      </c>
      <c r="FJ48" s="28">
        <v>0</v>
      </c>
      <c r="FK48" s="28">
        <v>0</v>
      </c>
      <c r="FL48" s="28">
        <v>0</v>
      </c>
      <c r="FM48" s="28">
        <v>0</v>
      </c>
      <c r="FN48" s="28">
        <v>0</v>
      </c>
      <c r="FO48" s="28">
        <v>0</v>
      </c>
      <c r="FP48" s="28">
        <v>0</v>
      </c>
      <c r="FQ48" s="28">
        <v>0</v>
      </c>
      <c r="FR48" s="28">
        <v>0</v>
      </c>
      <c r="FS48" s="28">
        <v>4.0149985967400499E-2</v>
      </c>
      <c r="FT48" s="28">
        <v>3.19085309617931</v>
      </c>
      <c r="FU48" s="28">
        <v>0</v>
      </c>
      <c r="FV48" s="28">
        <v>0</v>
      </c>
      <c r="FW48" s="28">
        <v>0</v>
      </c>
      <c r="FX48" s="28">
        <v>0</v>
      </c>
      <c r="FY48" s="28">
        <v>0</v>
      </c>
      <c r="FZ48" s="28">
        <v>0</v>
      </c>
      <c r="GA48" s="28">
        <v>0</v>
      </c>
      <c r="GB48" s="28">
        <v>0</v>
      </c>
      <c r="GC48" s="28">
        <v>0</v>
      </c>
      <c r="GD48" s="28">
        <v>0</v>
      </c>
      <c r="GE48" s="28">
        <v>0</v>
      </c>
      <c r="GF48" s="28">
        <v>0</v>
      </c>
      <c r="GG48" s="28">
        <v>0</v>
      </c>
      <c r="GH48" s="28">
        <v>5.3432749637711503E-2</v>
      </c>
      <c r="GI48" s="28">
        <v>0</v>
      </c>
      <c r="GJ48" s="28">
        <v>0</v>
      </c>
      <c r="GK48" s="28">
        <v>0</v>
      </c>
      <c r="GL48" s="28">
        <v>0</v>
      </c>
      <c r="GM48" s="28">
        <v>0</v>
      </c>
      <c r="GN48" s="28">
        <v>0</v>
      </c>
      <c r="GO48" s="28">
        <v>0</v>
      </c>
      <c r="GP48" s="28">
        <v>0</v>
      </c>
      <c r="GQ48" s="21">
        <v>1562.9742147972927</v>
      </c>
      <c r="GR48" s="21">
        <v>169.546441950439</v>
      </c>
      <c r="GS48" s="20">
        <v>169.546441950439</v>
      </c>
      <c r="GT48" s="20">
        <v>0</v>
      </c>
      <c r="GU48" s="20">
        <v>0</v>
      </c>
      <c r="GV48" s="20">
        <v>0</v>
      </c>
      <c r="GW48" s="20">
        <v>0</v>
      </c>
      <c r="GX48" s="21">
        <v>25.669943364800929</v>
      </c>
      <c r="GY48" s="20">
        <v>0</v>
      </c>
      <c r="GZ48" s="20">
        <v>25.669943364800929</v>
      </c>
      <c r="HA48" s="20"/>
      <c r="HB48" s="21">
        <v>0</v>
      </c>
      <c r="HC48" s="21">
        <v>1758.1906001125326</v>
      </c>
    </row>
    <row r="49" spans="1:211" s="7" customFormat="1" ht="17.25" customHeight="1">
      <c r="A49" s="7">
        <f t="shared" si="8"/>
        <v>49</v>
      </c>
      <c r="B49" s="26" t="s">
        <v>443</v>
      </c>
      <c r="C49" s="9" t="s">
        <v>444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7.5661348224375397E-2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4.4174842275418902E-2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33.796523147567001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0.166392099007239</v>
      </c>
      <c r="BV49" s="28">
        <v>50.922196889218597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7.8727729851380001E-4</v>
      </c>
      <c r="CJ49" s="28">
        <v>0</v>
      </c>
      <c r="CK49" s="28">
        <v>0</v>
      </c>
      <c r="CL49" s="28">
        <v>9.2413570890726504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  <c r="EU49" s="28">
        <v>0</v>
      </c>
      <c r="EV49" s="28">
        <v>0</v>
      </c>
      <c r="EW49" s="28">
        <v>0</v>
      </c>
      <c r="EX49" s="28">
        <v>0</v>
      </c>
      <c r="EY49" s="28">
        <v>0</v>
      </c>
      <c r="EZ49" s="28">
        <v>0</v>
      </c>
      <c r="FA49" s="28">
        <v>0</v>
      </c>
      <c r="FB49" s="28">
        <v>0</v>
      </c>
      <c r="FC49" s="28">
        <v>0</v>
      </c>
      <c r="FD49" s="28">
        <v>0</v>
      </c>
      <c r="FE49" s="28">
        <v>0</v>
      </c>
      <c r="FF49" s="28">
        <v>0</v>
      </c>
      <c r="FG49" s="28">
        <v>0</v>
      </c>
      <c r="FH49" s="28">
        <v>0</v>
      </c>
      <c r="FI49" s="28">
        <v>0</v>
      </c>
      <c r="FJ49" s="28">
        <v>0</v>
      </c>
      <c r="FK49" s="28">
        <v>0</v>
      </c>
      <c r="FL49" s="28">
        <v>0</v>
      </c>
      <c r="FM49" s="28">
        <v>0</v>
      </c>
      <c r="FN49" s="28">
        <v>0</v>
      </c>
      <c r="FO49" s="28">
        <v>0</v>
      </c>
      <c r="FP49" s="28">
        <v>0</v>
      </c>
      <c r="FQ49" s="28">
        <v>0</v>
      </c>
      <c r="FR49" s="28">
        <v>0</v>
      </c>
      <c r="FS49" s="28">
        <v>5.1046121832980296</v>
      </c>
      <c r="FT49" s="28">
        <v>408.776582533686</v>
      </c>
      <c r="FU49" s="28">
        <v>0</v>
      </c>
      <c r="FV49" s="28">
        <v>0</v>
      </c>
      <c r="FW49" s="28">
        <v>0</v>
      </c>
      <c r="FX49" s="28">
        <v>0</v>
      </c>
      <c r="FY49" s="28">
        <v>0.119430830296058</v>
      </c>
      <c r="FZ49" s="28">
        <v>0</v>
      </c>
      <c r="GA49" s="28">
        <v>0</v>
      </c>
      <c r="GB49" s="28">
        <v>0</v>
      </c>
      <c r="GC49" s="28">
        <v>0</v>
      </c>
      <c r="GD49" s="28">
        <v>0</v>
      </c>
      <c r="GE49" s="28">
        <v>0</v>
      </c>
      <c r="GF49" s="28">
        <v>0</v>
      </c>
      <c r="GG49" s="28">
        <v>0.61947211463554896</v>
      </c>
      <c r="GH49" s="28">
        <v>0</v>
      </c>
      <c r="GI49" s="28">
        <v>0.86384687601668397</v>
      </c>
      <c r="GJ49" s="28">
        <v>1.1830668614951401</v>
      </c>
      <c r="GK49" s="28">
        <v>9.4234812380817505</v>
      </c>
      <c r="GL49" s="28">
        <v>0</v>
      </c>
      <c r="GM49" s="28">
        <v>0</v>
      </c>
      <c r="GN49" s="28">
        <v>0</v>
      </c>
      <c r="GO49" s="28">
        <v>0</v>
      </c>
      <c r="GP49" s="28">
        <v>0</v>
      </c>
      <c r="GQ49" s="21">
        <v>520.33758533017294</v>
      </c>
      <c r="GR49" s="21">
        <v>803.37885707370106</v>
      </c>
      <c r="GS49" s="20">
        <v>783.76102665249846</v>
      </c>
      <c r="GT49" s="20">
        <v>0</v>
      </c>
      <c r="GU49" s="20">
        <v>19.617830421202576</v>
      </c>
      <c r="GV49" s="20">
        <v>19.617830421202576</v>
      </c>
      <c r="GW49" s="20">
        <v>0</v>
      </c>
      <c r="GX49" s="21">
        <v>1.5424674124162721</v>
      </c>
      <c r="GY49" s="20">
        <v>0</v>
      </c>
      <c r="GZ49" s="20">
        <v>1.5424674124162721</v>
      </c>
      <c r="HA49" s="20"/>
      <c r="HB49" s="21">
        <v>0</v>
      </c>
      <c r="HC49" s="21">
        <v>1325.2589098162903</v>
      </c>
    </row>
    <row r="50" spans="1:211" s="7" customFormat="1" ht="17.25" customHeight="1">
      <c r="A50" s="7">
        <f t="shared" si="8"/>
        <v>50</v>
      </c>
      <c r="B50" s="26" t="s">
        <v>445</v>
      </c>
      <c r="C50" s="9" t="s">
        <v>446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204.05002111223999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  <c r="EU50" s="28">
        <v>0</v>
      </c>
      <c r="EV50" s="28">
        <v>0</v>
      </c>
      <c r="EW50" s="28">
        <v>0</v>
      </c>
      <c r="EX50" s="28">
        <v>0</v>
      </c>
      <c r="EY50" s="28">
        <v>0</v>
      </c>
      <c r="EZ50" s="28">
        <v>0</v>
      </c>
      <c r="FA50" s="28">
        <v>0</v>
      </c>
      <c r="FB50" s="28">
        <v>0</v>
      </c>
      <c r="FC50" s="28">
        <v>0</v>
      </c>
      <c r="FD50" s="28">
        <v>0</v>
      </c>
      <c r="FE50" s="28">
        <v>0</v>
      </c>
      <c r="FF50" s="28">
        <v>0</v>
      </c>
      <c r="FG50" s="28">
        <v>0</v>
      </c>
      <c r="FH50" s="28">
        <v>0</v>
      </c>
      <c r="FI50" s="28">
        <v>0</v>
      </c>
      <c r="FJ50" s="28">
        <v>0</v>
      </c>
      <c r="FK50" s="28">
        <v>0</v>
      </c>
      <c r="FL50" s="28">
        <v>0</v>
      </c>
      <c r="FM50" s="28">
        <v>0</v>
      </c>
      <c r="FN50" s="28">
        <v>0</v>
      </c>
      <c r="FO50" s="28">
        <v>0</v>
      </c>
      <c r="FP50" s="28">
        <v>0</v>
      </c>
      <c r="FQ50" s="28">
        <v>0</v>
      </c>
      <c r="FR50" s="28">
        <v>0</v>
      </c>
      <c r="FS50" s="28">
        <v>0</v>
      </c>
      <c r="FT50" s="28">
        <v>0</v>
      </c>
      <c r="FU50" s="28">
        <v>0</v>
      </c>
      <c r="FV50" s="28">
        <v>0</v>
      </c>
      <c r="FW50" s="28">
        <v>0</v>
      </c>
      <c r="FX50" s="28">
        <v>0</v>
      </c>
      <c r="FY50" s="28">
        <v>0</v>
      </c>
      <c r="FZ50" s="28">
        <v>0</v>
      </c>
      <c r="GA50" s="28">
        <v>0</v>
      </c>
      <c r="GB50" s="28">
        <v>0</v>
      </c>
      <c r="GC50" s="28">
        <v>0</v>
      </c>
      <c r="GD50" s="28">
        <v>0</v>
      </c>
      <c r="GE50" s="28">
        <v>0</v>
      </c>
      <c r="GF50" s="28">
        <v>0</v>
      </c>
      <c r="GG50" s="28">
        <v>0</v>
      </c>
      <c r="GH50" s="28">
        <v>0</v>
      </c>
      <c r="GI50" s="28">
        <v>0</v>
      </c>
      <c r="GJ50" s="28">
        <v>0</v>
      </c>
      <c r="GK50" s="28">
        <v>0</v>
      </c>
      <c r="GL50" s="28">
        <v>0</v>
      </c>
      <c r="GM50" s="28">
        <v>0</v>
      </c>
      <c r="GN50" s="28">
        <v>0</v>
      </c>
      <c r="GO50" s="28">
        <v>0</v>
      </c>
      <c r="GP50" s="28">
        <v>0</v>
      </c>
      <c r="GQ50" s="21">
        <v>204.05002111223999</v>
      </c>
      <c r="GR50" s="21">
        <v>4.36020896551807</v>
      </c>
      <c r="GS50" s="20">
        <v>4.36020896551807</v>
      </c>
      <c r="GT50" s="20">
        <v>0</v>
      </c>
      <c r="GU50" s="20">
        <v>0</v>
      </c>
      <c r="GV50" s="20">
        <v>0</v>
      </c>
      <c r="GW50" s="20">
        <v>0</v>
      </c>
      <c r="GX50" s="21">
        <v>-12.687190453208139</v>
      </c>
      <c r="GY50" s="20">
        <v>0</v>
      </c>
      <c r="GZ50" s="20">
        <v>-12.687190453208139</v>
      </c>
      <c r="HA50" s="20"/>
      <c r="HB50" s="21">
        <v>15.148661579430399</v>
      </c>
      <c r="HC50" s="21">
        <v>210.87170120398034</v>
      </c>
    </row>
    <row r="51" spans="1:211" s="7" customFormat="1" ht="17.25" customHeight="1">
      <c r="A51" s="7">
        <f t="shared" si="8"/>
        <v>51</v>
      </c>
      <c r="B51" s="26" t="s">
        <v>447</v>
      </c>
      <c r="C51" s="9" t="s">
        <v>448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37.309818698692901</v>
      </c>
      <c r="CS51" s="28">
        <v>0</v>
      </c>
      <c r="CT51" s="28">
        <v>0</v>
      </c>
      <c r="CU51" s="28">
        <v>14.046696839497301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  <c r="EU51" s="28">
        <v>0</v>
      </c>
      <c r="EV51" s="28">
        <v>0</v>
      </c>
      <c r="EW51" s="28">
        <v>0</v>
      </c>
      <c r="EX51" s="28">
        <v>0</v>
      </c>
      <c r="EY51" s="28">
        <v>0</v>
      </c>
      <c r="EZ51" s="28">
        <v>0</v>
      </c>
      <c r="FA51" s="28">
        <v>0</v>
      </c>
      <c r="FB51" s="28">
        <v>0</v>
      </c>
      <c r="FC51" s="28">
        <v>0</v>
      </c>
      <c r="FD51" s="28">
        <v>0</v>
      </c>
      <c r="FE51" s="28">
        <v>0</v>
      </c>
      <c r="FF51" s="28">
        <v>0</v>
      </c>
      <c r="FG51" s="28">
        <v>0</v>
      </c>
      <c r="FH51" s="28">
        <v>0</v>
      </c>
      <c r="FI51" s="28">
        <v>0</v>
      </c>
      <c r="FJ51" s="28">
        <v>0</v>
      </c>
      <c r="FK51" s="28">
        <v>0</v>
      </c>
      <c r="FL51" s="28">
        <v>0</v>
      </c>
      <c r="FM51" s="28">
        <v>0</v>
      </c>
      <c r="FN51" s="28">
        <v>0</v>
      </c>
      <c r="FO51" s="28">
        <v>0</v>
      </c>
      <c r="FP51" s="28">
        <v>0</v>
      </c>
      <c r="FQ51" s="28">
        <v>0</v>
      </c>
      <c r="FR51" s="28">
        <v>0</v>
      </c>
      <c r="FS51" s="28">
        <v>0</v>
      </c>
      <c r="FT51" s="28">
        <v>0</v>
      </c>
      <c r="FU51" s="28">
        <v>0</v>
      </c>
      <c r="FV51" s="28">
        <v>0</v>
      </c>
      <c r="FW51" s="28">
        <v>0</v>
      </c>
      <c r="FX51" s="28">
        <v>0</v>
      </c>
      <c r="FY51" s="28">
        <v>0</v>
      </c>
      <c r="FZ51" s="28">
        <v>0</v>
      </c>
      <c r="GA51" s="28">
        <v>0</v>
      </c>
      <c r="GB51" s="28">
        <v>0</v>
      </c>
      <c r="GC51" s="28">
        <v>0</v>
      </c>
      <c r="GD51" s="28">
        <v>0</v>
      </c>
      <c r="GE51" s="28">
        <v>0</v>
      </c>
      <c r="GF51" s="28">
        <v>0</v>
      </c>
      <c r="GG51" s="28">
        <v>0</v>
      </c>
      <c r="GH51" s="28">
        <v>0</v>
      </c>
      <c r="GI51" s="28">
        <v>0</v>
      </c>
      <c r="GJ51" s="28">
        <v>0</v>
      </c>
      <c r="GK51" s="28">
        <v>0</v>
      </c>
      <c r="GL51" s="28">
        <v>0</v>
      </c>
      <c r="GM51" s="28">
        <v>0</v>
      </c>
      <c r="GN51" s="28">
        <v>0</v>
      </c>
      <c r="GO51" s="28">
        <v>0</v>
      </c>
      <c r="GP51" s="28">
        <v>0</v>
      </c>
      <c r="GQ51" s="21">
        <v>51.356515538190202</v>
      </c>
      <c r="GR51" s="21">
        <v>0</v>
      </c>
      <c r="GS51" s="20">
        <v>0</v>
      </c>
      <c r="GT51" s="20">
        <v>0</v>
      </c>
      <c r="GU51" s="20">
        <v>0</v>
      </c>
      <c r="GV51" s="20">
        <v>0</v>
      </c>
      <c r="GW51" s="20">
        <v>0</v>
      </c>
      <c r="GX51" s="21">
        <v>0.659511382420647</v>
      </c>
      <c r="GY51" s="20">
        <v>0</v>
      </c>
      <c r="GZ51" s="20">
        <v>0.659511382420647</v>
      </c>
      <c r="HA51" s="20"/>
      <c r="HB51" s="21">
        <v>7.9438544640000002</v>
      </c>
      <c r="HC51" s="21">
        <v>59.959881384610846</v>
      </c>
    </row>
    <row r="52" spans="1:211" s="7" customFormat="1" ht="17.25" customHeight="1">
      <c r="A52" s="7">
        <f t="shared" si="8"/>
        <v>52</v>
      </c>
      <c r="B52" s="26" t="s">
        <v>449</v>
      </c>
      <c r="C52" s="10" t="s">
        <v>450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1.45243818589779E-4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5.0828168282297102E-2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4.0083403729141001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5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4.9148663878440899E-2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8.1433389482509205E-3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  <c r="EU52" s="28">
        <v>0</v>
      </c>
      <c r="EV52" s="28">
        <v>0</v>
      </c>
      <c r="EW52" s="28">
        <v>0</v>
      </c>
      <c r="EX52" s="28">
        <v>0</v>
      </c>
      <c r="EY52" s="28">
        <v>0</v>
      </c>
      <c r="EZ52" s="28">
        <v>0</v>
      </c>
      <c r="FA52" s="28">
        <v>0</v>
      </c>
      <c r="FB52" s="28">
        <v>0</v>
      </c>
      <c r="FC52" s="28">
        <v>0</v>
      </c>
      <c r="FD52" s="28">
        <v>0</v>
      </c>
      <c r="FE52" s="28">
        <v>0</v>
      </c>
      <c r="FF52" s="28">
        <v>0</v>
      </c>
      <c r="FG52" s="28">
        <v>0</v>
      </c>
      <c r="FH52" s="28">
        <v>0</v>
      </c>
      <c r="FI52" s="28">
        <v>0</v>
      </c>
      <c r="FJ52" s="28">
        <v>0</v>
      </c>
      <c r="FK52" s="28">
        <v>0</v>
      </c>
      <c r="FL52" s="28">
        <v>0</v>
      </c>
      <c r="FM52" s="28">
        <v>0</v>
      </c>
      <c r="FN52" s="28">
        <v>0</v>
      </c>
      <c r="FO52" s="28">
        <v>0</v>
      </c>
      <c r="FP52" s="28">
        <v>0</v>
      </c>
      <c r="FQ52" s="28">
        <v>0</v>
      </c>
      <c r="FR52" s="28">
        <v>0</v>
      </c>
      <c r="FS52" s="28">
        <v>9.4412847219358699E-3</v>
      </c>
      <c r="FT52" s="28">
        <v>0.75033033912788705</v>
      </c>
      <c r="FU52" s="28">
        <v>0</v>
      </c>
      <c r="FV52" s="28">
        <v>0</v>
      </c>
      <c r="FW52" s="28">
        <v>0</v>
      </c>
      <c r="FX52" s="28">
        <v>0</v>
      </c>
      <c r="FY52" s="28">
        <v>0</v>
      </c>
      <c r="FZ52" s="28">
        <v>0</v>
      </c>
      <c r="GA52" s="28">
        <v>0</v>
      </c>
      <c r="GB52" s="28">
        <v>0</v>
      </c>
      <c r="GC52" s="28">
        <v>0</v>
      </c>
      <c r="GD52" s="28">
        <v>0</v>
      </c>
      <c r="GE52" s="28">
        <v>0</v>
      </c>
      <c r="GF52" s="28">
        <v>0</v>
      </c>
      <c r="GG52" s="28">
        <v>0.93801702311448398</v>
      </c>
      <c r="GH52" s="28">
        <v>0</v>
      </c>
      <c r="GI52" s="28">
        <v>7.2169542626331004E-2</v>
      </c>
      <c r="GJ52" s="28">
        <v>6.53088223858794E-2</v>
      </c>
      <c r="GK52" s="28">
        <v>0.78727879880303797</v>
      </c>
      <c r="GL52" s="28">
        <v>0</v>
      </c>
      <c r="GM52" s="28">
        <v>0</v>
      </c>
      <c r="GN52" s="28">
        <v>0</v>
      </c>
      <c r="GO52" s="28">
        <v>0</v>
      </c>
      <c r="GP52" s="28">
        <v>0</v>
      </c>
      <c r="GQ52" s="21">
        <v>11.739151598621232</v>
      </c>
      <c r="GR52" s="21">
        <v>57.2863273512977</v>
      </c>
      <c r="GS52" s="20">
        <v>50.052530385149126</v>
      </c>
      <c r="GT52" s="20">
        <v>0</v>
      </c>
      <c r="GU52" s="20">
        <v>7.2337969661485744</v>
      </c>
      <c r="GV52" s="20">
        <v>7.2337969661485744</v>
      </c>
      <c r="GW52" s="20">
        <v>0</v>
      </c>
      <c r="GX52" s="21">
        <v>6.196583624916097</v>
      </c>
      <c r="GY52" s="20">
        <v>0</v>
      </c>
      <c r="GZ52" s="20">
        <v>6.196583624916097</v>
      </c>
      <c r="HA52" s="20"/>
      <c r="HB52" s="21">
        <v>0.74704415280000003</v>
      </c>
      <c r="HC52" s="21">
        <v>75.969106727635037</v>
      </c>
    </row>
    <row r="53" spans="1:211" s="7" customFormat="1" ht="17.25" customHeight="1">
      <c r="A53" s="7">
        <f t="shared" si="8"/>
        <v>53</v>
      </c>
      <c r="B53" s="26" t="s">
        <v>451</v>
      </c>
      <c r="C53" s="9" t="s">
        <v>452</v>
      </c>
      <c r="D53" s="28">
        <v>0</v>
      </c>
      <c r="E53" s="28">
        <v>0</v>
      </c>
      <c r="F53" s="28">
        <v>0</v>
      </c>
      <c r="G53" s="28">
        <v>0</v>
      </c>
      <c r="H53" s="28">
        <v>14.607155463755801</v>
      </c>
      <c r="I53" s="28">
        <v>0</v>
      </c>
      <c r="J53" s="28">
        <v>16.524336606462999</v>
      </c>
      <c r="K53" s="28">
        <v>5.1003256722304604</v>
      </c>
      <c r="L53" s="28">
        <v>5.6804857856185</v>
      </c>
      <c r="M53" s="28">
        <v>6.9702233075231597</v>
      </c>
      <c r="N53" s="28">
        <v>8.7577820507004898</v>
      </c>
      <c r="O53" s="28">
        <v>5.9352636143200801</v>
      </c>
      <c r="P53" s="28">
        <v>5.39470426240743</v>
      </c>
      <c r="Q53" s="28">
        <v>15.510007613915199</v>
      </c>
      <c r="R53" s="28">
        <v>9.5065658032588907</v>
      </c>
      <c r="S53" s="28">
        <v>0</v>
      </c>
      <c r="T53" s="28">
        <v>7.18311422790973</v>
      </c>
      <c r="U53" s="28">
        <v>4.2708309961832498</v>
      </c>
      <c r="V53" s="28">
        <v>0</v>
      </c>
      <c r="W53" s="28">
        <v>18.340914118695199</v>
      </c>
      <c r="X53" s="28">
        <v>2.3271423653903498</v>
      </c>
      <c r="Y53" s="28">
        <v>0.27069426485621001</v>
      </c>
      <c r="Z53" s="28">
        <v>17.076253454367698</v>
      </c>
      <c r="AA53" s="28">
        <v>0</v>
      </c>
      <c r="AB53" s="28">
        <v>0</v>
      </c>
      <c r="AC53" s="28">
        <v>0</v>
      </c>
      <c r="AD53" s="28">
        <v>0</v>
      </c>
      <c r="AE53" s="28">
        <v>1.5663382065548199</v>
      </c>
      <c r="AF53" s="28">
        <v>8.0526990878113693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0</v>
      </c>
      <c r="CM53" s="28">
        <v>0</v>
      </c>
      <c r="CN53" s="28">
        <v>0</v>
      </c>
      <c r="CO53" s="28">
        <v>0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0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>
        <v>0</v>
      </c>
      <c r="DJ53" s="28">
        <v>0</v>
      </c>
      <c r="DK53" s="28">
        <v>0</v>
      </c>
      <c r="DL53" s="28">
        <v>0</v>
      </c>
      <c r="DM53" s="28">
        <v>0</v>
      </c>
      <c r="DN53" s="28">
        <v>0</v>
      </c>
      <c r="DO53" s="28">
        <v>0</v>
      </c>
      <c r="DP53" s="28">
        <v>0</v>
      </c>
      <c r="DQ53" s="28">
        <v>0</v>
      </c>
      <c r="DR53" s="28">
        <v>0.50237176686580698</v>
      </c>
      <c r="DS53" s="28">
        <v>0</v>
      </c>
      <c r="DT53" s="28">
        <v>0</v>
      </c>
      <c r="DU53" s="28">
        <v>0</v>
      </c>
      <c r="DV53" s="28">
        <v>0</v>
      </c>
      <c r="DW53" s="28">
        <v>0</v>
      </c>
      <c r="DX53" s="28">
        <v>0</v>
      </c>
      <c r="DY53" s="28">
        <v>0</v>
      </c>
      <c r="DZ53" s="28">
        <v>0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0</v>
      </c>
      <c r="EI53" s="28">
        <v>0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0</v>
      </c>
      <c r="EQ53" s="28">
        <v>0</v>
      </c>
      <c r="ER53" s="28">
        <v>0</v>
      </c>
      <c r="ES53" s="28">
        <v>0</v>
      </c>
      <c r="ET53" s="28">
        <v>0</v>
      </c>
      <c r="EU53" s="28">
        <v>0</v>
      </c>
      <c r="EV53" s="28">
        <v>0</v>
      </c>
      <c r="EW53" s="28">
        <v>0</v>
      </c>
      <c r="EX53" s="28">
        <v>0</v>
      </c>
      <c r="EY53" s="28">
        <v>0</v>
      </c>
      <c r="EZ53" s="28">
        <v>0</v>
      </c>
      <c r="FA53" s="28">
        <v>0</v>
      </c>
      <c r="FB53" s="28">
        <v>0</v>
      </c>
      <c r="FC53" s="28">
        <v>1.6787783260451501</v>
      </c>
      <c r="FD53" s="28">
        <v>0.52215764998429703</v>
      </c>
      <c r="FE53" s="28">
        <v>0</v>
      </c>
      <c r="FF53" s="28">
        <v>0</v>
      </c>
      <c r="FG53" s="28">
        <v>0</v>
      </c>
      <c r="FH53" s="28">
        <v>0</v>
      </c>
      <c r="FI53" s="28">
        <v>0</v>
      </c>
      <c r="FJ53" s="28">
        <v>0</v>
      </c>
      <c r="FK53" s="28">
        <v>0</v>
      </c>
      <c r="FL53" s="28">
        <v>0</v>
      </c>
      <c r="FM53" s="28">
        <v>0</v>
      </c>
      <c r="FN53" s="28">
        <v>0</v>
      </c>
      <c r="FO53" s="28">
        <v>0</v>
      </c>
      <c r="FP53" s="28">
        <v>0</v>
      </c>
      <c r="FQ53" s="28">
        <v>0</v>
      </c>
      <c r="FR53" s="28">
        <v>0</v>
      </c>
      <c r="FS53" s="28">
        <v>0</v>
      </c>
      <c r="FT53" s="28">
        <v>0</v>
      </c>
      <c r="FU53" s="28">
        <v>0</v>
      </c>
      <c r="FV53" s="28">
        <v>0</v>
      </c>
      <c r="FW53" s="28">
        <v>0</v>
      </c>
      <c r="FX53" s="28">
        <v>0</v>
      </c>
      <c r="FY53" s="28">
        <v>0</v>
      </c>
      <c r="FZ53" s="28">
        <v>0</v>
      </c>
      <c r="GA53" s="28">
        <v>0</v>
      </c>
      <c r="GB53" s="28">
        <v>0</v>
      </c>
      <c r="GC53" s="28">
        <v>0</v>
      </c>
      <c r="GD53" s="28">
        <v>0</v>
      </c>
      <c r="GE53" s="28">
        <v>0</v>
      </c>
      <c r="GF53" s="28">
        <v>0</v>
      </c>
      <c r="GG53" s="28">
        <v>0</v>
      </c>
      <c r="GH53" s="28">
        <v>0</v>
      </c>
      <c r="GI53" s="28">
        <v>0</v>
      </c>
      <c r="GJ53" s="28">
        <v>0</v>
      </c>
      <c r="GK53" s="28">
        <v>0</v>
      </c>
      <c r="GL53" s="28">
        <v>0</v>
      </c>
      <c r="GM53" s="28">
        <v>0</v>
      </c>
      <c r="GN53" s="28">
        <v>0</v>
      </c>
      <c r="GO53" s="28">
        <v>0</v>
      </c>
      <c r="GP53" s="28">
        <v>0</v>
      </c>
      <c r="GQ53" s="21">
        <v>155.77814464485746</v>
      </c>
      <c r="GR53" s="21">
        <v>0</v>
      </c>
      <c r="GS53" s="20">
        <v>0</v>
      </c>
      <c r="GT53" s="20">
        <v>0</v>
      </c>
      <c r="GU53" s="20">
        <v>0</v>
      </c>
      <c r="GV53" s="20">
        <v>0</v>
      </c>
      <c r="GW53" s="20">
        <v>0</v>
      </c>
      <c r="GX53" s="21">
        <v>4.8060464737262691</v>
      </c>
      <c r="GY53" s="20">
        <v>0</v>
      </c>
      <c r="GZ53" s="20">
        <v>4.8060464737262691</v>
      </c>
      <c r="HA53" s="20"/>
      <c r="HB53" s="21">
        <v>0.17052</v>
      </c>
      <c r="HC53" s="21">
        <v>160.75471111858374</v>
      </c>
    </row>
    <row r="54" spans="1:211" s="7" customFormat="1" ht="17.25" customHeight="1">
      <c r="A54" s="7">
        <f t="shared" si="8"/>
        <v>54</v>
      </c>
      <c r="B54" s="26" t="s">
        <v>40</v>
      </c>
      <c r="C54" s="9" t="s">
        <v>453</v>
      </c>
      <c r="D54" s="28">
        <v>3.8558515911317598E-3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1.83760393494505E-2</v>
      </c>
      <c r="AF54" s="28">
        <v>1.1456131627775401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0.102494549545845</v>
      </c>
      <c r="AQ54" s="28">
        <v>0</v>
      </c>
      <c r="AR54" s="28">
        <v>0</v>
      </c>
      <c r="AS54" s="28">
        <v>0</v>
      </c>
      <c r="AT54" s="28">
        <v>4.3756320349522801E-2</v>
      </c>
      <c r="AU54" s="28">
        <v>0</v>
      </c>
      <c r="AV54" s="28">
        <v>6.3812760935356803</v>
      </c>
      <c r="AW54" s="28">
        <v>8.7174243019486095</v>
      </c>
      <c r="AX54" s="28">
        <v>69.374008165238394</v>
      </c>
      <c r="AY54" s="28">
        <v>0</v>
      </c>
      <c r="AZ54" s="28">
        <v>0.69930663253905501</v>
      </c>
      <c r="BA54" s="28">
        <v>2.9531433866306598</v>
      </c>
      <c r="BB54" s="28">
        <v>0.49835433809365498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364.77231990793501</v>
      </c>
      <c r="DB54" s="28">
        <v>69.544924160550295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2.0848430546673201E-2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3.6133218669790499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  <c r="EU54" s="28">
        <v>0.259131043919754</v>
      </c>
      <c r="EV54" s="28">
        <v>0</v>
      </c>
      <c r="EW54" s="28">
        <v>0</v>
      </c>
      <c r="EX54" s="28">
        <v>0</v>
      </c>
      <c r="EY54" s="28">
        <v>0</v>
      </c>
      <c r="EZ54" s="28">
        <v>0</v>
      </c>
      <c r="FA54" s="28">
        <v>0</v>
      </c>
      <c r="FB54" s="28">
        <v>0</v>
      </c>
      <c r="FC54" s="28">
        <v>0</v>
      </c>
      <c r="FD54" s="28">
        <v>6.5875668505389395E-2</v>
      </c>
      <c r="FE54" s="28">
        <v>0</v>
      </c>
      <c r="FF54" s="28">
        <v>0</v>
      </c>
      <c r="FG54" s="28">
        <v>6.0823846447774699</v>
      </c>
      <c r="FH54" s="28">
        <v>0.14748338555381399</v>
      </c>
      <c r="FI54" s="28">
        <v>0</v>
      </c>
      <c r="FJ54" s="28">
        <v>0</v>
      </c>
      <c r="FK54" s="28">
        <v>0</v>
      </c>
      <c r="FL54" s="28">
        <v>0</v>
      </c>
      <c r="FM54" s="28">
        <v>0</v>
      </c>
      <c r="FN54" s="28">
        <v>1.7991678727948199E-2</v>
      </c>
      <c r="FO54" s="28">
        <v>0</v>
      </c>
      <c r="FP54" s="28">
        <v>0</v>
      </c>
      <c r="FQ54" s="28">
        <v>0</v>
      </c>
      <c r="FR54" s="28">
        <v>0</v>
      </c>
      <c r="FS54" s="28">
        <v>0</v>
      </c>
      <c r="FT54" s="28">
        <v>0</v>
      </c>
      <c r="FU54" s="28">
        <v>0</v>
      </c>
      <c r="FV54" s="28">
        <v>0</v>
      </c>
      <c r="FW54" s="28">
        <v>0</v>
      </c>
      <c r="FX54" s="28">
        <v>0</v>
      </c>
      <c r="FY54" s="28">
        <v>0</v>
      </c>
      <c r="FZ54" s="28">
        <v>0</v>
      </c>
      <c r="GA54" s="28">
        <v>8.64839644724609E-2</v>
      </c>
      <c r="GB54" s="28">
        <v>0</v>
      </c>
      <c r="GC54" s="28">
        <v>0</v>
      </c>
      <c r="GD54" s="28">
        <v>0</v>
      </c>
      <c r="GE54" s="28">
        <v>0</v>
      </c>
      <c r="GF54" s="28">
        <v>0</v>
      </c>
      <c r="GG54" s="28">
        <v>0</v>
      </c>
      <c r="GH54" s="28">
        <v>0</v>
      </c>
      <c r="GI54" s="28">
        <v>0</v>
      </c>
      <c r="GJ54" s="28">
        <v>0</v>
      </c>
      <c r="GK54" s="28">
        <v>0</v>
      </c>
      <c r="GL54" s="28">
        <v>0</v>
      </c>
      <c r="GM54" s="28">
        <v>0</v>
      </c>
      <c r="GN54" s="28">
        <v>0</v>
      </c>
      <c r="GO54" s="28">
        <v>0</v>
      </c>
      <c r="GP54" s="28">
        <v>0</v>
      </c>
      <c r="GQ54" s="21">
        <v>534.54837359356725</v>
      </c>
      <c r="GR54" s="21">
        <v>37.464675557705903</v>
      </c>
      <c r="GS54" s="20">
        <v>37.464675557705903</v>
      </c>
      <c r="GT54" s="20">
        <v>0</v>
      </c>
      <c r="GU54" s="20">
        <v>0</v>
      </c>
      <c r="GV54" s="20">
        <v>0</v>
      </c>
      <c r="GW54" s="20">
        <v>0</v>
      </c>
      <c r="GX54" s="21">
        <v>0.34882987533070275</v>
      </c>
      <c r="GY54" s="20">
        <v>0</v>
      </c>
      <c r="GZ54" s="20">
        <v>0.34882987533070275</v>
      </c>
      <c r="HA54" s="20"/>
      <c r="HB54" s="21">
        <v>33.243016909941304</v>
      </c>
      <c r="HC54" s="21">
        <v>605.60489593654518</v>
      </c>
    </row>
    <row r="55" spans="1:211" s="7" customFormat="1" ht="17.25" customHeight="1">
      <c r="A55" s="7">
        <f t="shared" si="8"/>
        <v>55</v>
      </c>
      <c r="B55" s="26" t="s">
        <v>41</v>
      </c>
      <c r="C55" s="9" t="s">
        <v>454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5.1510582942858996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3.5477103511705899</v>
      </c>
      <c r="AF55" s="28">
        <v>0</v>
      </c>
      <c r="AG55" s="28">
        <v>0</v>
      </c>
      <c r="AH55" s="28">
        <v>1.5316971085314901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0.51150619078552395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522.09893360992203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22.067671559390899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6.8547019355525203</v>
      </c>
      <c r="DU55" s="28">
        <v>0</v>
      </c>
      <c r="DV55" s="28">
        <v>0</v>
      </c>
      <c r="DW55" s="28">
        <v>0</v>
      </c>
      <c r="DX55" s="28">
        <v>1.1189195192165799</v>
      </c>
      <c r="DY55" s="28">
        <v>5.8826760496843802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5.0733743825074198</v>
      </c>
      <c r="ET55" s="28">
        <v>0</v>
      </c>
      <c r="EU55" s="28">
        <v>0</v>
      </c>
      <c r="EV55" s="28">
        <v>15.483991198694101</v>
      </c>
      <c r="EW55" s="28">
        <v>0</v>
      </c>
      <c r="EX55" s="28">
        <v>0</v>
      </c>
      <c r="EY55" s="28">
        <v>0</v>
      </c>
      <c r="EZ55" s="28">
        <v>0</v>
      </c>
      <c r="FA55" s="28">
        <v>0</v>
      </c>
      <c r="FB55" s="28">
        <v>0</v>
      </c>
      <c r="FC55" s="28">
        <v>6.0690226321993697</v>
      </c>
      <c r="FD55" s="28">
        <v>6.0182893639773596</v>
      </c>
      <c r="FE55" s="28">
        <v>2.44893898600307E-2</v>
      </c>
      <c r="FF55" s="28">
        <v>0</v>
      </c>
      <c r="FG55" s="28">
        <v>3.1084668239786801E-2</v>
      </c>
      <c r="FH55" s="28">
        <v>0</v>
      </c>
      <c r="FI55" s="28">
        <v>0</v>
      </c>
      <c r="FJ55" s="28">
        <v>0</v>
      </c>
      <c r="FK55" s="28">
        <v>0</v>
      </c>
      <c r="FL55" s="28">
        <v>0</v>
      </c>
      <c r="FM55" s="28">
        <v>0</v>
      </c>
      <c r="FN55" s="28">
        <v>0</v>
      </c>
      <c r="FO55" s="28">
        <v>0</v>
      </c>
      <c r="FP55" s="28">
        <v>0</v>
      </c>
      <c r="FQ55" s="28">
        <v>0</v>
      </c>
      <c r="FR55" s="28">
        <v>0</v>
      </c>
      <c r="FS55" s="28">
        <v>0.103110916829974</v>
      </c>
      <c r="FT55" s="28">
        <v>8.1945679503835702</v>
      </c>
      <c r="FU55" s="28">
        <v>0</v>
      </c>
      <c r="FV55" s="28">
        <v>0</v>
      </c>
      <c r="FW55" s="28">
        <v>0</v>
      </c>
      <c r="FX55" s="28">
        <v>0</v>
      </c>
      <c r="FY55" s="28">
        <v>0</v>
      </c>
      <c r="FZ55" s="28">
        <v>0</v>
      </c>
      <c r="GA55" s="28">
        <v>4.70847458468718E-4</v>
      </c>
      <c r="GB55" s="28">
        <v>0</v>
      </c>
      <c r="GC55" s="28">
        <v>0</v>
      </c>
      <c r="GD55" s="28">
        <v>0</v>
      </c>
      <c r="GE55" s="28">
        <v>0</v>
      </c>
      <c r="GF55" s="28">
        <v>0</v>
      </c>
      <c r="GG55" s="28">
        <v>0</v>
      </c>
      <c r="GH55" s="28">
        <v>0</v>
      </c>
      <c r="GI55" s="28">
        <v>0</v>
      </c>
      <c r="GJ55" s="28">
        <v>0</v>
      </c>
      <c r="GK55" s="28">
        <v>0</v>
      </c>
      <c r="GL55" s="28">
        <v>0</v>
      </c>
      <c r="GM55" s="28">
        <v>0</v>
      </c>
      <c r="GN55" s="28">
        <v>0</v>
      </c>
      <c r="GO55" s="28">
        <v>0</v>
      </c>
      <c r="GP55" s="28">
        <v>0</v>
      </c>
      <c r="GQ55" s="21">
        <v>609.76327596868998</v>
      </c>
      <c r="GR55" s="21">
        <v>34.0384851040535</v>
      </c>
      <c r="GS55" s="20">
        <v>34.0384851040535</v>
      </c>
      <c r="GT55" s="20">
        <v>0</v>
      </c>
      <c r="GU55" s="20">
        <v>0</v>
      </c>
      <c r="GV55" s="20">
        <v>0</v>
      </c>
      <c r="GW55" s="20">
        <v>0</v>
      </c>
      <c r="GX55" s="21">
        <v>-9.8418407996646824</v>
      </c>
      <c r="GY55" s="20">
        <v>0</v>
      </c>
      <c r="GZ55" s="20">
        <v>-9.8418407996646824</v>
      </c>
      <c r="HA55" s="20"/>
      <c r="HB55" s="21">
        <v>126.815224212169</v>
      </c>
      <c r="HC55" s="21">
        <v>760.77514448524778</v>
      </c>
    </row>
    <row r="56" spans="1:211" s="7" customFormat="1" ht="17.25" customHeight="1">
      <c r="A56" s="7">
        <f t="shared" si="8"/>
        <v>56</v>
      </c>
      <c r="B56" s="26" t="s">
        <v>43</v>
      </c>
      <c r="C56" s="9" t="s">
        <v>455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38.2542939301226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0</v>
      </c>
      <c r="CN56" s="28">
        <v>0</v>
      </c>
      <c r="CO56" s="28">
        <v>0</v>
      </c>
      <c r="CP56" s="28">
        <v>0</v>
      </c>
      <c r="CQ56" s="28">
        <v>0</v>
      </c>
      <c r="CR56" s="28">
        <v>0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0</v>
      </c>
      <c r="CY56" s="28">
        <v>0</v>
      </c>
      <c r="CZ56" s="28">
        <v>0</v>
      </c>
      <c r="DA56" s="28">
        <v>0</v>
      </c>
      <c r="DB56" s="28">
        <v>0</v>
      </c>
      <c r="DC56" s="28">
        <v>0</v>
      </c>
      <c r="DD56" s="28">
        <v>0</v>
      </c>
      <c r="DE56" s="28">
        <v>0</v>
      </c>
      <c r="DF56" s="28">
        <v>0</v>
      </c>
      <c r="DG56" s="28">
        <v>0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0</v>
      </c>
      <c r="DP56" s="28">
        <v>0</v>
      </c>
      <c r="DQ56" s="28">
        <v>0</v>
      </c>
      <c r="DR56" s="28">
        <v>0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0</v>
      </c>
      <c r="ED56" s="28">
        <v>0</v>
      </c>
      <c r="EE56" s="28">
        <v>0</v>
      </c>
      <c r="EF56" s="28">
        <v>0</v>
      </c>
      <c r="EG56" s="28">
        <v>0</v>
      </c>
      <c r="EH56" s="28">
        <v>0</v>
      </c>
      <c r="EI56" s="28">
        <v>0</v>
      </c>
      <c r="EJ56" s="28">
        <v>0</v>
      </c>
      <c r="EK56" s="28">
        <v>0</v>
      </c>
      <c r="EL56" s="28">
        <v>0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  <c r="EU56" s="28">
        <v>0</v>
      </c>
      <c r="EV56" s="28">
        <v>0</v>
      </c>
      <c r="EW56" s="28">
        <v>0</v>
      </c>
      <c r="EX56" s="28">
        <v>0</v>
      </c>
      <c r="EY56" s="28">
        <v>0</v>
      </c>
      <c r="EZ56" s="28">
        <v>0</v>
      </c>
      <c r="FA56" s="28">
        <v>0</v>
      </c>
      <c r="FB56" s="28">
        <v>0</v>
      </c>
      <c r="FC56" s="28">
        <v>2.84986637438067</v>
      </c>
      <c r="FD56" s="28">
        <v>0.35876925924633002</v>
      </c>
      <c r="FE56" s="28">
        <v>0</v>
      </c>
      <c r="FF56" s="28">
        <v>0</v>
      </c>
      <c r="FG56" s="28">
        <v>1.3554679143764401</v>
      </c>
      <c r="FH56" s="28">
        <v>0</v>
      </c>
      <c r="FI56" s="28">
        <v>0</v>
      </c>
      <c r="FJ56" s="28">
        <v>0</v>
      </c>
      <c r="FK56" s="28">
        <v>0</v>
      </c>
      <c r="FL56" s="28">
        <v>0</v>
      </c>
      <c r="FM56" s="28">
        <v>0</v>
      </c>
      <c r="FN56" s="28">
        <v>0</v>
      </c>
      <c r="FO56" s="28">
        <v>0</v>
      </c>
      <c r="FP56" s="28">
        <v>0</v>
      </c>
      <c r="FQ56" s="28">
        <v>0</v>
      </c>
      <c r="FR56" s="28">
        <v>0</v>
      </c>
      <c r="FS56" s="28">
        <v>0</v>
      </c>
      <c r="FT56" s="28">
        <v>0</v>
      </c>
      <c r="FU56" s="28">
        <v>0</v>
      </c>
      <c r="FV56" s="28">
        <v>0</v>
      </c>
      <c r="FW56" s="28">
        <v>0</v>
      </c>
      <c r="FX56" s="28">
        <v>0</v>
      </c>
      <c r="FY56" s="28">
        <v>0</v>
      </c>
      <c r="FZ56" s="28">
        <v>0</v>
      </c>
      <c r="GA56" s="28">
        <v>0</v>
      </c>
      <c r="GB56" s="28">
        <v>0</v>
      </c>
      <c r="GC56" s="28">
        <v>0</v>
      </c>
      <c r="GD56" s="28">
        <v>0</v>
      </c>
      <c r="GE56" s="28">
        <v>0</v>
      </c>
      <c r="GF56" s="28">
        <v>0</v>
      </c>
      <c r="GG56" s="28">
        <v>0</v>
      </c>
      <c r="GH56" s="28">
        <v>0</v>
      </c>
      <c r="GI56" s="28">
        <v>0</v>
      </c>
      <c r="GJ56" s="28">
        <v>0</v>
      </c>
      <c r="GK56" s="28">
        <v>0</v>
      </c>
      <c r="GL56" s="28">
        <v>0</v>
      </c>
      <c r="GM56" s="28">
        <v>0</v>
      </c>
      <c r="GN56" s="28">
        <v>0</v>
      </c>
      <c r="GO56" s="28">
        <v>0</v>
      </c>
      <c r="GP56" s="28">
        <v>0</v>
      </c>
      <c r="GQ56" s="21">
        <v>42.818397478126037</v>
      </c>
      <c r="GR56" s="21">
        <v>0</v>
      </c>
      <c r="GS56" s="20">
        <v>0</v>
      </c>
      <c r="GT56" s="20">
        <v>0</v>
      </c>
      <c r="GU56" s="20">
        <v>0</v>
      </c>
      <c r="GV56" s="20">
        <v>0</v>
      </c>
      <c r="GW56" s="20">
        <v>0</v>
      </c>
      <c r="GX56" s="21">
        <v>96.807998271298999</v>
      </c>
      <c r="GY56" s="20">
        <v>96.807998271298999</v>
      </c>
      <c r="GZ56" s="20">
        <v>0</v>
      </c>
      <c r="HA56" s="20"/>
      <c r="HB56" s="21">
        <v>0</v>
      </c>
      <c r="HC56" s="21">
        <v>139.62639574942503</v>
      </c>
    </row>
    <row r="57" spans="1:211" s="7" customFormat="1" ht="17.25" customHeight="1">
      <c r="A57" s="7">
        <f t="shared" si="8"/>
        <v>57</v>
      </c>
      <c r="B57" s="26" t="s">
        <v>44</v>
      </c>
      <c r="C57" s="9" t="s">
        <v>456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0.15229700158390799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0.10389148514886801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  <c r="AL57" s="28">
        <v>0</v>
      </c>
      <c r="AM57" s="28">
        <v>0</v>
      </c>
      <c r="AN57" s="28">
        <v>0</v>
      </c>
      <c r="AO57" s="28">
        <v>0</v>
      </c>
      <c r="AP57" s="28">
        <v>0</v>
      </c>
      <c r="AQ57" s="28">
        <v>20.8177281787666</v>
      </c>
      <c r="AR57" s="28">
        <v>0</v>
      </c>
      <c r="AS57" s="28">
        <v>0</v>
      </c>
      <c r="AT57" s="28">
        <v>0</v>
      </c>
      <c r="AU57" s="28">
        <v>0</v>
      </c>
      <c r="AV57" s="28">
        <v>0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8">
        <v>0</v>
      </c>
      <c r="BE57" s="28">
        <v>0</v>
      </c>
      <c r="BF57" s="28">
        <v>0</v>
      </c>
      <c r="BG57" s="28">
        <v>0</v>
      </c>
      <c r="BH57" s="28">
        <v>0</v>
      </c>
      <c r="BI57" s="28">
        <v>0</v>
      </c>
      <c r="BJ57" s="28">
        <v>0</v>
      </c>
      <c r="BK57" s="28">
        <v>167.73955048595101</v>
      </c>
      <c r="BL57" s="28">
        <v>0</v>
      </c>
      <c r="BM57" s="28">
        <v>0</v>
      </c>
      <c r="BN57" s="28">
        <v>0</v>
      </c>
      <c r="BO57" s="28">
        <v>0</v>
      </c>
      <c r="BP57" s="28">
        <v>0</v>
      </c>
      <c r="BQ57" s="28">
        <v>0</v>
      </c>
      <c r="BR57" s="28">
        <v>0</v>
      </c>
      <c r="BS57" s="28">
        <v>0</v>
      </c>
      <c r="BT57" s="28">
        <v>0</v>
      </c>
      <c r="BU57" s="28">
        <v>0</v>
      </c>
      <c r="BV57" s="28">
        <v>0</v>
      </c>
      <c r="BW57" s="28">
        <v>0</v>
      </c>
      <c r="BX57" s="28">
        <v>0</v>
      </c>
      <c r="BY57" s="28">
        <v>0</v>
      </c>
      <c r="BZ57" s="28">
        <v>0</v>
      </c>
      <c r="CA57" s="28">
        <v>0</v>
      </c>
      <c r="CB57" s="28">
        <v>0</v>
      </c>
      <c r="CC57" s="28">
        <v>0</v>
      </c>
      <c r="CD57" s="28">
        <v>0</v>
      </c>
      <c r="CE57" s="28">
        <v>0</v>
      </c>
      <c r="CF57" s="28">
        <v>0</v>
      </c>
      <c r="CG57" s="28">
        <v>0</v>
      </c>
      <c r="CH57" s="28">
        <v>0</v>
      </c>
      <c r="CI57" s="28">
        <v>0</v>
      </c>
      <c r="CJ57" s="28">
        <v>0</v>
      </c>
      <c r="CK57" s="28">
        <v>0</v>
      </c>
      <c r="CL57" s="28">
        <v>0</v>
      </c>
      <c r="CM57" s="28">
        <v>0</v>
      </c>
      <c r="CN57" s="28">
        <v>0</v>
      </c>
      <c r="CO57" s="28">
        <v>0</v>
      </c>
      <c r="CP57" s="28">
        <v>0</v>
      </c>
      <c r="CQ57" s="28">
        <v>0</v>
      </c>
      <c r="CR57" s="28">
        <v>0</v>
      </c>
      <c r="CS57" s="28">
        <v>0</v>
      </c>
      <c r="CT57" s="28">
        <v>0</v>
      </c>
      <c r="CU57" s="28">
        <v>0</v>
      </c>
      <c r="CV57" s="28">
        <v>0</v>
      </c>
      <c r="CW57" s="28">
        <v>0</v>
      </c>
      <c r="CX57" s="28">
        <v>0</v>
      </c>
      <c r="CY57" s="28">
        <v>0</v>
      </c>
      <c r="CZ57" s="28">
        <v>0</v>
      </c>
      <c r="DA57" s="28">
        <v>0</v>
      </c>
      <c r="DB57" s="28">
        <v>0</v>
      </c>
      <c r="DC57" s="28">
        <v>0</v>
      </c>
      <c r="DD57" s="28">
        <v>0</v>
      </c>
      <c r="DE57" s="28">
        <v>0</v>
      </c>
      <c r="DF57" s="28">
        <v>0</v>
      </c>
      <c r="DG57" s="28">
        <v>0</v>
      </c>
      <c r="DH57" s="28">
        <v>0</v>
      </c>
      <c r="DI57" s="28">
        <v>0</v>
      </c>
      <c r="DJ57" s="28">
        <v>0</v>
      </c>
      <c r="DK57" s="28">
        <v>0</v>
      </c>
      <c r="DL57" s="28">
        <v>0</v>
      </c>
      <c r="DM57" s="28">
        <v>0</v>
      </c>
      <c r="DN57" s="28">
        <v>0</v>
      </c>
      <c r="DO57" s="28">
        <v>0</v>
      </c>
      <c r="DP57" s="28">
        <v>0</v>
      </c>
      <c r="DQ57" s="28">
        <v>0</v>
      </c>
      <c r="DR57" s="28">
        <v>0</v>
      </c>
      <c r="DS57" s="28">
        <v>0</v>
      </c>
      <c r="DT57" s="28">
        <v>0</v>
      </c>
      <c r="DU57" s="28">
        <v>0</v>
      </c>
      <c r="DV57" s="28">
        <v>0</v>
      </c>
      <c r="DW57" s="28">
        <v>0</v>
      </c>
      <c r="DX57" s="28">
        <v>0</v>
      </c>
      <c r="DY57" s="28">
        <v>0</v>
      </c>
      <c r="DZ57" s="28">
        <v>0</v>
      </c>
      <c r="EA57" s="28">
        <v>0</v>
      </c>
      <c r="EB57" s="28">
        <v>0</v>
      </c>
      <c r="EC57" s="28">
        <v>0</v>
      </c>
      <c r="ED57" s="28">
        <v>0</v>
      </c>
      <c r="EE57" s="28">
        <v>0</v>
      </c>
      <c r="EF57" s="28">
        <v>0</v>
      </c>
      <c r="EG57" s="28">
        <v>0</v>
      </c>
      <c r="EH57" s="28">
        <v>0</v>
      </c>
      <c r="EI57" s="28">
        <v>0</v>
      </c>
      <c r="EJ57" s="28">
        <v>0</v>
      </c>
      <c r="EK57" s="28">
        <v>0</v>
      </c>
      <c r="EL57" s="28">
        <v>0</v>
      </c>
      <c r="EM57" s="28">
        <v>0</v>
      </c>
      <c r="EN57" s="28">
        <v>0</v>
      </c>
      <c r="EO57" s="28">
        <v>0</v>
      </c>
      <c r="EP57" s="28">
        <v>0</v>
      </c>
      <c r="EQ57" s="28">
        <v>0</v>
      </c>
      <c r="ER57" s="28">
        <v>0</v>
      </c>
      <c r="ES57" s="28">
        <v>0</v>
      </c>
      <c r="ET57" s="28">
        <v>0</v>
      </c>
      <c r="EU57" s="28">
        <v>0</v>
      </c>
      <c r="EV57" s="28">
        <v>0</v>
      </c>
      <c r="EW57" s="28">
        <v>0</v>
      </c>
      <c r="EX57" s="28">
        <v>0</v>
      </c>
      <c r="EY57" s="28">
        <v>0</v>
      </c>
      <c r="EZ57" s="28">
        <v>0</v>
      </c>
      <c r="FA57" s="28">
        <v>0</v>
      </c>
      <c r="FB57" s="28">
        <v>0</v>
      </c>
      <c r="FC57" s="28">
        <v>0</v>
      </c>
      <c r="FD57" s="28">
        <v>0</v>
      </c>
      <c r="FE57" s="28">
        <v>0</v>
      </c>
      <c r="FF57" s="28">
        <v>0</v>
      </c>
      <c r="FG57" s="28">
        <v>0</v>
      </c>
      <c r="FH57" s="28">
        <v>0</v>
      </c>
      <c r="FI57" s="28">
        <v>0</v>
      </c>
      <c r="FJ57" s="28">
        <v>0</v>
      </c>
      <c r="FK57" s="28">
        <v>0</v>
      </c>
      <c r="FL57" s="28">
        <v>0</v>
      </c>
      <c r="FM57" s="28">
        <v>0</v>
      </c>
      <c r="FN57" s="28">
        <v>0</v>
      </c>
      <c r="FO57" s="28">
        <v>0</v>
      </c>
      <c r="FP57" s="28">
        <v>0</v>
      </c>
      <c r="FQ57" s="28">
        <v>0</v>
      </c>
      <c r="FR57" s="28">
        <v>0</v>
      </c>
      <c r="FS57" s="28">
        <v>0.48854581119158602</v>
      </c>
      <c r="FT57" s="28">
        <v>38.826362617706103</v>
      </c>
      <c r="FU57" s="28">
        <v>0</v>
      </c>
      <c r="FV57" s="28">
        <v>0</v>
      </c>
      <c r="FW57" s="28">
        <v>0</v>
      </c>
      <c r="FX57" s="28">
        <v>0</v>
      </c>
      <c r="FY57" s="28">
        <v>0</v>
      </c>
      <c r="FZ57" s="28">
        <v>0</v>
      </c>
      <c r="GA57" s="28">
        <v>0</v>
      </c>
      <c r="GB57" s="28">
        <v>0</v>
      </c>
      <c r="GC57" s="28">
        <v>0</v>
      </c>
      <c r="GD57" s="28">
        <v>0</v>
      </c>
      <c r="GE57" s="28">
        <v>0</v>
      </c>
      <c r="GF57" s="28">
        <v>0</v>
      </c>
      <c r="GG57" s="28">
        <v>1.09503992017951</v>
      </c>
      <c r="GH57" s="28">
        <v>0</v>
      </c>
      <c r="GI57" s="28">
        <v>0</v>
      </c>
      <c r="GJ57" s="28">
        <v>0</v>
      </c>
      <c r="GK57" s="28">
        <v>0</v>
      </c>
      <c r="GL57" s="28">
        <v>0</v>
      </c>
      <c r="GM57" s="28">
        <v>0</v>
      </c>
      <c r="GN57" s="28">
        <v>0</v>
      </c>
      <c r="GO57" s="28">
        <v>0</v>
      </c>
      <c r="GP57" s="28">
        <v>0</v>
      </c>
      <c r="GQ57" s="21">
        <v>229.22341550052761</v>
      </c>
      <c r="GR57" s="21">
        <v>65.727119296517898</v>
      </c>
      <c r="GS57" s="20">
        <v>65.727119296517898</v>
      </c>
      <c r="GT57" s="20">
        <v>0</v>
      </c>
      <c r="GU57" s="20">
        <v>0</v>
      </c>
      <c r="GV57" s="20">
        <v>0</v>
      </c>
      <c r="GW57" s="20">
        <v>0</v>
      </c>
      <c r="GX57" s="21">
        <v>9.0837139037403176</v>
      </c>
      <c r="GY57" s="20">
        <v>0</v>
      </c>
      <c r="GZ57" s="20">
        <v>9.0837139037403176</v>
      </c>
      <c r="HA57" s="20"/>
      <c r="HB57" s="21">
        <v>0</v>
      </c>
      <c r="HC57" s="21">
        <v>304.03424870078584</v>
      </c>
    </row>
    <row r="58" spans="1:211" s="7" customFormat="1" ht="17.25" customHeight="1">
      <c r="A58" s="7">
        <f t="shared" si="8"/>
        <v>58</v>
      </c>
      <c r="B58" s="26" t="s">
        <v>45</v>
      </c>
      <c r="C58" s="9" t="s">
        <v>457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1.6964780136239201E-4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6.6447037271743104E-4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20.984576192026999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0</v>
      </c>
      <c r="BN58" s="28">
        <v>0</v>
      </c>
      <c r="BO58" s="28">
        <v>0</v>
      </c>
      <c r="BP58" s="28">
        <v>0</v>
      </c>
      <c r="BQ58" s="28">
        <v>0</v>
      </c>
      <c r="BR58" s="28">
        <v>0</v>
      </c>
      <c r="BS58" s="28">
        <v>0</v>
      </c>
      <c r="BT58" s="28">
        <v>0</v>
      </c>
      <c r="BU58" s="28">
        <v>0</v>
      </c>
      <c r="BV58" s="28">
        <v>0</v>
      </c>
      <c r="BW58" s="28">
        <v>0</v>
      </c>
      <c r="BX58" s="28">
        <v>0</v>
      </c>
      <c r="BY58" s="28">
        <v>0</v>
      </c>
      <c r="BZ58" s="28">
        <v>0</v>
      </c>
      <c r="CA58" s="28">
        <v>0</v>
      </c>
      <c r="CB58" s="28">
        <v>0</v>
      </c>
      <c r="CC58" s="28">
        <v>0</v>
      </c>
      <c r="CD58" s="28">
        <v>0</v>
      </c>
      <c r="CE58" s="28">
        <v>0</v>
      </c>
      <c r="CF58" s="28">
        <v>0</v>
      </c>
      <c r="CG58" s="28">
        <v>0</v>
      </c>
      <c r="CH58" s="28">
        <v>0</v>
      </c>
      <c r="CI58" s="28">
        <v>0</v>
      </c>
      <c r="CJ58" s="28">
        <v>0</v>
      </c>
      <c r="CK58" s="28">
        <v>0</v>
      </c>
      <c r="CL58" s="28">
        <v>0</v>
      </c>
      <c r="CM58" s="28">
        <v>0</v>
      </c>
      <c r="CN58" s="28">
        <v>0</v>
      </c>
      <c r="CO58" s="28">
        <v>0</v>
      </c>
      <c r="CP58" s="28">
        <v>0</v>
      </c>
      <c r="CQ58" s="28">
        <v>0</v>
      </c>
      <c r="CR58" s="28">
        <v>0</v>
      </c>
      <c r="CS58" s="28">
        <v>0</v>
      </c>
      <c r="CT58" s="28">
        <v>0</v>
      </c>
      <c r="CU58" s="28">
        <v>0</v>
      </c>
      <c r="CV58" s="28">
        <v>0</v>
      </c>
      <c r="CW58" s="28">
        <v>0</v>
      </c>
      <c r="CX58" s="28">
        <v>0</v>
      </c>
      <c r="CY58" s="28">
        <v>0</v>
      </c>
      <c r="CZ58" s="28">
        <v>0</v>
      </c>
      <c r="DA58" s="28">
        <v>0</v>
      </c>
      <c r="DB58" s="28">
        <v>0</v>
      </c>
      <c r="DC58" s="28">
        <v>0</v>
      </c>
      <c r="DD58" s="28">
        <v>0</v>
      </c>
      <c r="DE58" s="28">
        <v>0</v>
      </c>
      <c r="DF58" s="28">
        <v>0</v>
      </c>
      <c r="DG58" s="28">
        <v>0</v>
      </c>
      <c r="DH58" s="28">
        <v>0</v>
      </c>
      <c r="DI58" s="28">
        <v>0</v>
      </c>
      <c r="DJ58" s="28">
        <v>0</v>
      </c>
      <c r="DK58" s="28">
        <v>0</v>
      </c>
      <c r="DL58" s="28">
        <v>0</v>
      </c>
      <c r="DM58" s="28">
        <v>0</v>
      </c>
      <c r="DN58" s="28">
        <v>0</v>
      </c>
      <c r="DO58" s="28">
        <v>0</v>
      </c>
      <c r="DP58" s="28">
        <v>0</v>
      </c>
      <c r="DQ58" s="28">
        <v>0</v>
      </c>
      <c r="DR58" s="28">
        <v>0</v>
      </c>
      <c r="DS58" s="28">
        <v>0</v>
      </c>
      <c r="DT58" s="28">
        <v>0</v>
      </c>
      <c r="DU58" s="28">
        <v>0</v>
      </c>
      <c r="DV58" s="28">
        <v>0</v>
      </c>
      <c r="DW58" s="28">
        <v>0</v>
      </c>
      <c r="DX58" s="28">
        <v>0</v>
      </c>
      <c r="DY58" s="28">
        <v>0</v>
      </c>
      <c r="DZ58" s="28">
        <v>0</v>
      </c>
      <c r="EA58" s="28">
        <v>0</v>
      </c>
      <c r="EB58" s="28">
        <v>0</v>
      </c>
      <c r="EC58" s="28">
        <v>0</v>
      </c>
      <c r="ED58" s="28">
        <v>0</v>
      </c>
      <c r="EE58" s="28">
        <v>0</v>
      </c>
      <c r="EF58" s="28">
        <v>0</v>
      </c>
      <c r="EG58" s="28">
        <v>0</v>
      </c>
      <c r="EH58" s="28">
        <v>0</v>
      </c>
      <c r="EI58" s="28">
        <v>0</v>
      </c>
      <c r="EJ58" s="28">
        <v>0</v>
      </c>
      <c r="EK58" s="28">
        <v>0</v>
      </c>
      <c r="EL58" s="28">
        <v>0</v>
      </c>
      <c r="EM58" s="28">
        <v>0</v>
      </c>
      <c r="EN58" s="28">
        <v>0</v>
      </c>
      <c r="EO58" s="28">
        <v>0</v>
      </c>
      <c r="EP58" s="28">
        <v>0</v>
      </c>
      <c r="EQ58" s="28">
        <v>0</v>
      </c>
      <c r="ER58" s="28">
        <v>0</v>
      </c>
      <c r="ES58" s="28">
        <v>0</v>
      </c>
      <c r="ET58" s="28">
        <v>0</v>
      </c>
      <c r="EU58" s="28">
        <v>0</v>
      </c>
      <c r="EV58" s="28">
        <v>0</v>
      </c>
      <c r="EW58" s="28">
        <v>0</v>
      </c>
      <c r="EX58" s="28">
        <v>0</v>
      </c>
      <c r="EY58" s="28">
        <v>0</v>
      </c>
      <c r="EZ58" s="28">
        <v>0</v>
      </c>
      <c r="FA58" s="28">
        <v>0</v>
      </c>
      <c r="FB58" s="28">
        <v>0</v>
      </c>
      <c r="FC58" s="28">
        <v>0</v>
      </c>
      <c r="FD58" s="28">
        <v>0</v>
      </c>
      <c r="FE58" s="28">
        <v>0</v>
      </c>
      <c r="FF58" s="28">
        <v>0</v>
      </c>
      <c r="FG58" s="28">
        <v>0</v>
      </c>
      <c r="FH58" s="28">
        <v>0</v>
      </c>
      <c r="FI58" s="28">
        <v>0</v>
      </c>
      <c r="FJ58" s="28">
        <v>0</v>
      </c>
      <c r="FK58" s="28">
        <v>0</v>
      </c>
      <c r="FL58" s="28">
        <v>0</v>
      </c>
      <c r="FM58" s="28">
        <v>0</v>
      </c>
      <c r="FN58" s="28">
        <v>0</v>
      </c>
      <c r="FO58" s="28">
        <v>0</v>
      </c>
      <c r="FP58" s="28">
        <v>0</v>
      </c>
      <c r="FQ58" s="28">
        <v>0</v>
      </c>
      <c r="FR58" s="28">
        <v>0</v>
      </c>
      <c r="FS58" s="28">
        <v>1.1027616945520499E-2</v>
      </c>
      <c r="FT58" s="28">
        <v>0.87640144389250696</v>
      </c>
      <c r="FU58" s="28">
        <v>0</v>
      </c>
      <c r="FV58" s="28">
        <v>0</v>
      </c>
      <c r="FW58" s="28">
        <v>0</v>
      </c>
      <c r="FX58" s="28">
        <v>0</v>
      </c>
      <c r="FY58" s="28">
        <v>0</v>
      </c>
      <c r="FZ58" s="28">
        <v>0</v>
      </c>
      <c r="GA58" s="28">
        <v>0</v>
      </c>
      <c r="GB58" s="28">
        <v>0</v>
      </c>
      <c r="GC58" s="28">
        <v>0</v>
      </c>
      <c r="GD58" s="28">
        <v>0</v>
      </c>
      <c r="GE58" s="28">
        <v>0</v>
      </c>
      <c r="GF58" s="28">
        <v>0</v>
      </c>
      <c r="GG58" s="28">
        <v>0</v>
      </c>
      <c r="GH58" s="28">
        <v>0</v>
      </c>
      <c r="GI58" s="28">
        <v>0</v>
      </c>
      <c r="GJ58" s="28">
        <v>0</v>
      </c>
      <c r="GK58" s="28">
        <v>0</v>
      </c>
      <c r="GL58" s="28">
        <v>0</v>
      </c>
      <c r="GM58" s="28">
        <v>0</v>
      </c>
      <c r="GN58" s="28">
        <v>0</v>
      </c>
      <c r="GO58" s="28">
        <v>0</v>
      </c>
      <c r="GP58" s="28">
        <v>0</v>
      </c>
      <c r="GQ58" s="21">
        <v>21.872839371039106</v>
      </c>
      <c r="GR58" s="21">
        <v>0</v>
      </c>
      <c r="GS58" s="20">
        <v>0</v>
      </c>
      <c r="GT58" s="20">
        <v>0</v>
      </c>
      <c r="GU58" s="20">
        <v>0</v>
      </c>
      <c r="GV58" s="20">
        <v>0</v>
      </c>
      <c r="GW58" s="20">
        <v>0</v>
      </c>
      <c r="GX58" s="21">
        <v>1.1027616945494145E-2</v>
      </c>
      <c r="GY58" s="20">
        <v>0</v>
      </c>
      <c r="GZ58" s="20">
        <v>1.1027616945494145E-2</v>
      </c>
      <c r="HA58" s="20"/>
      <c r="HB58" s="21">
        <v>0</v>
      </c>
      <c r="HC58" s="21">
        <v>21.8838669879846</v>
      </c>
    </row>
    <row r="59" spans="1:211" s="7" customFormat="1" ht="17.25" customHeight="1">
      <c r="A59" s="7">
        <f t="shared" si="8"/>
        <v>59</v>
      </c>
      <c r="B59" s="26" t="s">
        <v>46</v>
      </c>
      <c r="C59" s="9" t="s">
        <v>458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3791.3930996706499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  <c r="EU59" s="28">
        <v>0</v>
      </c>
      <c r="EV59" s="28">
        <v>0</v>
      </c>
      <c r="EW59" s="28">
        <v>0</v>
      </c>
      <c r="EX59" s="28">
        <v>0</v>
      </c>
      <c r="EY59" s="28">
        <v>0</v>
      </c>
      <c r="EZ59" s="28">
        <v>0</v>
      </c>
      <c r="FA59" s="28">
        <v>0</v>
      </c>
      <c r="FB59" s="28">
        <v>0</v>
      </c>
      <c r="FC59" s="28">
        <v>0</v>
      </c>
      <c r="FD59" s="28">
        <v>0</v>
      </c>
      <c r="FE59" s="28">
        <v>0</v>
      </c>
      <c r="FF59" s="28">
        <v>0</v>
      </c>
      <c r="FG59" s="28">
        <v>0</v>
      </c>
      <c r="FH59" s="28">
        <v>0</v>
      </c>
      <c r="FI59" s="28">
        <v>0</v>
      </c>
      <c r="FJ59" s="28">
        <v>0</v>
      </c>
      <c r="FK59" s="28">
        <v>0</v>
      </c>
      <c r="FL59" s="28">
        <v>0</v>
      </c>
      <c r="FM59" s="28">
        <v>0</v>
      </c>
      <c r="FN59" s="28">
        <v>0</v>
      </c>
      <c r="FO59" s="28">
        <v>0</v>
      </c>
      <c r="FP59" s="28">
        <v>0</v>
      </c>
      <c r="FQ59" s="28">
        <v>0</v>
      </c>
      <c r="FR59" s="28">
        <v>0</v>
      </c>
      <c r="FS59" s="28">
        <v>0</v>
      </c>
      <c r="FT59" s="28">
        <v>0</v>
      </c>
      <c r="FU59" s="28">
        <v>0</v>
      </c>
      <c r="FV59" s="28">
        <v>0</v>
      </c>
      <c r="FW59" s="28">
        <v>0</v>
      </c>
      <c r="FX59" s="28">
        <v>0</v>
      </c>
      <c r="FY59" s="28">
        <v>0</v>
      </c>
      <c r="FZ59" s="28">
        <v>0</v>
      </c>
      <c r="GA59" s="28">
        <v>0</v>
      </c>
      <c r="GB59" s="28">
        <v>0</v>
      </c>
      <c r="GC59" s="28">
        <v>0</v>
      </c>
      <c r="GD59" s="28">
        <v>0</v>
      </c>
      <c r="GE59" s="28">
        <v>0</v>
      </c>
      <c r="GF59" s="28">
        <v>0</v>
      </c>
      <c r="GG59" s="28">
        <v>0</v>
      </c>
      <c r="GH59" s="28">
        <v>0</v>
      </c>
      <c r="GI59" s="28">
        <v>0</v>
      </c>
      <c r="GJ59" s="28">
        <v>0</v>
      </c>
      <c r="GK59" s="28">
        <v>0</v>
      </c>
      <c r="GL59" s="28">
        <v>0</v>
      </c>
      <c r="GM59" s="28">
        <v>0</v>
      </c>
      <c r="GN59" s="28">
        <v>0</v>
      </c>
      <c r="GO59" s="28">
        <v>0</v>
      </c>
      <c r="GP59" s="28">
        <v>0</v>
      </c>
      <c r="GQ59" s="21">
        <v>3791.3930996706499</v>
      </c>
      <c r="GR59" s="21">
        <v>0</v>
      </c>
      <c r="GS59" s="20">
        <v>0</v>
      </c>
      <c r="GT59" s="20">
        <v>0</v>
      </c>
      <c r="GU59" s="20">
        <v>0</v>
      </c>
      <c r="GV59" s="20">
        <v>0</v>
      </c>
      <c r="GW59" s="20">
        <v>0</v>
      </c>
      <c r="GX59" s="21">
        <v>-0.77152610064831595</v>
      </c>
      <c r="GY59" s="20">
        <v>0</v>
      </c>
      <c r="GZ59" s="20">
        <v>-0.77152610064831595</v>
      </c>
      <c r="HA59" s="20"/>
      <c r="HB59" s="21">
        <v>0</v>
      </c>
      <c r="HC59" s="21">
        <v>3790.6215735700016</v>
      </c>
    </row>
    <row r="60" spans="1:211" s="7" customFormat="1" ht="17.25" customHeight="1">
      <c r="A60" s="7">
        <f t="shared" si="8"/>
        <v>60</v>
      </c>
      <c r="B60" s="26" t="s">
        <v>47</v>
      </c>
      <c r="C60" s="9" t="s">
        <v>459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0.71835362185202101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5.8357702181151203E-2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40.709304855648099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1.08400496652305</v>
      </c>
      <c r="BB60" s="28">
        <v>0.64183495312260497</v>
      </c>
      <c r="BC60" s="28">
        <v>0</v>
      </c>
      <c r="BD60" s="28">
        <v>5.1194114444807197E-2</v>
      </c>
      <c r="BE60" s="28">
        <v>0</v>
      </c>
      <c r="BF60" s="28">
        <v>0</v>
      </c>
      <c r="BG60" s="28">
        <v>0.314178787999493</v>
      </c>
      <c r="BH60" s="28">
        <v>19.783851120274601</v>
      </c>
      <c r="BI60" s="28">
        <v>0.74845908638266401</v>
      </c>
      <c r="BJ60" s="28">
        <v>2.1858382117284201</v>
      </c>
      <c r="BK60" s="28">
        <v>0</v>
      </c>
      <c r="BL60" s="28">
        <v>1.66917847680216</v>
      </c>
      <c r="BM60" s="28">
        <v>1.0677651232137999</v>
      </c>
      <c r="BN60" s="28">
        <v>0.72370708866406097</v>
      </c>
      <c r="BO60" s="28">
        <v>3.20342163939707</v>
      </c>
      <c r="BP60" s="28">
        <v>0.25837712382431499</v>
      </c>
      <c r="BQ60" s="28">
        <v>4.0210590562497499</v>
      </c>
      <c r="BR60" s="28">
        <v>0.43140835842416703</v>
      </c>
      <c r="BS60" s="28">
        <v>0</v>
      </c>
      <c r="BT60" s="28">
        <v>21.762214018929502</v>
      </c>
      <c r="BU60" s="28">
        <v>0.18968676786647301</v>
      </c>
      <c r="BV60" s="28">
        <v>27.572428916782901</v>
      </c>
      <c r="BW60" s="28">
        <v>0.16030602934035701</v>
      </c>
      <c r="BX60" s="28">
        <v>9.9951125988921603E-3</v>
      </c>
      <c r="BY60" s="28">
        <v>1.3469028688006901</v>
      </c>
      <c r="BZ60" s="28">
        <v>2.4914739628732301</v>
      </c>
      <c r="CA60" s="28">
        <v>4.8663600000000002</v>
      </c>
      <c r="CB60" s="28">
        <v>17.522714914348398</v>
      </c>
      <c r="CC60" s="28">
        <v>0.960514204202365</v>
      </c>
      <c r="CD60" s="28">
        <v>12.6193624979535</v>
      </c>
      <c r="CE60" s="28">
        <v>4.2909022614455399</v>
      </c>
      <c r="CF60" s="28">
        <v>0</v>
      </c>
      <c r="CG60" s="28">
        <v>2.5060461121281699</v>
      </c>
      <c r="CH60" s="28">
        <v>2.3170754304383601</v>
      </c>
      <c r="CI60" s="28">
        <v>1.81860995292664</v>
      </c>
      <c r="CJ60" s="28">
        <v>8.2174806960614308</v>
      </c>
      <c r="CK60" s="28">
        <v>0</v>
      </c>
      <c r="CL60" s="28">
        <v>5.3630782721612397E-2</v>
      </c>
      <c r="CM60" s="28">
        <v>4.16201348950651</v>
      </c>
      <c r="CN60" s="28">
        <v>9.9211148917675001E-3</v>
      </c>
      <c r="CO60" s="28">
        <v>0.192822486162186</v>
      </c>
      <c r="CP60" s="28">
        <v>0.15058532357215901</v>
      </c>
      <c r="CQ60" s="28">
        <v>0.46931841969490101</v>
      </c>
      <c r="CR60" s="28">
        <v>0</v>
      </c>
      <c r="CS60" s="28">
        <v>0.188204956022825</v>
      </c>
      <c r="CT60" s="28">
        <v>7.4967910735144603</v>
      </c>
      <c r="CU60" s="28">
        <v>0</v>
      </c>
      <c r="CV60" s="28">
        <v>0</v>
      </c>
      <c r="CW60" s="28">
        <v>0</v>
      </c>
      <c r="CX60" s="28">
        <v>0.159487862590447</v>
      </c>
      <c r="CY60" s="28">
        <v>0</v>
      </c>
      <c r="CZ60" s="28">
        <v>0</v>
      </c>
      <c r="DA60" s="28">
        <v>1.6768500856215E-2</v>
      </c>
      <c r="DB60" s="28">
        <v>1.5870132694674699</v>
      </c>
      <c r="DC60" s="28">
        <v>4.08291239495657</v>
      </c>
      <c r="DD60" s="28">
        <v>0</v>
      </c>
      <c r="DE60" s="28">
        <v>0</v>
      </c>
      <c r="DF60" s="28">
        <v>1.11286056438754</v>
      </c>
      <c r="DG60" s="28">
        <v>3.0029174154391201</v>
      </c>
      <c r="DH60" s="28">
        <v>0.10693462063358999</v>
      </c>
      <c r="DI60" s="28">
        <v>0</v>
      </c>
      <c r="DJ60" s="28">
        <v>160.13802416600001</v>
      </c>
      <c r="DK60" s="28">
        <v>5.5440215832360203E-2</v>
      </c>
      <c r="DL60" s="28">
        <v>2.07438531888012</v>
      </c>
      <c r="DM60" s="28">
        <v>0</v>
      </c>
      <c r="DN60" s="28">
        <v>0.84313887514754204</v>
      </c>
      <c r="DO60" s="28">
        <v>1.6157244291597599</v>
      </c>
      <c r="DP60" s="28">
        <v>0</v>
      </c>
      <c r="DQ60" s="28">
        <v>0.12807436712836001</v>
      </c>
      <c r="DR60" s="28">
        <v>4.6143764096083197</v>
      </c>
      <c r="DS60" s="28">
        <v>0.90090822920396096</v>
      </c>
      <c r="DT60" s="28">
        <v>0.154556980822879</v>
      </c>
      <c r="DU60" s="28">
        <v>3.3045381908296099</v>
      </c>
      <c r="DV60" s="28">
        <v>0</v>
      </c>
      <c r="DW60" s="28">
        <v>0</v>
      </c>
      <c r="DX60" s="28">
        <v>13.2281343446916</v>
      </c>
      <c r="DY60" s="28">
        <v>0</v>
      </c>
      <c r="DZ60" s="28">
        <v>183.38237167795899</v>
      </c>
      <c r="EA60" s="28">
        <v>2.4964117394307098E-3</v>
      </c>
      <c r="EB60" s="28">
        <v>1.1152202604116701</v>
      </c>
      <c r="EC60" s="28">
        <v>0</v>
      </c>
      <c r="ED60" s="28">
        <v>0.124685593387519</v>
      </c>
      <c r="EE60" s="28">
        <v>0.49443138139325699</v>
      </c>
      <c r="EF60" s="28">
        <v>0.66700057205343899</v>
      </c>
      <c r="EG60" s="28">
        <v>1.86677390732201</v>
      </c>
      <c r="EH60" s="28">
        <v>0.32731065909734902</v>
      </c>
      <c r="EI60" s="28">
        <v>0.15166283227581001</v>
      </c>
      <c r="EJ60" s="28">
        <v>1.2055473901573099</v>
      </c>
      <c r="EK60" s="28">
        <v>8.7724539596361302E-5</v>
      </c>
      <c r="EL60" s="28">
        <v>1.4255683112251301</v>
      </c>
      <c r="EM60" s="28">
        <v>0</v>
      </c>
      <c r="EN60" s="28">
        <v>5.0007286839670699E-3</v>
      </c>
      <c r="EO60" s="28">
        <v>0.28312591902998002</v>
      </c>
      <c r="EP60" s="28">
        <v>0</v>
      </c>
      <c r="EQ60" s="28">
        <v>0</v>
      </c>
      <c r="ER60" s="28">
        <v>1.0565416037935701E-2</v>
      </c>
      <c r="ES60" s="28">
        <v>0.314495167025101</v>
      </c>
      <c r="ET60" s="28">
        <v>0.122089194087504</v>
      </c>
      <c r="EU60" s="28">
        <v>0</v>
      </c>
      <c r="EV60" s="28">
        <v>0.56958680165139897</v>
      </c>
      <c r="EW60" s="28">
        <v>0</v>
      </c>
      <c r="EX60" s="28">
        <v>611.74301863999995</v>
      </c>
      <c r="EY60" s="28">
        <v>0</v>
      </c>
      <c r="EZ60" s="28">
        <v>25.36008696</v>
      </c>
      <c r="FA60" s="28">
        <v>6.6949337535518696E-2</v>
      </c>
      <c r="FB60" s="28">
        <v>1.1066935285665601E-2</v>
      </c>
      <c r="FC60" s="28">
        <v>0</v>
      </c>
      <c r="FD60" s="28">
        <v>7.3533693895425096E-3</v>
      </c>
      <c r="FE60" s="28">
        <v>0</v>
      </c>
      <c r="FF60" s="28">
        <v>0</v>
      </c>
      <c r="FG60" s="28">
        <v>0</v>
      </c>
      <c r="FH60" s="28">
        <v>0</v>
      </c>
      <c r="FI60" s="28">
        <v>0.96012917274277199</v>
      </c>
      <c r="FJ60" s="28">
        <v>0</v>
      </c>
      <c r="FK60" s="28">
        <v>0</v>
      </c>
      <c r="FL60" s="28">
        <v>42.907780639035003</v>
      </c>
      <c r="FM60" s="28">
        <v>1028.03879878251</v>
      </c>
      <c r="FN60" s="28">
        <v>3.2460309583831801E-3</v>
      </c>
      <c r="FO60" s="28">
        <v>0</v>
      </c>
      <c r="FP60" s="28">
        <v>30.413182406888701</v>
      </c>
      <c r="FQ60" s="28">
        <v>7.7475928184344997E-2</v>
      </c>
      <c r="FR60" s="28">
        <v>0</v>
      </c>
      <c r="FS60" s="28">
        <v>13.0836549851883</v>
      </c>
      <c r="FT60" s="28">
        <v>34.917300285122501</v>
      </c>
      <c r="FU60" s="28">
        <v>3.3293665190347301</v>
      </c>
      <c r="FV60" s="28">
        <v>3.3408691710915303E-2</v>
      </c>
      <c r="FW60" s="28">
        <v>4.1159149999999999E-2</v>
      </c>
      <c r="FX60" s="28">
        <v>9.6916442608256208</v>
      </c>
      <c r="FY60" s="28">
        <v>1.0779E-4</v>
      </c>
      <c r="FZ60" s="28">
        <v>0</v>
      </c>
      <c r="GA60" s="28">
        <v>0</v>
      </c>
      <c r="GB60" s="28">
        <v>0.17037487323193701</v>
      </c>
      <c r="GC60" s="28">
        <v>0.12233812545946</v>
      </c>
      <c r="GD60" s="28">
        <v>0</v>
      </c>
      <c r="GE60" s="28">
        <v>0</v>
      </c>
      <c r="GF60" s="28">
        <v>0</v>
      </c>
      <c r="GG60" s="28">
        <v>3.6409948499999998</v>
      </c>
      <c r="GH60" s="28">
        <v>0.44273248098303197</v>
      </c>
      <c r="GI60" s="28">
        <v>0.43921231999999999</v>
      </c>
      <c r="GJ60" s="28">
        <v>1.7231510000000001</v>
      </c>
      <c r="GK60" s="28">
        <v>8.2994997544612996</v>
      </c>
      <c r="GL60" s="28">
        <v>0</v>
      </c>
      <c r="GM60" s="28">
        <v>0</v>
      </c>
      <c r="GN60" s="28">
        <v>0.45556094699953198</v>
      </c>
      <c r="GO60" s="28">
        <v>0</v>
      </c>
      <c r="GP60" s="28">
        <v>0</v>
      </c>
      <c r="GQ60" s="21">
        <v>2404.2194660187793</v>
      </c>
      <c r="GR60" s="21">
        <v>76.564474771735604</v>
      </c>
      <c r="GS60" s="20">
        <v>76.564474771735604</v>
      </c>
      <c r="GT60" s="20">
        <v>0</v>
      </c>
      <c r="GU60" s="20">
        <v>0</v>
      </c>
      <c r="GV60" s="20">
        <v>0</v>
      </c>
      <c r="GW60" s="20">
        <v>0</v>
      </c>
      <c r="GX60" s="21">
        <v>-5.5323614735243609E-2</v>
      </c>
      <c r="GY60" s="20">
        <v>0</v>
      </c>
      <c r="GZ60" s="20">
        <v>-5.5323614735243609E-2</v>
      </c>
      <c r="HA60" s="20"/>
      <c r="HB60" s="21">
        <v>17966.052277531198</v>
      </c>
      <c r="HC60" s="21">
        <v>20446.780894706979</v>
      </c>
    </row>
    <row r="61" spans="1:211" s="7" customFormat="1" ht="17.25" customHeight="1">
      <c r="A61" s="7">
        <f t="shared" si="8"/>
        <v>61</v>
      </c>
      <c r="B61" s="26" t="s">
        <v>48</v>
      </c>
      <c r="C61" s="9" t="s">
        <v>460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2.4330672088850399E-5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1.8193674435878299E-2</v>
      </c>
      <c r="EH61" s="28">
        <v>3.1410864372434298E-3</v>
      </c>
      <c r="EI61" s="28">
        <v>1.4744054365245401E-3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  <c r="EU61" s="28">
        <v>0</v>
      </c>
      <c r="EV61" s="28">
        <v>0</v>
      </c>
      <c r="EW61" s="28">
        <v>0</v>
      </c>
      <c r="EX61" s="28">
        <v>0</v>
      </c>
      <c r="EY61" s="28">
        <v>0</v>
      </c>
      <c r="EZ61" s="28">
        <v>0</v>
      </c>
      <c r="FA61" s="28">
        <v>0</v>
      </c>
      <c r="FB61" s="28">
        <v>0</v>
      </c>
      <c r="FC61" s="28">
        <v>0</v>
      </c>
      <c r="FD61" s="28">
        <v>0</v>
      </c>
      <c r="FE61" s="28">
        <v>0</v>
      </c>
      <c r="FF61" s="28">
        <v>0</v>
      </c>
      <c r="FG61" s="28">
        <v>0</v>
      </c>
      <c r="FH61" s="28">
        <v>0</v>
      </c>
      <c r="FI61" s="28">
        <v>0</v>
      </c>
      <c r="FJ61" s="28">
        <v>0</v>
      </c>
      <c r="FK61" s="28">
        <v>0</v>
      </c>
      <c r="FL61" s="28">
        <v>0</v>
      </c>
      <c r="FM61" s="28">
        <v>0</v>
      </c>
      <c r="FN61" s="28">
        <v>0</v>
      </c>
      <c r="FO61" s="28">
        <v>0</v>
      </c>
      <c r="FP61" s="28">
        <v>0</v>
      </c>
      <c r="FQ61" s="28">
        <v>0</v>
      </c>
      <c r="FR61" s="28">
        <v>0</v>
      </c>
      <c r="FS61" s="28">
        <v>0</v>
      </c>
      <c r="FT61" s="28">
        <v>0</v>
      </c>
      <c r="FU61" s="28">
        <v>0</v>
      </c>
      <c r="FV61" s="28">
        <v>0</v>
      </c>
      <c r="FW61" s="28">
        <v>0</v>
      </c>
      <c r="FX61" s="28">
        <v>0</v>
      </c>
      <c r="FY61" s="28">
        <v>0</v>
      </c>
      <c r="FZ61" s="28">
        <v>0</v>
      </c>
      <c r="GA61" s="28">
        <v>0</v>
      </c>
      <c r="GB61" s="28">
        <v>0</v>
      </c>
      <c r="GC61" s="28">
        <v>0</v>
      </c>
      <c r="GD61" s="28">
        <v>0</v>
      </c>
      <c r="GE61" s="28">
        <v>0</v>
      </c>
      <c r="GF61" s="28">
        <v>0</v>
      </c>
      <c r="GG61" s="28">
        <v>0</v>
      </c>
      <c r="GH61" s="28">
        <v>0</v>
      </c>
      <c r="GI61" s="28">
        <v>0</v>
      </c>
      <c r="GJ61" s="28">
        <v>0</v>
      </c>
      <c r="GK61" s="28">
        <v>0</v>
      </c>
      <c r="GL61" s="28">
        <v>0</v>
      </c>
      <c r="GM61" s="28">
        <v>0</v>
      </c>
      <c r="GN61" s="28">
        <v>0</v>
      </c>
      <c r="GO61" s="28">
        <v>0</v>
      </c>
      <c r="GP61" s="28">
        <v>0</v>
      </c>
      <c r="GQ61" s="21">
        <v>2.283349698173515E-2</v>
      </c>
      <c r="GR61" s="21">
        <v>0</v>
      </c>
      <c r="GS61" s="20">
        <v>0</v>
      </c>
      <c r="GT61" s="20">
        <v>0</v>
      </c>
      <c r="GU61" s="20">
        <v>0</v>
      </c>
      <c r="GV61" s="20">
        <v>0</v>
      </c>
      <c r="GW61" s="20">
        <v>0</v>
      </c>
      <c r="GX61" s="21">
        <v>0.19674668913826501</v>
      </c>
      <c r="GY61" s="20">
        <v>0</v>
      </c>
      <c r="GZ61" s="20">
        <v>0.19674668913826501</v>
      </c>
      <c r="HA61" s="20"/>
      <c r="HB61" s="21">
        <v>3.0604198138799998</v>
      </c>
      <c r="HC61" s="21">
        <v>3.28</v>
      </c>
    </row>
    <row r="62" spans="1:211" s="7" customFormat="1" ht="17.25" customHeight="1">
      <c r="A62" s="7">
        <f t="shared" si="8"/>
        <v>62</v>
      </c>
      <c r="B62" s="26" t="s">
        <v>49</v>
      </c>
      <c r="C62" s="9" t="s">
        <v>461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0</v>
      </c>
      <c r="BG62" s="28">
        <v>0</v>
      </c>
      <c r="BH62" s="28">
        <v>0</v>
      </c>
      <c r="BI62" s="28">
        <v>0</v>
      </c>
      <c r="BJ62" s="28">
        <v>0</v>
      </c>
      <c r="BK62" s="28">
        <v>0</v>
      </c>
      <c r="BL62" s="28">
        <v>0</v>
      </c>
      <c r="BM62" s="28">
        <v>0</v>
      </c>
      <c r="BN62" s="28">
        <v>0</v>
      </c>
      <c r="BO62" s="28">
        <v>0</v>
      </c>
      <c r="BP62" s="28">
        <v>0</v>
      </c>
      <c r="BQ62" s="28">
        <v>0</v>
      </c>
      <c r="BR62" s="28">
        <v>0</v>
      </c>
      <c r="BS62" s="28">
        <v>0</v>
      </c>
      <c r="BT62" s="28">
        <v>0</v>
      </c>
      <c r="BU62" s="28">
        <v>0</v>
      </c>
      <c r="BV62" s="28">
        <v>0</v>
      </c>
      <c r="BW62" s="28">
        <v>0</v>
      </c>
      <c r="BX62" s="28">
        <v>0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0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0</v>
      </c>
      <c r="CP62" s="28">
        <v>0</v>
      </c>
      <c r="CQ62" s="28">
        <v>0</v>
      </c>
      <c r="CR62" s="28">
        <v>0</v>
      </c>
      <c r="CS62" s="28">
        <v>0</v>
      </c>
      <c r="CT62" s="28">
        <v>0</v>
      </c>
      <c r="CU62" s="28">
        <v>0</v>
      </c>
      <c r="CV62" s="28">
        <v>0</v>
      </c>
      <c r="CW62" s="28">
        <v>0</v>
      </c>
      <c r="CX62" s="28">
        <v>0</v>
      </c>
      <c r="CY62" s="28">
        <v>0</v>
      </c>
      <c r="CZ62" s="28">
        <v>0</v>
      </c>
      <c r="DA62" s="28">
        <v>0</v>
      </c>
      <c r="DB62" s="28">
        <v>0</v>
      </c>
      <c r="DC62" s="28">
        <v>0</v>
      </c>
      <c r="DD62" s="28">
        <v>0</v>
      </c>
      <c r="DE62" s="28">
        <v>0</v>
      </c>
      <c r="DF62" s="28">
        <v>0</v>
      </c>
      <c r="DG62" s="28">
        <v>0</v>
      </c>
      <c r="DH62" s="28">
        <v>0</v>
      </c>
      <c r="DI62" s="28">
        <v>0</v>
      </c>
      <c r="DJ62" s="28">
        <v>0</v>
      </c>
      <c r="DK62" s="28">
        <v>0</v>
      </c>
      <c r="DL62" s="28">
        <v>8.9066645000545694</v>
      </c>
      <c r="DM62" s="28">
        <v>0</v>
      </c>
      <c r="DN62" s="28">
        <v>0</v>
      </c>
      <c r="DO62" s="28">
        <v>0</v>
      </c>
      <c r="DP62" s="28">
        <v>0</v>
      </c>
      <c r="DQ62" s="28">
        <v>0</v>
      </c>
      <c r="DR62" s="28">
        <v>0</v>
      </c>
      <c r="DS62" s="28">
        <v>0</v>
      </c>
      <c r="DT62" s="28">
        <v>0</v>
      </c>
      <c r="DU62" s="28">
        <v>0</v>
      </c>
      <c r="DV62" s="28">
        <v>0</v>
      </c>
      <c r="DW62" s="28">
        <v>0</v>
      </c>
      <c r="DX62" s="28">
        <v>0</v>
      </c>
      <c r="DY62" s="28">
        <v>0</v>
      </c>
      <c r="DZ62" s="28">
        <v>0</v>
      </c>
      <c r="EA62" s="28">
        <v>0</v>
      </c>
      <c r="EB62" s="28">
        <v>0</v>
      </c>
      <c r="EC62" s="28">
        <v>0</v>
      </c>
      <c r="ED62" s="28">
        <v>0</v>
      </c>
      <c r="EE62" s="28">
        <v>0</v>
      </c>
      <c r="EF62" s="28">
        <v>0</v>
      </c>
      <c r="EG62" s="28">
        <v>0</v>
      </c>
      <c r="EH62" s="28">
        <v>0</v>
      </c>
      <c r="EI62" s="28">
        <v>0</v>
      </c>
      <c r="EJ62" s="28">
        <v>0</v>
      </c>
      <c r="EK62" s="28">
        <v>0</v>
      </c>
      <c r="EL62" s="28">
        <v>0</v>
      </c>
      <c r="EM62" s="28">
        <v>0</v>
      </c>
      <c r="EN62" s="28">
        <v>0</v>
      </c>
      <c r="EO62" s="28">
        <v>0</v>
      </c>
      <c r="EP62" s="28">
        <v>0</v>
      </c>
      <c r="EQ62" s="28">
        <v>0</v>
      </c>
      <c r="ER62" s="28">
        <v>0</v>
      </c>
      <c r="ES62" s="28">
        <v>0</v>
      </c>
      <c r="ET62" s="28">
        <v>0</v>
      </c>
      <c r="EU62" s="28">
        <v>0</v>
      </c>
      <c r="EV62" s="28">
        <v>0</v>
      </c>
      <c r="EW62" s="28">
        <v>0</v>
      </c>
      <c r="EX62" s="28">
        <v>0</v>
      </c>
      <c r="EY62" s="28">
        <v>0</v>
      </c>
      <c r="EZ62" s="28">
        <v>0</v>
      </c>
      <c r="FA62" s="28">
        <v>0</v>
      </c>
      <c r="FB62" s="28">
        <v>0</v>
      </c>
      <c r="FC62" s="28">
        <v>0</v>
      </c>
      <c r="FD62" s="28">
        <v>0</v>
      </c>
      <c r="FE62" s="28">
        <v>0</v>
      </c>
      <c r="FF62" s="28">
        <v>0</v>
      </c>
      <c r="FG62" s="28">
        <v>0</v>
      </c>
      <c r="FH62" s="28">
        <v>0</v>
      </c>
      <c r="FI62" s="28">
        <v>0</v>
      </c>
      <c r="FJ62" s="28">
        <v>0</v>
      </c>
      <c r="FK62" s="28">
        <v>0</v>
      </c>
      <c r="FL62" s="28">
        <v>0</v>
      </c>
      <c r="FM62" s="28">
        <v>0</v>
      </c>
      <c r="FN62" s="28">
        <v>0</v>
      </c>
      <c r="FO62" s="28">
        <v>0</v>
      </c>
      <c r="FP62" s="28">
        <v>0</v>
      </c>
      <c r="FQ62" s="28">
        <v>0</v>
      </c>
      <c r="FR62" s="28">
        <v>0</v>
      </c>
      <c r="FS62" s="28">
        <v>0</v>
      </c>
      <c r="FT62" s="28">
        <v>0</v>
      </c>
      <c r="FU62" s="28">
        <v>0</v>
      </c>
      <c r="FV62" s="28">
        <v>0</v>
      </c>
      <c r="FW62" s="28">
        <v>0</v>
      </c>
      <c r="FX62" s="28">
        <v>0</v>
      </c>
      <c r="FY62" s="28">
        <v>0</v>
      </c>
      <c r="FZ62" s="28">
        <v>0</v>
      </c>
      <c r="GA62" s="28">
        <v>0</v>
      </c>
      <c r="GB62" s="28">
        <v>0</v>
      </c>
      <c r="GC62" s="28">
        <v>0</v>
      </c>
      <c r="GD62" s="28">
        <v>0</v>
      </c>
      <c r="GE62" s="28">
        <v>0</v>
      </c>
      <c r="GF62" s="28">
        <v>0</v>
      </c>
      <c r="GG62" s="28">
        <v>0</v>
      </c>
      <c r="GH62" s="28">
        <v>0</v>
      </c>
      <c r="GI62" s="28">
        <v>0</v>
      </c>
      <c r="GJ62" s="28">
        <v>0</v>
      </c>
      <c r="GK62" s="28">
        <v>0</v>
      </c>
      <c r="GL62" s="28">
        <v>0</v>
      </c>
      <c r="GM62" s="28">
        <v>0</v>
      </c>
      <c r="GN62" s="28">
        <v>0</v>
      </c>
      <c r="GO62" s="28">
        <v>0</v>
      </c>
      <c r="GP62" s="28">
        <v>0</v>
      </c>
      <c r="GQ62" s="21">
        <v>8.9066645000545694</v>
      </c>
      <c r="GR62" s="21">
        <v>0</v>
      </c>
      <c r="GS62" s="20">
        <v>0</v>
      </c>
      <c r="GT62" s="20">
        <v>0</v>
      </c>
      <c r="GU62" s="20">
        <v>0</v>
      </c>
      <c r="GV62" s="20">
        <v>0</v>
      </c>
      <c r="GW62" s="20">
        <v>0</v>
      </c>
      <c r="GX62" s="21">
        <v>-3.5840501962189801</v>
      </c>
      <c r="GY62" s="20">
        <v>0</v>
      </c>
      <c r="GZ62" s="20">
        <v>-3.5840501962189801</v>
      </c>
      <c r="HA62" s="20"/>
      <c r="HB62" s="21">
        <v>112.081819893408</v>
      </c>
      <c r="HC62" s="21">
        <v>117.40443419724359</v>
      </c>
    </row>
    <row r="63" spans="1:211" s="7" customFormat="1" ht="17.25" customHeight="1">
      <c r="A63" s="7">
        <f t="shared" si="8"/>
        <v>63</v>
      </c>
      <c r="B63" s="26" t="s">
        <v>50</v>
      </c>
      <c r="C63" s="9" t="s">
        <v>462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8">
        <v>0</v>
      </c>
      <c r="BE63" s="28">
        <v>0</v>
      </c>
      <c r="BF63" s="28">
        <v>0</v>
      </c>
      <c r="BG63" s="28">
        <v>0</v>
      </c>
      <c r="BH63" s="28">
        <v>0</v>
      </c>
      <c r="BI63" s="28">
        <v>0</v>
      </c>
      <c r="BJ63" s="28">
        <v>0</v>
      </c>
      <c r="BK63" s="28">
        <v>0</v>
      </c>
      <c r="BL63" s="28">
        <v>0</v>
      </c>
      <c r="BM63" s="28">
        <v>0</v>
      </c>
      <c r="BN63" s="28">
        <v>0</v>
      </c>
      <c r="BO63" s="28">
        <v>0</v>
      </c>
      <c r="BP63" s="28">
        <v>0</v>
      </c>
      <c r="BQ63" s="28">
        <v>0</v>
      </c>
      <c r="BR63" s="28">
        <v>0</v>
      </c>
      <c r="BS63" s="28">
        <v>0</v>
      </c>
      <c r="BT63" s="28">
        <v>0</v>
      </c>
      <c r="BU63" s="28">
        <v>0</v>
      </c>
      <c r="BV63" s="28">
        <v>0</v>
      </c>
      <c r="BW63" s="28">
        <v>0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0</v>
      </c>
      <c r="CH63" s="28">
        <v>0</v>
      </c>
      <c r="CI63" s="28">
        <v>0</v>
      </c>
      <c r="CJ63" s="28">
        <v>0</v>
      </c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0</v>
      </c>
      <c r="CQ63" s="28">
        <v>0</v>
      </c>
      <c r="CR63" s="28">
        <v>0</v>
      </c>
      <c r="CS63" s="28">
        <v>0</v>
      </c>
      <c r="CT63" s="28">
        <v>0</v>
      </c>
      <c r="CU63" s="28">
        <v>0</v>
      </c>
      <c r="CV63" s="28">
        <v>0</v>
      </c>
      <c r="CW63" s="28">
        <v>0</v>
      </c>
      <c r="CX63" s="28">
        <v>0</v>
      </c>
      <c r="CY63" s="28">
        <v>0</v>
      </c>
      <c r="CZ63" s="28">
        <v>0</v>
      </c>
      <c r="DA63" s="28">
        <v>0</v>
      </c>
      <c r="DB63" s="28">
        <v>0</v>
      </c>
      <c r="DC63" s="28">
        <v>0</v>
      </c>
      <c r="DD63" s="28">
        <v>0</v>
      </c>
      <c r="DE63" s="28">
        <v>0</v>
      </c>
      <c r="DF63" s="28">
        <v>0</v>
      </c>
      <c r="DG63" s="28">
        <v>0</v>
      </c>
      <c r="DH63" s="28">
        <v>0</v>
      </c>
      <c r="DI63" s="28">
        <v>0</v>
      </c>
      <c r="DJ63" s="28">
        <v>0</v>
      </c>
      <c r="DK63" s="28">
        <v>0</v>
      </c>
      <c r="DL63" s="28">
        <v>0</v>
      </c>
      <c r="DM63" s="28">
        <v>0</v>
      </c>
      <c r="DN63" s="28">
        <v>0</v>
      </c>
      <c r="DO63" s="28">
        <v>0</v>
      </c>
      <c r="DP63" s="28">
        <v>0</v>
      </c>
      <c r="DQ63" s="28">
        <v>0</v>
      </c>
      <c r="DR63" s="28">
        <v>0</v>
      </c>
      <c r="DS63" s="28">
        <v>0</v>
      </c>
      <c r="DT63" s="28">
        <v>0</v>
      </c>
      <c r="DU63" s="28">
        <v>0</v>
      </c>
      <c r="DV63" s="28">
        <v>0</v>
      </c>
      <c r="DW63" s="28">
        <v>0</v>
      </c>
      <c r="DX63" s="28">
        <v>0</v>
      </c>
      <c r="DY63" s="28">
        <v>0</v>
      </c>
      <c r="DZ63" s="28">
        <v>0</v>
      </c>
      <c r="EA63" s="28">
        <v>0</v>
      </c>
      <c r="EB63" s="28">
        <v>0</v>
      </c>
      <c r="EC63" s="28">
        <v>0</v>
      </c>
      <c r="ED63" s="28">
        <v>0</v>
      </c>
      <c r="EE63" s="28">
        <v>0</v>
      </c>
      <c r="EF63" s="28">
        <v>0</v>
      </c>
      <c r="EG63" s="28">
        <v>537.20066036820504</v>
      </c>
      <c r="EH63" s="28">
        <v>0</v>
      </c>
      <c r="EI63" s="28">
        <v>0</v>
      </c>
      <c r="EJ63" s="28">
        <v>0</v>
      </c>
      <c r="EK63" s="28">
        <v>0</v>
      </c>
      <c r="EL63" s="28">
        <v>0</v>
      </c>
      <c r="EM63" s="28">
        <v>0</v>
      </c>
      <c r="EN63" s="28">
        <v>0</v>
      </c>
      <c r="EO63" s="28">
        <v>0</v>
      </c>
      <c r="EP63" s="28">
        <v>0</v>
      </c>
      <c r="EQ63" s="28">
        <v>0</v>
      </c>
      <c r="ER63" s="28">
        <v>0</v>
      </c>
      <c r="ES63" s="28">
        <v>0</v>
      </c>
      <c r="ET63" s="28">
        <v>0</v>
      </c>
      <c r="EU63" s="28">
        <v>0</v>
      </c>
      <c r="EV63" s="28">
        <v>0</v>
      </c>
      <c r="EW63" s="28">
        <v>0</v>
      </c>
      <c r="EX63" s="28">
        <v>0</v>
      </c>
      <c r="EY63" s="28">
        <v>0</v>
      </c>
      <c r="EZ63" s="28">
        <v>0</v>
      </c>
      <c r="FA63" s="28">
        <v>0</v>
      </c>
      <c r="FB63" s="28">
        <v>0</v>
      </c>
      <c r="FC63" s="28">
        <v>0</v>
      </c>
      <c r="FD63" s="28">
        <v>0</v>
      </c>
      <c r="FE63" s="28">
        <v>0</v>
      </c>
      <c r="FF63" s="28">
        <v>0</v>
      </c>
      <c r="FG63" s="28">
        <v>0</v>
      </c>
      <c r="FH63" s="28">
        <v>0</v>
      </c>
      <c r="FI63" s="28">
        <v>0</v>
      </c>
      <c r="FJ63" s="28">
        <v>0</v>
      </c>
      <c r="FK63" s="28">
        <v>0</v>
      </c>
      <c r="FL63" s="28">
        <v>0</v>
      </c>
      <c r="FM63" s="28">
        <v>0</v>
      </c>
      <c r="FN63" s="28">
        <v>0</v>
      </c>
      <c r="FO63" s="28">
        <v>0</v>
      </c>
      <c r="FP63" s="28">
        <v>0</v>
      </c>
      <c r="FQ63" s="28">
        <v>0</v>
      </c>
      <c r="FR63" s="28">
        <v>0</v>
      </c>
      <c r="FS63" s="28">
        <v>0</v>
      </c>
      <c r="FT63" s="28">
        <v>0</v>
      </c>
      <c r="FU63" s="28">
        <v>0</v>
      </c>
      <c r="FV63" s="28">
        <v>0</v>
      </c>
      <c r="FW63" s="28">
        <v>0</v>
      </c>
      <c r="FX63" s="28">
        <v>0</v>
      </c>
      <c r="FY63" s="28">
        <v>0</v>
      </c>
      <c r="FZ63" s="28">
        <v>0</v>
      </c>
      <c r="GA63" s="28">
        <v>0</v>
      </c>
      <c r="GB63" s="28">
        <v>0</v>
      </c>
      <c r="GC63" s="28">
        <v>0</v>
      </c>
      <c r="GD63" s="28">
        <v>0</v>
      </c>
      <c r="GE63" s="28">
        <v>0</v>
      </c>
      <c r="GF63" s="28">
        <v>0</v>
      </c>
      <c r="GG63" s="28">
        <v>0</v>
      </c>
      <c r="GH63" s="28">
        <v>0</v>
      </c>
      <c r="GI63" s="28">
        <v>0</v>
      </c>
      <c r="GJ63" s="28">
        <v>0</v>
      </c>
      <c r="GK63" s="28">
        <v>0</v>
      </c>
      <c r="GL63" s="28">
        <v>0</v>
      </c>
      <c r="GM63" s="28">
        <v>0</v>
      </c>
      <c r="GN63" s="28">
        <v>0</v>
      </c>
      <c r="GO63" s="28">
        <v>0</v>
      </c>
      <c r="GP63" s="28">
        <v>0</v>
      </c>
      <c r="GQ63" s="21">
        <v>537.20066036820504</v>
      </c>
      <c r="GR63" s="21">
        <v>0</v>
      </c>
      <c r="GS63" s="20">
        <v>0</v>
      </c>
      <c r="GT63" s="20">
        <v>0</v>
      </c>
      <c r="GU63" s="20">
        <v>0</v>
      </c>
      <c r="GV63" s="20">
        <v>0</v>
      </c>
      <c r="GW63" s="20">
        <v>0</v>
      </c>
      <c r="GX63" s="21">
        <v>-176.17480050136601</v>
      </c>
      <c r="GY63" s="20">
        <v>0</v>
      </c>
      <c r="GZ63" s="20">
        <v>-176.17480050136601</v>
      </c>
      <c r="HA63" s="20"/>
      <c r="HB63" s="21">
        <v>2656.42097295034</v>
      </c>
      <c r="HC63" s="21">
        <v>3017.4468328171788</v>
      </c>
    </row>
    <row r="64" spans="1:211" s="7" customFormat="1" ht="17.25" customHeight="1">
      <c r="A64" s="7">
        <f t="shared" si="8"/>
        <v>64</v>
      </c>
      <c r="B64" s="26" t="s">
        <v>51</v>
      </c>
      <c r="C64" s="10" t="s">
        <v>463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5995.6946540497202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  <c r="EU64" s="28">
        <v>0</v>
      </c>
      <c r="EV64" s="28">
        <v>0</v>
      </c>
      <c r="EW64" s="28">
        <v>0</v>
      </c>
      <c r="EX64" s="28">
        <v>0</v>
      </c>
      <c r="EY64" s="28">
        <v>0</v>
      </c>
      <c r="EZ64" s="28">
        <v>0</v>
      </c>
      <c r="FA64" s="28">
        <v>0</v>
      </c>
      <c r="FB64" s="28">
        <v>0</v>
      </c>
      <c r="FC64" s="28">
        <v>0</v>
      </c>
      <c r="FD64" s="28">
        <v>0</v>
      </c>
      <c r="FE64" s="28">
        <v>0</v>
      </c>
      <c r="FF64" s="28">
        <v>0</v>
      </c>
      <c r="FG64" s="28">
        <v>0</v>
      </c>
      <c r="FH64" s="28">
        <v>0</v>
      </c>
      <c r="FI64" s="28">
        <v>0</v>
      </c>
      <c r="FJ64" s="28">
        <v>0</v>
      </c>
      <c r="FK64" s="28">
        <v>0</v>
      </c>
      <c r="FL64" s="28">
        <v>0</v>
      </c>
      <c r="FM64" s="28">
        <v>0</v>
      </c>
      <c r="FN64" s="28">
        <v>0</v>
      </c>
      <c r="FO64" s="28">
        <v>0</v>
      </c>
      <c r="FP64" s="28">
        <v>0</v>
      </c>
      <c r="FQ64" s="28">
        <v>0</v>
      </c>
      <c r="FR64" s="28">
        <v>0</v>
      </c>
      <c r="FS64" s="28">
        <v>0</v>
      </c>
      <c r="FT64" s="28">
        <v>0</v>
      </c>
      <c r="FU64" s="28">
        <v>0</v>
      </c>
      <c r="FV64" s="28">
        <v>0</v>
      </c>
      <c r="FW64" s="28">
        <v>0</v>
      </c>
      <c r="FX64" s="28">
        <v>0</v>
      </c>
      <c r="FY64" s="28">
        <v>0</v>
      </c>
      <c r="FZ64" s="28">
        <v>0</v>
      </c>
      <c r="GA64" s="28">
        <v>0</v>
      </c>
      <c r="GB64" s="28">
        <v>0</v>
      </c>
      <c r="GC64" s="28">
        <v>0</v>
      </c>
      <c r="GD64" s="28">
        <v>0</v>
      </c>
      <c r="GE64" s="28">
        <v>0</v>
      </c>
      <c r="GF64" s="28">
        <v>0</v>
      </c>
      <c r="GG64" s="28">
        <v>0</v>
      </c>
      <c r="GH64" s="28">
        <v>0</v>
      </c>
      <c r="GI64" s="28">
        <v>0</v>
      </c>
      <c r="GJ64" s="28">
        <v>0</v>
      </c>
      <c r="GK64" s="28">
        <v>0</v>
      </c>
      <c r="GL64" s="28">
        <v>0</v>
      </c>
      <c r="GM64" s="28">
        <v>0</v>
      </c>
      <c r="GN64" s="28">
        <v>0</v>
      </c>
      <c r="GO64" s="28">
        <v>0</v>
      </c>
      <c r="GP64" s="28">
        <v>0</v>
      </c>
      <c r="GQ64" s="21">
        <v>5995.6946540497202</v>
      </c>
      <c r="GR64" s="21">
        <v>0</v>
      </c>
      <c r="GS64" s="20">
        <v>0</v>
      </c>
      <c r="GT64" s="20">
        <v>0</v>
      </c>
      <c r="GU64" s="20">
        <v>0</v>
      </c>
      <c r="GV64" s="20">
        <v>0</v>
      </c>
      <c r="GW64" s="20">
        <v>0</v>
      </c>
      <c r="GX64" s="21">
        <v>2.4621402056969202</v>
      </c>
      <c r="GY64" s="20">
        <v>0</v>
      </c>
      <c r="GZ64" s="20">
        <v>2.4621402056969202</v>
      </c>
      <c r="HA64" s="20"/>
      <c r="HB64" s="21">
        <v>35.525554963487998</v>
      </c>
      <c r="HC64" s="21">
        <v>6033.6823492189051</v>
      </c>
    </row>
    <row r="65" spans="1:211" s="7" customFormat="1" ht="17.25" customHeight="1">
      <c r="A65" s="7">
        <f t="shared" si="8"/>
        <v>65</v>
      </c>
      <c r="B65" s="26" t="s">
        <v>52</v>
      </c>
      <c r="C65" s="9" t="s">
        <v>464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8">
        <v>0</v>
      </c>
      <c r="AO65" s="28">
        <v>0</v>
      </c>
      <c r="AP65" s="28">
        <v>0</v>
      </c>
      <c r="AQ65" s="28">
        <v>0</v>
      </c>
      <c r="AR65" s="28">
        <v>0</v>
      </c>
      <c r="AS65" s="28">
        <v>0</v>
      </c>
      <c r="AT65" s="28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0</v>
      </c>
      <c r="BJ65" s="28">
        <v>0</v>
      </c>
      <c r="BK65" s="28">
        <v>0</v>
      </c>
      <c r="BL65" s="28">
        <v>0</v>
      </c>
      <c r="BM65" s="28">
        <v>0</v>
      </c>
      <c r="BN65" s="28">
        <v>0</v>
      </c>
      <c r="BO65" s="28">
        <v>0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0</v>
      </c>
      <c r="BV65" s="28">
        <v>0</v>
      </c>
      <c r="BW65" s="28">
        <v>0</v>
      </c>
      <c r="BX65" s="28">
        <v>0</v>
      </c>
      <c r="BY65" s="28">
        <v>0</v>
      </c>
      <c r="BZ65" s="28">
        <v>0</v>
      </c>
      <c r="CA65" s="28">
        <v>0</v>
      </c>
      <c r="CB65" s="28">
        <v>0</v>
      </c>
      <c r="CC65" s="28">
        <v>0</v>
      </c>
      <c r="CD65" s="28">
        <v>0</v>
      </c>
      <c r="CE65" s="28">
        <v>0</v>
      </c>
      <c r="CF65" s="28">
        <v>0</v>
      </c>
      <c r="CG65" s="28">
        <v>0</v>
      </c>
      <c r="CH65" s="28">
        <v>0</v>
      </c>
      <c r="CI65" s="28">
        <v>0</v>
      </c>
      <c r="CJ65" s="28">
        <v>0</v>
      </c>
      <c r="CK65" s="28">
        <v>0</v>
      </c>
      <c r="CL65" s="28">
        <v>0</v>
      </c>
      <c r="CM65" s="28">
        <v>0</v>
      </c>
      <c r="CN65" s="28">
        <v>0</v>
      </c>
      <c r="CO65" s="28">
        <v>0</v>
      </c>
      <c r="CP65" s="28">
        <v>0</v>
      </c>
      <c r="CQ65" s="28">
        <v>0</v>
      </c>
      <c r="CR65" s="28">
        <v>0</v>
      </c>
      <c r="CS65" s="28">
        <v>0</v>
      </c>
      <c r="CT65" s="28">
        <v>0</v>
      </c>
      <c r="CU65" s="28">
        <v>0</v>
      </c>
      <c r="CV65" s="28">
        <v>0</v>
      </c>
      <c r="CW65" s="28">
        <v>0</v>
      </c>
      <c r="CX65" s="28">
        <v>0</v>
      </c>
      <c r="CY65" s="28">
        <v>0</v>
      </c>
      <c r="CZ65" s="28">
        <v>0</v>
      </c>
      <c r="DA65" s="28">
        <v>0</v>
      </c>
      <c r="DB65" s="28">
        <v>0</v>
      </c>
      <c r="DC65" s="28">
        <v>0</v>
      </c>
      <c r="DD65" s="28">
        <v>0</v>
      </c>
      <c r="DE65" s="28">
        <v>0</v>
      </c>
      <c r="DF65" s="28">
        <v>0</v>
      </c>
      <c r="DG65" s="28">
        <v>0</v>
      </c>
      <c r="DH65" s="28">
        <v>0</v>
      </c>
      <c r="DI65" s="28">
        <v>0</v>
      </c>
      <c r="DJ65" s="28">
        <v>0</v>
      </c>
      <c r="DK65" s="28">
        <v>0</v>
      </c>
      <c r="DL65" s="28">
        <v>0</v>
      </c>
      <c r="DM65" s="28">
        <v>0</v>
      </c>
      <c r="DN65" s="28">
        <v>0</v>
      </c>
      <c r="DO65" s="28">
        <v>0</v>
      </c>
      <c r="DP65" s="28">
        <v>0</v>
      </c>
      <c r="DQ65" s="28">
        <v>0</v>
      </c>
      <c r="DR65" s="28">
        <v>0</v>
      </c>
      <c r="DS65" s="28">
        <v>0</v>
      </c>
      <c r="DT65" s="28">
        <v>0</v>
      </c>
      <c r="DU65" s="28">
        <v>0</v>
      </c>
      <c r="DV65" s="28">
        <v>0</v>
      </c>
      <c r="DW65" s="28">
        <v>0</v>
      </c>
      <c r="DX65" s="28">
        <v>0</v>
      </c>
      <c r="DY65" s="28">
        <v>0</v>
      </c>
      <c r="DZ65" s="28">
        <v>0</v>
      </c>
      <c r="EA65" s="28">
        <v>0</v>
      </c>
      <c r="EB65" s="28">
        <v>0</v>
      </c>
      <c r="EC65" s="28">
        <v>0</v>
      </c>
      <c r="ED65" s="28">
        <v>0</v>
      </c>
      <c r="EE65" s="28">
        <v>2029.2115412563301</v>
      </c>
      <c r="EF65" s="28">
        <v>0</v>
      </c>
      <c r="EG65" s="28">
        <v>0</v>
      </c>
      <c r="EH65" s="28">
        <v>0</v>
      </c>
      <c r="EI65" s="28">
        <v>0</v>
      </c>
      <c r="EJ65" s="28">
        <v>0</v>
      </c>
      <c r="EK65" s="28">
        <v>0</v>
      </c>
      <c r="EL65" s="28">
        <v>0</v>
      </c>
      <c r="EM65" s="28">
        <v>0</v>
      </c>
      <c r="EN65" s="28">
        <v>0</v>
      </c>
      <c r="EO65" s="28">
        <v>0</v>
      </c>
      <c r="EP65" s="28">
        <v>0</v>
      </c>
      <c r="EQ65" s="28">
        <v>0</v>
      </c>
      <c r="ER65" s="28">
        <v>0</v>
      </c>
      <c r="ES65" s="28">
        <v>0</v>
      </c>
      <c r="ET65" s="28">
        <v>0</v>
      </c>
      <c r="EU65" s="28">
        <v>0</v>
      </c>
      <c r="EV65" s="28">
        <v>0</v>
      </c>
      <c r="EW65" s="28">
        <v>0</v>
      </c>
      <c r="EX65" s="28">
        <v>0</v>
      </c>
      <c r="EY65" s="28">
        <v>0</v>
      </c>
      <c r="EZ65" s="28">
        <v>0</v>
      </c>
      <c r="FA65" s="28">
        <v>0</v>
      </c>
      <c r="FB65" s="28">
        <v>0</v>
      </c>
      <c r="FC65" s="28">
        <v>0</v>
      </c>
      <c r="FD65" s="28">
        <v>0</v>
      </c>
      <c r="FE65" s="28">
        <v>0</v>
      </c>
      <c r="FF65" s="28">
        <v>0</v>
      </c>
      <c r="FG65" s="28">
        <v>0</v>
      </c>
      <c r="FH65" s="28">
        <v>0</v>
      </c>
      <c r="FI65" s="28">
        <v>0</v>
      </c>
      <c r="FJ65" s="28">
        <v>0</v>
      </c>
      <c r="FK65" s="28">
        <v>0</v>
      </c>
      <c r="FL65" s="28">
        <v>0</v>
      </c>
      <c r="FM65" s="28">
        <v>0</v>
      </c>
      <c r="FN65" s="28">
        <v>0</v>
      </c>
      <c r="FO65" s="28">
        <v>0</v>
      </c>
      <c r="FP65" s="28">
        <v>0</v>
      </c>
      <c r="FQ65" s="28">
        <v>0</v>
      </c>
      <c r="FR65" s="28">
        <v>0</v>
      </c>
      <c r="FS65" s="28">
        <v>0</v>
      </c>
      <c r="FT65" s="28">
        <v>0</v>
      </c>
      <c r="FU65" s="28">
        <v>0</v>
      </c>
      <c r="FV65" s="28">
        <v>0</v>
      </c>
      <c r="FW65" s="28">
        <v>0</v>
      </c>
      <c r="FX65" s="28">
        <v>0</v>
      </c>
      <c r="FY65" s="28">
        <v>0</v>
      </c>
      <c r="FZ65" s="28">
        <v>0</v>
      </c>
      <c r="GA65" s="28">
        <v>0</v>
      </c>
      <c r="GB65" s="28">
        <v>0</v>
      </c>
      <c r="GC65" s="28">
        <v>0</v>
      </c>
      <c r="GD65" s="28">
        <v>0</v>
      </c>
      <c r="GE65" s="28">
        <v>0</v>
      </c>
      <c r="GF65" s="28">
        <v>0</v>
      </c>
      <c r="GG65" s="28">
        <v>0</v>
      </c>
      <c r="GH65" s="28">
        <v>0</v>
      </c>
      <c r="GI65" s="28">
        <v>0</v>
      </c>
      <c r="GJ65" s="28">
        <v>0</v>
      </c>
      <c r="GK65" s="28">
        <v>0</v>
      </c>
      <c r="GL65" s="28">
        <v>0</v>
      </c>
      <c r="GM65" s="28">
        <v>0</v>
      </c>
      <c r="GN65" s="28">
        <v>0</v>
      </c>
      <c r="GO65" s="28">
        <v>0</v>
      </c>
      <c r="GP65" s="28">
        <v>0</v>
      </c>
      <c r="GQ65" s="21">
        <v>2029.2115412563301</v>
      </c>
      <c r="GR65" s="21">
        <v>0</v>
      </c>
      <c r="GS65" s="20">
        <v>0</v>
      </c>
      <c r="GT65" s="20">
        <v>0</v>
      </c>
      <c r="GU65" s="20">
        <v>0</v>
      </c>
      <c r="GV65" s="20">
        <v>0</v>
      </c>
      <c r="GW65" s="20">
        <v>0</v>
      </c>
      <c r="GX65" s="21">
        <v>0.48076790997200203</v>
      </c>
      <c r="GY65" s="20">
        <v>0</v>
      </c>
      <c r="GZ65" s="20">
        <v>0.48076790997200203</v>
      </c>
      <c r="HA65" s="20"/>
      <c r="HB65" s="21">
        <v>11.430590183568</v>
      </c>
      <c r="HC65" s="21">
        <v>2041.1228993498701</v>
      </c>
    </row>
    <row r="66" spans="1:211" s="7" customFormat="1" ht="17.25" customHeight="1">
      <c r="A66" s="7">
        <f t="shared" si="8"/>
        <v>66</v>
      </c>
      <c r="B66" s="26" t="s">
        <v>465</v>
      </c>
      <c r="C66" s="9" t="s">
        <v>466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1.9620000000000002E-3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0</v>
      </c>
      <c r="DK66" s="28">
        <v>0</v>
      </c>
      <c r="DL66" s="28">
        <v>0</v>
      </c>
      <c r="DM66" s="28">
        <v>0</v>
      </c>
      <c r="DN66" s="28">
        <v>0</v>
      </c>
      <c r="DO66" s="28">
        <v>0</v>
      </c>
      <c r="DP66" s="28">
        <v>0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0</v>
      </c>
      <c r="EM66" s="28">
        <v>0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  <c r="EU66" s="28">
        <v>0</v>
      </c>
      <c r="EV66" s="28">
        <v>0</v>
      </c>
      <c r="EW66" s="28">
        <v>0</v>
      </c>
      <c r="EX66" s="28">
        <v>0</v>
      </c>
      <c r="EY66" s="28">
        <v>0</v>
      </c>
      <c r="EZ66" s="28">
        <v>0</v>
      </c>
      <c r="FA66" s="28">
        <v>0</v>
      </c>
      <c r="FB66" s="28">
        <v>0</v>
      </c>
      <c r="FC66" s="28">
        <v>0</v>
      </c>
      <c r="FD66" s="28">
        <v>0</v>
      </c>
      <c r="FE66" s="28">
        <v>0</v>
      </c>
      <c r="FF66" s="28">
        <v>0</v>
      </c>
      <c r="FG66" s="28">
        <v>0</v>
      </c>
      <c r="FH66" s="28">
        <v>0</v>
      </c>
      <c r="FI66" s="28">
        <v>0</v>
      </c>
      <c r="FJ66" s="28">
        <v>0</v>
      </c>
      <c r="FK66" s="28">
        <v>0</v>
      </c>
      <c r="FL66" s="28">
        <v>0</v>
      </c>
      <c r="FM66" s="28">
        <v>0</v>
      </c>
      <c r="FN66" s="28">
        <v>0</v>
      </c>
      <c r="FO66" s="28">
        <v>0</v>
      </c>
      <c r="FP66" s="28">
        <v>0</v>
      </c>
      <c r="FQ66" s="28">
        <v>0</v>
      </c>
      <c r="FR66" s="28">
        <v>0</v>
      </c>
      <c r="FS66" s="28">
        <v>0</v>
      </c>
      <c r="FT66" s="28">
        <v>0</v>
      </c>
      <c r="FU66" s="28">
        <v>0</v>
      </c>
      <c r="FV66" s="28">
        <v>0</v>
      </c>
      <c r="FW66" s="28">
        <v>0</v>
      </c>
      <c r="FX66" s="28">
        <v>0</v>
      </c>
      <c r="FY66" s="28">
        <v>0</v>
      </c>
      <c r="FZ66" s="28">
        <v>0</v>
      </c>
      <c r="GA66" s="28">
        <v>0</v>
      </c>
      <c r="GB66" s="28">
        <v>0</v>
      </c>
      <c r="GC66" s="28">
        <v>0</v>
      </c>
      <c r="GD66" s="28">
        <v>0</v>
      </c>
      <c r="GE66" s="28">
        <v>0</v>
      </c>
      <c r="GF66" s="28">
        <v>0</v>
      </c>
      <c r="GG66" s="28">
        <v>0</v>
      </c>
      <c r="GH66" s="28">
        <v>0</v>
      </c>
      <c r="GI66" s="28">
        <v>0</v>
      </c>
      <c r="GJ66" s="28">
        <v>0</v>
      </c>
      <c r="GK66" s="28">
        <v>0</v>
      </c>
      <c r="GL66" s="28">
        <v>0</v>
      </c>
      <c r="GM66" s="28">
        <v>0</v>
      </c>
      <c r="GN66" s="28">
        <v>0</v>
      </c>
      <c r="GO66" s="28">
        <v>0</v>
      </c>
      <c r="GP66" s="28">
        <v>0</v>
      </c>
      <c r="GQ66" s="21">
        <v>1.9620000000000002E-3</v>
      </c>
      <c r="GR66" s="21">
        <v>0</v>
      </c>
      <c r="GS66" s="20">
        <v>0</v>
      </c>
      <c r="GT66" s="20">
        <v>0</v>
      </c>
      <c r="GU66" s="20">
        <v>0</v>
      </c>
      <c r="GV66" s="20">
        <v>0</v>
      </c>
      <c r="GW66" s="20">
        <v>0</v>
      </c>
      <c r="GX66" s="21">
        <v>33.264468585021</v>
      </c>
      <c r="GY66" s="20">
        <v>0</v>
      </c>
      <c r="GZ66" s="20">
        <v>33.264468585021</v>
      </c>
      <c r="HA66" s="20"/>
      <c r="HB66" s="21">
        <v>5800.3966409627001</v>
      </c>
      <c r="HC66" s="21">
        <v>5833.6630715477213</v>
      </c>
    </row>
    <row r="67" spans="1:211" s="7" customFormat="1" ht="17.25" customHeight="1">
      <c r="A67" s="7">
        <f t="shared" si="8"/>
        <v>67</v>
      </c>
      <c r="B67" s="26" t="s">
        <v>467</v>
      </c>
      <c r="C67" s="9" t="s">
        <v>468</v>
      </c>
      <c r="D67" s="28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0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28">
        <v>0</v>
      </c>
      <c r="DQ67" s="28">
        <v>0</v>
      </c>
      <c r="DR67" s="28">
        <v>0</v>
      </c>
      <c r="DS67" s="28">
        <v>0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  <c r="EU67" s="28">
        <v>0</v>
      </c>
      <c r="EV67" s="28">
        <v>0</v>
      </c>
      <c r="EW67" s="28">
        <v>0</v>
      </c>
      <c r="EX67" s="28">
        <v>0</v>
      </c>
      <c r="EY67" s="28">
        <v>0</v>
      </c>
      <c r="EZ67" s="28">
        <v>0</v>
      </c>
      <c r="FA67" s="28">
        <v>0</v>
      </c>
      <c r="FB67" s="28">
        <v>0</v>
      </c>
      <c r="FC67" s="28">
        <v>0</v>
      </c>
      <c r="FD67" s="28">
        <v>0</v>
      </c>
      <c r="FE67" s="28">
        <v>0</v>
      </c>
      <c r="FF67" s="28">
        <v>0</v>
      </c>
      <c r="FG67" s="28">
        <v>0</v>
      </c>
      <c r="FH67" s="28">
        <v>0</v>
      </c>
      <c r="FI67" s="28">
        <v>0</v>
      </c>
      <c r="FJ67" s="28">
        <v>0</v>
      </c>
      <c r="FK67" s="28">
        <v>0</v>
      </c>
      <c r="FL67" s="28">
        <v>0</v>
      </c>
      <c r="FM67" s="28">
        <v>0</v>
      </c>
      <c r="FN67" s="28">
        <v>0</v>
      </c>
      <c r="FO67" s="28">
        <v>0</v>
      </c>
      <c r="FP67" s="28">
        <v>0</v>
      </c>
      <c r="FQ67" s="28">
        <v>0</v>
      </c>
      <c r="FR67" s="28">
        <v>0</v>
      </c>
      <c r="FS67" s="28">
        <v>0</v>
      </c>
      <c r="FT67" s="28">
        <v>0</v>
      </c>
      <c r="FU67" s="28">
        <v>0</v>
      </c>
      <c r="FV67" s="28">
        <v>0</v>
      </c>
      <c r="FW67" s="28">
        <v>0</v>
      </c>
      <c r="FX67" s="28">
        <v>0</v>
      </c>
      <c r="FY67" s="28">
        <v>0</v>
      </c>
      <c r="FZ67" s="28">
        <v>0</v>
      </c>
      <c r="GA67" s="28">
        <v>0</v>
      </c>
      <c r="GB67" s="28">
        <v>0</v>
      </c>
      <c r="GC67" s="28">
        <v>0</v>
      </c>
      <c r="GD67" s="28">
        <v>0</v>
      </c>
      <c r="GE67" s="28">
        <v>0</v>
      </c>
      <c r="GF67" s="28">
        <v>0</v>
      </c>
      <c r="GG67" s="28">
        <v>0</v>
      </c>
      <c r="GH67" s="28">
        <v>0</v>
      </c>
      <c r="GI67" s="28">
        <v>0</v>
      </c>
      <c r="GJ67" s="28">
        <v>0</v>
      </c>
      <c r="GK67" s="28">
        <v>0</v>
      </c>
      <c r="GL67" s="28">
        <v>0</v>
      </c>
      <c r="GM67" s="28">
        <v>0</v>
      </c>
      <c r="GN67" s="28">
        <v>0</v>
      </c>
      <c r="GO67" s="28">
        <v>0</v>
      </c>
      <c r="GP67" s="28">
        <v>0</v>
      </c>
      <c r="GQ67" s="21">
        <v>0</v>
      </c>
      <c r="GR67" s="21">
        <v>0</v>
      </c>
      <c r="GS67" s="20">
        <v>0</v>
      </c>
      <c r="GT67" s="20">
        <v>0</v>
      </c>
      <c r="GU67" s="20">
        <v>0</v>
      </c>
      <c r="GV67" s="20">
        <v>0</v>
      </c>
      <c r="GW67" s="20">
        <v>0</v>
      </c>
      <c r="GX67" s="21">
        <v>18.253865848109399</v>
      </c>
      <c r="GY67" s="20">
        <v>0</v>
      </c>
      <c r="GZ67" s="20">
        <v>18.253865848109399</v>
      </c>
      <c r="HA67" s="20"/>
      <c r="HB67" s="21">
        <v>1325.9175411264</v>
      </c>
      <c r="HC67" s="21">
        <v>1344.1714069745094</v>
      </c>
    </row>
    <row r="68" spans="1:211" s="7" customFormat="1" ht="17.25" customHeight="1">
      <c r="A68" s="7">
        <f t="shared" si="8"/>
        <v>68</v>
      </c>
      <c r="B68" s="26" t="s">
        <v>469</v>
      </c>
      <c r="C68" s="9" t="s">
        <v>470</v>
      </c>
      <c r="D68" s="28">
        <v>0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0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0</v>
      </c>
      <c r="AR68" s="28">
        <v>0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2.8290293568833298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0</v>
      </c>
      <c r="BH68" s="28">
        <v>0</v>
      </c>
      <c r="BI68" s="28">
        <v>0</v>
      </c>
      <c r="BJ68" s="28">
        <v>0</v>
      </c>
      <c r="BK68" s="28">
        <v>0</v>
      </c>
      <c r="BL68" s="28">
        <v>0</v>
      </c>
      <c r="BM68" s="28">
        <v>0</v>
      </c>
      <c r="BN68" s="28">
        <v>0</v>
      </c>
      <c r="BO68" s="28">
        <v>0</v>
      </c>
      <c r="BP68" s="28">
        <v>0</v>
      </c>
      <c r="BQ68" s="28">
        <v>0</v>
      </c>
      <c r="BR68" s="28">
        <v>0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28">
        <v>0</v>
      </c>
      <c r="CA68" s="28">
        <v>0</v>
      </c>
      <c r="CB68" s="28">
        <v>0</v>
      </c>
      <c r="CC68" s="28">
        <v>0</v>
      </c>
      <c r="CD68" s="28">
        <v>0</v>
      </c>
      <c r="CE68" s="28">
        <v>0</v>
      </c>
      <c r="CF68" s="28">
        <v>0</v>
      </c>
      <c r="CG68" s="28">
        <v>0</v>
      </c>
      <c r="CH68" s="28">
        <v>0</v>
      </c>
      <c r="CI68" s="28">
        <v>0</v>
      </c>
      <c r="CJ68" s="28">
        <v>0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0</v>
      </c>
      <c r="CQ68" s="28">
        <v>0</v>
      </c>
      <c r="CR68" s="28">
        <v>0</v>
      </c>
      <c r="CS68" s="28">
        <v>0</v>
      </c>
      <c r="CT68" s="28">
        <v>0</v>
      </c>
      <c r="CU68" s="28">
        <v>0</v>
      </c>
      <c r="CV68" s="28">
        <v>0</v>
      </c>
      <c r="CW68" s="28">
        <v>0</v>
      </c>
      <c r="CX68" s="28">
        <v>0</v>
      </c>
      <c r="CY68" s="28">
        <v>0</v>
      </c>
      <c r="CZ68" s="28">
        <v>0</v>
      </c>
      <c r="DA68" s="28">
        <v>0</v>
      </c>
      <c r="DB68" s="28">
        <v>0</v>
      </c>
      <c r="DC68" s="28">
        <v>0</v>
      </c>
      <c r="DD68" s="28">
        <v>0</v>
      </c>
      <c r="DE68" s="28">
        <v>0</v>
      </c>
      <c r="DF68" s="28">
        <v>0</v>
      </c>
      <c r="DG68" s="28">
        <v>0</v>
      </c>
      <c r="DH68" s="28">
        <v>0</v>
      </c>
      <c r="DI68" s="28">
        <v>0</v>
      </c>
      <c r="DJ68" s="28">
        <v>0</v>
      </c>
      <c r="DK68" s="28">
        <v>0</v>
      </c>
      <c r="DL68" s="28">
        <v>86.977523762596704</v>
      </c>
      <c r="DM68" s="28">
        <v>0</v>
      </c>
      <c r="DN68" s="28">
        <v>0</v>
      </c>
      <c r="DO68" s="28">
        <v>0</v>
      </c>
      <c r="DP68" s="28">
        <v>0</v>
      </c>
      <c r="DQ68" s="28">
        <v>0</v>
      </c>
      <c r="DR68" s="28">
        <v>0</v>
      </c>
      <c r="DS68" s="28">
        <v>0</v>
      </c>
      <c r="DT68" s="28">
        <v>0</v>
      </c>
      <c r="DU68" s="28">
        <v>0</v>
      </c>
      <c r="DV68" s="28">
        <v>0</v>
      </c>
      <c r="DW68" s="28">
        <v>0</v>
      </c>
      <c r="DX68" s="28">
        <v>0</v>
      </c>
      <c r="DY68" s="28">
        <v>3.27382062082196E-3</v>
      </c>
      <c r="DZ68" s="28">
        <v>0</v>
      </c>
      <c r="EA68" s="28">
        <v>0</v>
      </c>
      <c r="EB68" s="28">
        <v>0</v>
      </c>
      <c r="EC68" s="28">
        <v>0</v>
      </c>
      <c r="ED68" s="28">
        <v>0</v>
      </c>
      <c r="EE68" s="28">
        <v>0</v>
      </c>
      <c r="EF68" s="28">
        <v>0</v>
      </c>
      <c r="EG68" s="28">
        <v>0</v>
      </c>
      <c r="EH68" s="28">
        <v>20.302692634636301</v>
      </c>
      <c r="EI68" s="28">
        <v>24.76433914866</v>
      </c>
      <c r="EJ68" s="28">
        <v>2.9554508589137898</v>
      </c>
      <c r="EK68" s="28">
        <v>0</v>
      </c>
      <c r="EL68" s="28">
        <v>0</v>
      </c>
      <c r="EM68" s="28">
        <v>0</v>
      </c>
      <c r="EN68" s="28">
        <v>0</v>
      </c>
      <c r="EO68" s="28">
        <v>0</v>
      </c>
      <c r="EP68" s="28">
        <v>0</v>
      </c>
      <c r="EQ68" s="28">
        <v>0</v>
      </c>
      <c r="ER68" s="28">
        <v>0</v>
      </c>
      <c r="ES68" s="28">
        <v>0</v>
      </c>
      <c r="ET68" s="28">
        <v>0</v>
      </c>
      <c r="EU68" s="28">
        <v>0</v>
      </c>
      <c r="EV68" s="28">
        <v>0</v>
      </c>
      <c r="EW68" s="28">
        <v>0</v>
      </c>
      <c r="EX68" s="28">
        <v>0</v>
      </c>
      <c r="EY68" s="28">
        <v>0</v>
      </c>
      <c r="EZ68" s="28">
        <v>0</v>
      </c>
      <c r="FA68" s="28">
        <v>0</v>
      </c>
      <c r="FB68" s="28">
        <v>0</v>
      </c>
      <c r="FC68" s="28">
        <v>0</v>
      </c>
      <c r="FD68" s="28">
        <v>0</v>
      </c>
      <c r="FE68" s="28">
        <v>0</v>
      </c>
      <c r="FF68" s="28">
        <v>0</v>
      </c>
      <c r="FG68" s="28">
        <v>0</v>
      </c>
      <c r="FH68" s="28">
        <v>0</v>
      </c>
      <c r="FI68" s="28">
        <v>0</v>
      </c>
      <c r="FJ68" s="28">
        <v>0</v>
      </c>
      <c r="FK68" s="28">
        <v>0</v>
      </c>
      <c r="FL68" s="28">
        <v>0</v>
      </c>
      <c r="FM68" s="28">
        <v>0</v>
      </c>
      <c r="FN68" s="28">
        <v>0</v>
      </c>
      <c r="FO68" s="28">
        <v>0</v>
      </c>
      <c r="FP68" s="28">
        <v>0</v>
      </c>
      <c r="FQ68" s="28">
        <v>0</v>
      </c>
      <c r="FR68" s="28">
        <v>0</v>
      </c>
      <c r="FS68" s="28">
        <v>0</v>
      </c>
      <c r="FT68" s="28">
        <v>0</v>
      </c>
      <c r="FU68" s="28">
        <v>0</v>
      </c>
      <c r="FV68" s="28">
        <v>0</v>
      </c>
      <c r="FW68" s="28">
        <v>0</v>
      </c>
      <c r="FX68" s="28">
        <v>0</v>
      </c>
      <c r="FY68" s="28">
        <v>0</v>
      </c>
      <c r="FZ68" s="28">
        <v>0</v>
      </c>
      <c r="GA68" s="28">
        <v>0</v>
      </c>
      <c r="GB68" s="28">
        <v>0</v>
      </c>
      <c r="GC68" s="28">
        <v>0</v>
      </c>
      <c r="GD68" s="28">
        <v>0</v>
      </c>
      <c r="GE68" s="28">
        <v>0</v>
      </c>
      <c r="GF68" s="28">
        <v>0</v>
      </c>
      <c r="GG68" s="28">
        <v>0</v>
      </c>
      <c r="GH68" s="28">
        <v>0</v>
      </c>
      <c r="GI68" s="28">
        <v>0</v>
      </c>
      <c r="GJ68" s="28">
        <v>0</v>
      </c>
      <c r="GK68" s="28">
        <v>0</v>
      </c>
      <c r="GL68" s="28">
        <v>0</v>
      </c>
      <c r="GM68" s="28">
        <v>0</v>
      </c>
      <c r="GN68" s="28">
        <v>0</v>
      </c>
      <c r="GO68" s="28">
        <v>0</v>
      </c>
      <c r="GP68" s="28">
        <v>0</v>
      </c>
      <c r="GQ68" s="21">
        <v>137.83230958231096</v>
      </c>
      <c r="GR68" s="21">
        <v>0</v>
      </c>
      <c r="GS68" s="20">
        <v>0</v>
      </c>
      <c r="GT68" s="20">
        <v>0</v>
      </c>
      <c r="GU68" s="20">
        <v>0</v>
      </c>
      <c r="GV68" s="20">
        <v>0</v>
      </c>
      <c r="GW68" s="20">
        <v>0</v>
      </c>
      <c r="GX68" s="21">
        <v>1.12024382249614</v>
      </c>
      <c r="GY68" s="20">
        <v>0</v>
      </c>
      <c r="GZ68" s="20">
        <v>1.12024382249614</v>
      </c>
      <c r="HA68" s="20"/>
      <c r="HB68" s="21">
        <v>126.09077551838401</v>
      </c>
      <c r="HC68" s="21">
        <v>265.0433289231911</v>
      </c>
    </row>
    <row r="69" spans="1:211" s="7" customFormat="1" ht="17.25" customHeight="1">
      <c r="A69" s="7">
        <f t="shared" si="8"/>
        <v>69</v>
      </c>
      <c r="B69" s="26" t="s">
        <v>53</v>
      </c>
      <c r="C69" s="9" t="s">
        <v>471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0.20081554874342999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0.87066625744392301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1.01522611469392E-2</v>
      </c>
      <c r="AU69" s="28">
        <v>0</v>
      </c>
      <c r="AV69" s="28">
        <v>2.3631438440982401E-2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3.09345670764018</v>
      </c>
      <c r="DZ69" s="28">
        <v>274.59433226306101</v>
      </c>
      <c r="EA69" s="28">
        <v>12.604191523814301</v>
      </c>
      <c r="EB69" s="28">
        <v>89.705390710471306</v>
      </c>
      <c r="EC69" s="28">
        <v>2.9650837742599698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0.117101655265168</v>
      </c>
      <c r="ET69" s="28">
        <v>0</v>
      </c>
      <c r="EU69" s="28">
        <v>0</v>
      </c>
      <c r="EV69" s="28">
        <v>0</v>
      </c>
      <c r="EW69" s="28">
        <v>0</v>
      </c>
      <c r="EX69" s="28">
        <v>0</v>
      </c>
      <c r="EY69" s="28">
        <v>0</v>
      </c>
      <c r="EZ69" s="28">
        <v>0</v>
      </c>
      <c r="FA69" s="28">
        <v>0</v>
      </c>
      <c r="FB69" s="28">
        <v>0</v>
      </c>
      <c r="FC69" s="28">
        <v>220.34826151124</v>
      </c>
      <c r="FD69" s="28">
        <v>75.997264076781207</v>
      </c>
      <c r="FE69" s="28">
        <v>6.0623977499361299</v>
      </c>
      <c r="FF69" s="28">
        <v>0</v>
      </c>
      <c r="FG69" s="28">
        <v>820.28948788228604</v>
      </c>
      <c r="FH69" s="28">
        <v>23.801741959453</v>
      </c>
      <c r="FI69" s="28">
        <v>0</v>
      </c>
      <c r="FJ69" s="28">
        <v>0</v>
      </c>
      <c r="FK69" s="28">
        <v>0</v>
      </c>
      <c r="FL69" s="28">
        <v>0</v>
      </c>
      <c r="FM69" s="28">
        <v>0</v>
      </c>
      <c r="FN69" s="28">
        <v>0</v>
      </c>
      <c r="FO69" s="28">
        <v>0</v>
      </c>
      <c r="FP69" s="28">
        <v>0</v>
      </c>
      <c r="FQ69" s="28">
        <v>0</v>
      </c>
      <c r="FR69" s="28">
        <v>0</v>
      </c>
      <c r="FS69" s="28">
        <v>0</v>
      </c>
      <c r="FT69" s="28">
        <v>0</v>
      </c>
      <c r="FU69" s="28">
        <v>0</v>
      </c>
      <c r="FV69" s="28">
        <v>0</v>
      </c>
      <c r="FW69" s="28">
        <v>0</v>
      </c>
      <c r="FX69" s="28">
        <v>0</v>
      </c>
      <c r="FY69" s="28">
        <v>0</v>
      </c>
      <c r="FZ69" s="28">
        <v>0</v>
      </c>
      <c r="GA69" s="28">
        <v>1.17217554590441E-2</v>
      </c>
      <c r="GB69" s="28">
        <v>0</v>
      </c>
      <c r="GC69" s="28">
        <v>0</v>
      </c>
      <c r="GD69" s="28">
        <v>0</v>
      </c>
      <c r="GE69" s="28">
        <v>0</v>
      </c>
      <c r="GF69" s="28">
        <v>0</v>
      </c>
      <c r="GG69" s="28">
        <v>2.9077848199999998</v>
      </c>
      <c r="GH69" s="28">
        <v>0</v>
      </c>
      <c r="GI69" s="28">
        <v>0.20340578884069699</v>
      </c>
      <c r="GJ69" s="28">
        <v>0</v>
      </c>
      <c r="GK69" s="28">
        <v>0.209083634691174</v>
      </c>
      <c r="GL69" s="28">
        <v>0</v>
      </c>
      <c r="GM69" s="28">
        <v>0</v>
      </c>
      <c r="GN69" s="28">
        <v>0</v>
      </c>
      <c r="GO69" s="28">
        <v>0</v>
      </c>
      <c r="GP69" s="28">
        <v>0</v>
      </c>
      <c r="GQ69" s="21">
        <v>1534.0159713189744</v>
      </c>
      <c r="GR69" s="21">
        <v>0</v>
      </c>
      <c r="GS69" s="20">
        <v>0</v>
      </c>
      <c r="GT69" s="20">
        <v>0</v>
      </c>
      <c r="GU69" s="20">
        <v>0</v>
      </c>
      <c r="GV69" s="20">
        <v>0</v>
      </c>
      <c r="GW69" s="20">
        <v>0</v>
      </c>
      <c r="GX69" s="21">
        <v>22.632969402463985</v>
      </c>
      <c r="GY69" s="20">
        <v>0</v>
      </c>
      <c r="GZ69" s="20">
        <v>22.632969402463985</v>
      </c>
      <c r="HA69" s="20"/>
      <c r="HB69" s="21">
        <v>1.8270000000000001E-3</v>
      </c>
      <c r="HC69" s="21">
        <v>1556.6507677214383</v>
      </c>
    </row>
    <row r="70" spans="1:211" s="7" customFormat="1" ht="17.25" customHeight="1">
      <c r="A70" s="7">
        <f t="shared" si="8"/>
        <v>70</v>
      </c>
      <c r="B70" s="26" t="s">
        <v>54</v>
      </c>
      <c r="C70" s="9" t="s">
        <v>472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6.3809776492078996</v>
      </c>
      <c r="AB70" s="28">
        <v>3.4367360849002102</v>
      </c>
      <c r="AC70" s="28">
        <v>0</v>
      </c>
      <c r="AD70" s="28">
        <v>0</v>
      </c>
      <c r="AE70" s="28">
        <v>1.0401305445654501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0.29982744523770599</v>
      </c>
      <c r="AU70" s="28">
        <v>0</v>
      </c>
      <c r="AV70" s="28">
        <v>0.671344345963933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6.6102161407470703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1.076073587062</v>
      </c>
      <c r="DR70" s="28">
        <v>0</v>
      </c>
      <c r="DS70" s="28">
        <v>1.70808270209563</v>
      </c>
      <c r="DT70" s="28">
        <v>0</v>
      </c>
      <c r="DU70" s="28">
        <v>0</v>
      </c>
      <c r="DV70" s="28">
        <v>0</v>
      </c>
      <c r="DW70" s="28">
        <v>0</v>
      </c>
      <c r="DX70" s="28">
        <v>8.5545367548109592</v>
      </c>
      <c r="DY70" s="28">
        <v>113.018965354758</v>
      </c>
      <c r="DZ70" s="28">
        <v>151.596493776112</v>
      </c>
      <c r="EA70" s="28">
        <v>14.306499028479999</v>
      </c>
      <c r="EB70" s="28">
        <v>2.0783756159559599</v>
      </c>
      <c r="EC70" s="28">
        <v>17.6703508866573</v>
      </c>
      <c r="ED70" s="28">
        <v>0</v>
      </c>
      <c r="EE70" s="28">
        <v>1.8113381082948101E-2</v>
      </c>
      <c r="EF70" s="28">
        <v>0</v>
      </c>
      <c r="EG70" s="28">
        <v>0</v>
      </c>
      <c r="EH70" s="28">
        <v>0</v>
      </c>
      <c r="EI70" s="28">
        <v>0</v>
      </c>
      <c r="EJ70" s="28">
        <v>0.38663116330532199</v>
      </c>
      <c r="EK70" s="28">
        <v>0</v>
      </c>
      <c r="EL70" s="28">
        <v>0</v>
      </c>
      <c r="EM70" s="28">
        <v>0</v>
      </c>
      <c r="EN70" s="28">
        <v>0</v>
      </c>
      <c r="EO70" s="28">
        <v>1.05016332760225E-3</v>
      </c>
      <c r="EP70" s="28">
        <v>0</v>
      </c>
      <c r="EQ70" s="28">
        <v>0</v>
      </c>
      <c r="ER70" s="28">
        <v>1.27836579963408</v>
      </c>
      <c r="ES70" s="28">
        <v>0</v>
      </c>
      <c r="ET70" s="28">
        <v>0</v>
      </c>
      <c r="EU70" s="28">
        <v>0</v>
      </c>
      <c r="EV70" s="28">
        <v>0</v>
      </c>
      <c r="EW70" s="28">
        <v>0</v>
      </c>
      <c r="EX70" s="28">
        <v>0</v>
      </c>
      <c r="EY70" s="28">
        <v>0</v>
      </c>
      <c r="EZ70" s="28">
        <v>0</v>
      </c>
      <c r="FA70" s="28">
        <v>0</v>
      </c>
      <c r="FB70" s="28">
        <v>0</v>
      </c>
      <c r="FC70" s="28">
        <v>93.9307565976478</v>
      </c>
      <c r="FD70" s="28">
        <v>109.393329857678</v>
      </c>
      <c r="FE70" s="28">
        <v>1.1631652172007301</v>
      </c>
      <c r="FF70" s="28">
        <v>0</v>
      </c>
      <c r="FG70" s="28">
        <v>159.42808257116701</v>
      </c>
      <c r="FH70" s="28">
        <v>2.74474727367283</v>
      </c>
      <c r="FI70" s="28">
        <v>0</v>
      </c>
      <c r="FJ70" s="28">
        <v>0</v>
      </c>
      <c r="FK70" s="28">
        <v>0</v>
      </c>
      <c r="FL70" s="28">
        <v>0</v>
      </c>
      <c r="FM70" s="28">
        <v>0</v>
      </c>
      <c r="FN70" s="28">
        <v>0</v>
      </c>
      <c r="FO70" s="28">
        <v>0</v>
      </c>
      <c r="FP70" s="28">
        <v>0</v>
      </c>
      <c r="FQ70" s="28">
        <v>0</v>
      </c>
      <c r="FR70" s="28">
        <v>0</v>
      </c>
      <c r="FS70" s="28">
        <v>0</v>
      </c>
      <c r="FT70" s="28">
        <v>0</v>
      </c>
      <c r="FU70" s="28">
        <v>0</v>
      </c>
      <c r="FV70" s="28">
        <v>0</v>
      </c>
      <c r="FW70" s="28">
        <v>0</v>
      </c>
      <c r="FX70" s="28">
        <v>0</v>
      </c>
      <c r="FY70" s="28">
        <v>0</v>
      </c>
      <c r="FZ70" s="28">
        <v>0</v>
      </c>
      <c r="GA70" s="28">
        <v>0.12720118131182001</v>
      </c>
      <c r="GB70" s="28">
        <v>0</v>
      </c>
      <c r="GC70" s="28">
        <v>0</v>
      </c>
      <c r="GD70" s="28">
        <v>0</v>
      </c>
      <c r="GE70" s="28">
        <v>0</v>
      </c>
      <c r="GF70" s="28">
        <v>0</v>
      </c>
      <c r="GG70" s="28">
        <v>69.059889475000006</v>
      </c>
      <c r="GH70" s="28">
        <v>0</v>
      </c>
      <c r="GI70" s="28">
        <v>2.2073022011593002</v>
      </c>
      <c r="GJ70" s="28">
        <v>0</v>
      </c>
      <c r="GK70" s="28">
        <v>1.76102412954859</v>
      </c>
      <c r="GL70" s="28">
        <v>0</v>
      </c>
      <c r="GM70" s="28">
        <v>0</v>
      </c>
      <c r="GN70" s="28">
        <v>0</v>
      </c>
      <c r="GO70" s="28">
        <v>0</v>
      </c>
      <c r="GP70" s="28">
        <v>0</v>
      </c>
      <c r="GQ70" s="21">
        <v>769.94826892828962</v>
      </c>
      <c r="GR70" s="21">
        <v>0</v>
      </c>
      <c r="GS70" s="20">
        <v>0</v>
      </c>
      <c r="GT70" s="20">
        <v>0</v>
      </c>
      <c r="GU70" s="20">
        <v>0</v>
      </c>
      <c r="GV70" s="20">
        <v>0</v>
      </c>
      <c r="GW70" s="20">
        <v>0</v>
      </c>
      <c r="GX70" s="21">
        <v>10.972023441557436</v>
      </c>
      <c r="GY70" s="20">
        <v>0</v>
      </c>
      <c r="GZ70" s="20">
        <v>10.972023441557436</v>
      </c>
      <c r="HA70" s="20"/>
      <c r="HB70" s="21">
        <v>9.0350443776000002</v>
      </c>
      <c r="HC70" s="21">
        <v>789.95533674744706</v>
      </c>
    </row>
    <row r="71" spans="1:211" s="7" customFormat="1" ht="17.25" customHeight="1">
      <c r="A71" s="7">
        <f t="shared" si="8"/>
        <v>71</v>
      </c>
      <c r="B71" s="26" t="s">
        <v>56</v>
      </c>
      <c r="C71" s="9" t="s">
        <v>473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0</v>
      </c>
      <c r="AR71" s="28">
        <v>0</v>
      </c>
      <c r="AS71" s="28">
        <v>0</v>
      </c>
      <c r="AT71" s="28">
        <v>24.940456055034701</v>
      </c>
      <c r="AU71" s="28">
        <v>0</v>
      </c>
      <c r="AV71" s="28">
        <v>0</v>
      </c>
      <c r="AW71" s="28">
        <v>0</v>
      </c>
      <c r="AX71" s="28">
        <v>0</v>
      </c>
      <c r="AY71" s="28">
        <v>0</v>
      </c>
      <c r="AZ71" s="28">
        <v>0</v>
      </c>
      <c r="BA71" s="28">
        <v>0</v>
      </c>
      <c r="BB71" s="28">
        <v>0</v>
      </c>
      <c r="BC71" s="28">
        <v>0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0</v>
      </c>
      <c r="BJ71" s="28">
        <v>0</v>
      </c>
      <c r="BK71" s="28">
        <v>0</v>
      </c>
      <c r="BL71" s="28">
        <v>0</v>
      </c>
      <c r="BM71" s="28">
        <v>0</v>
      </c>
      <c r="BN71" s="28">
        <v>0</v>
      </c>
      <c r="BO71" s="28">
        <v>0</v>
      </c>
      <c r="BP71" s="28">
        <v>0</v>
      </c>
      <c r="BQ71" s="28">
        <v>0</v>
      </c>
      <c r="BR71" s="28">
        <v>0</v>
      </c>
      <c r="BS71" s="28">
        <v>0</v>
      </c>
      <c r="BT71" s="28">
        <v>0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2.0781820379278102</v>
      </c>
      <c r="CB71" s="28">
        <v>0</v>
      </c>
      <c r="CC71" s="28">
        <v>0</v>
      </c>
      <c r="CD71" s="28">
        <v>0</v>
      </c>
      <c r="CE71" s="28">
        <v>0</v>
      </c>
      <c r="CF71" s="28">
        <v>0</v>
      </c>
      <c r="CG71" s="28">
        <v>4.6224262528460001</v>
      </c>
      <c r="CH71" s="28">
        <v>0</v>
      </c>
      <c r="CI71" s="28">
        <v>0</v>
      </c>
      <c r="CJ71" s="28">
        <v>0</v>
      </c>
      <c r="CK71" s="28">
        <v>0</v>
      </c>
      <c r="CL71" s="28">
        <v>0</v>
      </c>
      <c r="CM71" s="28">
        <v>2.6253870813232401</v>
      </c>
      <c r="CN71" s="28">
        <v>0</v>
      </c>
      <c r="CO71" s="28">
        <v>0</v>
      </c>
      <c r="CP71" s="28">
        <v>0</v>
      </c>
      <c r="CQ71" s="28">
        <v>0</v>
      </c>
      <c r="CR71" s="28">
        <v>1.34305865243654</v>
      </c>
      <c r="CS71" s="28">
        <v>1.7244021401824401E-4</v>
      </c>
      <c r="CT71" s="28">
        <v>0</v>
      </c>
      <c r="CU71" s="28">
        <v>3.0217961246300599E-2</v>
      </c>
      <c r="CV71" s="28">
        <v>0</v>
      </c>
      <c r="CW71" s="28">
        <v>0</v>
      </c>
      <c r="CX71" s="28">
        <v>0</v>
      </c>
      <c r="CY71" s="28">
        <v>0</v>
      </c>
      <c r="CZ71" s="28">
        <v>0</v>
      </c>
      <c r="DA71" s="28">
        <v>0</v>
      </c>
      <c r="DB71" s="28">
        <v>0</v>
      </c>
      <c r="DC71" s="28">
        <v>0</v>
      </c>
      <c r="DD71" s="28">
        <v>0</v>
      </c>
      <c r="DE71" s="28">
        <v>0</v>
      </c>
      <c r="DF71" s="28">
        <v>0</v>
      </c>
      <c r="DG71" s="28">
        <v>0</v>
      </c>
      <c r="DH71" s="28">
        <v>0</v>
      </c>
      <c r="DI71" s="28">
        <v>0</v>
      </c>
      <c r="DJ71" s="28">
        <v>0</v>
      </c>
      <c r="DK71" s="28">
        <v>0</v>
      </c>
      <c r="DL71" s="28">
        <v>3.1298804010470902</v>
      </c>
      <c r="DM71" s="28">
        <v>9.1862754595670992</v>
      </c>
      <c r="DN71" s="28">
        <v>0</v>
      </c>
      <c r="DO71" s="28">
        <v>0</v>
      </c>
      <c r="DP71" s="28">
        <v>0</v>
      </c>
      <c r="DQ71" s="28">
        <v>0.48896801958388098</v>
      </c>
      <c r="DR71" s="28">
        <v>0</v>
      </c>
      <c r="DS71" s="28">
        <v>3.5651776117048701</v>
      </c>
      <c r="DT71" s="28">
        <v>8.0111291339388296E-2</v>
      </c>
      <c r="DU71" s="28">
        <v>0</v>
      </c>
      <c r="DV71" s="28">
        <v>0</v>
      </c>
      <c r="DW71" s="28">
        <v>0</v>
      </c>
      <c r="DX71" s="28">
        <v>10.734480135586701</v>
      </c>
      <c r="DY71" s="28">
        <v>0</v>
      </c>
      <c r="DZ71" s="28">
        <v>0</v>
      </c>
      <c r="EA71" s="28">
        <v>0</v>
      </c>
      <c r="EB71" s="28">
        <v>11.4497133812459</v>
      </c>
      <c r="EC71" s="28">
        <v>1.2448959171059599</v>
      </c>
      <c r="ED71" s="28">
        <v>0</v>
      </c>
      <c r="EE71" s="28">
        <v>0.97485160809110605</v>
      </c>
      <c r="EF71" s="28">
        <v>0</v>
      </c>
      <c r="EG71" s="28">
        <v>0</v>
      </c>
      <c r="EH71" s="28">
        <v>0</v>
      </c>
      <c r="EI71" s="28">
        <v>0</v>
      </c>
      <c r="EJ71" s="28">
        <v>0.16827536606723401</v>
      </c>
      <c r="EK71" s="28">
        <v>0</v>
      </c>
      <c r="EL71" s="28">
        <v>0</v>
      </c>
      <c r="EM71" s="28">
        <v>0</v>
      </c>
      <c r="EN71" s="28">
        <v>0</v>
      </c>
      <c r="EO71" s="28">
        <v>0</v>
      </c>
      <c r="EP71" s="28">
        <v>0</v>
      </c>
      <c r="EQ71" s="28">
        <v>0.27414745984898298</v>
      </c>
      <c r="ER71" s="28">
        <v>4.2068950460521899</v>
      </c>
      <c r="ES71" s="28">
        <v>0</v>
      </c>
      <c r="ET71" s="28">
        <v>0</v>
      </c>
      <c r="EU71" s="28">
        <v>0</v>
      </c>
      <c r="EV71" s="28">
        <v>0</v>
      </c>
      <c r="EW71" s="28">
        <v>0</v>
      </c>
      <c r="EX71" s="28">
        <v>0</v>
      </c>
      <c r="EY71" s="28">
        <v>0</v>
      </c>
      <c r="EZ71" s="28">
        <v>0</v>
      </c>
      <c r="FA71" s="28">
        <v>0</v>
      </c>
      <c r="FB71" s="28">
        <v>0</v>
      </c>
      <c r="FC71" s="28">
        <v>0</v>
      </c>
      <c r="FD71" s="28">
        <v>0</v>
      </c>
      <c r="FE71" s="28">
        <v>0</v>
      </c>
      <c r="FF71" s="28">
        <v>0</v>
      </c>
      <c r="FG71" s="28">
        <v>0</v>
      </c>
      <c r="FH71" s="28">
        <v>0</v>
      </c>
      <c r="FI71" s="28">
        <v>0</v>
      </c>
      <c r="FJ71" s="28">
        <v>0</v>
      </c>
      <c r="FK71" s="28">
        <v>0</v>
      </c>
      <c r="FL71" s="28">
        <v>0</v>
      </c>
      <c r="FM71" s="28">
        <v>0</v>
      </c>
      <c r="FN71" s="28">
        <v>0</v>
      </c>
      <c r="FO71" s="28">
        <v>0</v>
      </c>
      <c r="FP71" s="28">
        <v>0</v>
      </c>
      <c r="FQ71" s="28">
        <v>0</v>
      </c>
      <c r="FR71" s="28">
        <v>0</v>
      </c>
      <c r="FS71" s="28">
        <v>0</v>
      </c>
      <c r="FT71" s="28">
        <v>0</v>
      </c>
      <c r="FU71" s="28">
        <v>0</v>
      </c>
      <c r="FV71" s="28">
        <v>0</v>
      </c>
      <c r="FW71" s="28">
        <v>0</v>
      </c>
      <c r="FX71" s="28">
        <v>0</v>
      </c>
      <c r="FY71" s="28">
        <v>0</v>
      </c>
      <c r="FZ71" s="28">
        <v>0</v>
      </c>
      <c r="GA71" s="28">
        <v>0</v>
      </c>
      <c r="GB71" s="28">
        <v>0</v>
      </c>
      <c r="GC71" s="28">
        <v>0</v>
      </c>
      <c r="GD71" s="28">
        <v>0</v>
      </c>
      <c r="GE71" s="28">
        <v>0</v>
      </c>
      <c r="GF71" s="28">
        <v>0</v>
      </c>
      <c r="GG71" s="28">
        <v>0</v>
      </c>
      <c r="GH71" s="28">
        <v>0</v>
      </c>
      <c r="GI71" s="28">
        <v>0</v>
      </c>
      <c r="GJ71" s="28">
        <v>0</v>
      </c>
      <c r="GK71" s="28">
        <v>0</v>
      </c>
      <c r="GL71" s="28">
        <v>0</v>
      </c>
      <c r="GM71" s="28">
        <v>0</v>
      </c>
      <c r="GN71" s="28">
        <v>0</v>
      </c>
      <c r="GO71" s="28">
        <v>0</v>
      </c>
      <c r="GP71" s="28">
        <v>0</v>
      </c>
      <c r="GQ71" s="21">
        <v>81.143572178269025</v>
      </c>
      <c r="GR71" s="21">
        <v>0</v>
      </c>
      <c r="GS71" s="20">
        <v>0</v>
      </c>
      <c r="GT71" s="20">
        <v>0</v>
      </c>
      <c r="GU71" s="20">
        <v>0</v>
      </c>
      <c r="GV71" s="20">
        <v>0</v>
      </c>
      <c r="GW71" s="20">
        <v>0</v>
      </c>
      <c r="GX71" s="21">
        <v>2.1188655091509498</v>
      </c>
      <c r="GY71" s="20">
        <v>0</v>
      </c>
      <c r="GZ71" s="20">
        <v>2.1188655091509498</v>
      </c>
      <c r="HA71" s="20"/>
      <c r="HB71" s="21">
        <v>317.40250374959999</v>
      </c>
      <c r="HC71" s="21">
        <v>400.66494143701993</v>
      </c>
    </row>
    <row r="72" spans="1:211" s="7" customFormat="1" ht="17.25" customHeight="1">
      <c r="A72" s="7">
        <f t="shared" si="8"/>
        <v>72</v>
      </c>
      <c r="B72" s="26" t="s">
        <v>474</v>
      </c>
      <c r="C72" s="9" t="s">
        <v>475</v>
      </c>
      <c r="D72" s="28">
        <v>4.6786443057795996E-3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5.8674787129675998E-2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0.24729757056301299</v>
      </c>
      <c r="AF72" s="28">
        <v>1.0139597107767799</v>
      </c>
      <c r="AG72" s="28">
        <v>2.3594129593053799</v>
      </c>
      <c r="AH72" s="28">
        <v>0.75582870292252702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0.37388904849844401</v>
      </c>
      <c r="CC72" s="28">
        <v>2.0494868725187899E-2</v>
      </c>
      <c r="CD72" s="28">
        <v>0.269264292666959</v>
      </c>
      <c r="CE72" s="28">
        <v>9.1556666394087396E-2</v>
      </c>
      <c r="CF72" s="28">
        <v>0</v>
      </c>
      <c r="CG72" s="28">
        <v>0</v>
      </c>
      <c r="CH72" s="28">
        <v>0</v>
      </c>
      <c r="CI72" s="28">
        <v>0</v>
      </c>
      <c r="CJ72" s="28">
        <v>0</v>
      </c>
      <c r="CK72" s="28">
        <v>0</v>
      </c>
      <c r="CL72" s="28">
        <v>8.1181272002326192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2.7777736187492298E-4</v>
      </c>
      <c r="CT72" s="28">
        <v>0</v>
      </c>
      <c r="CU72" s="28">
        <v>0</v>
      </c>
      <c r="CV72" s="28">
        <v>0</v>
      </c>
      <c r="CW72" s="28">
        <v>6.96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0</v>
      </c>
      <c r="DJ72" s="28">
        <v>0</v>
      </c>
      <c r="DK72" s="28">
        <v>0</v>
      </c>
      <c r="DL72" s="28">
        <v>0.233188221868454</v>
      </c>
      <c r="DM72" s="28">
        <v>0.58339506687554099</v>
      </c>
      <c r="DN72" s="28">
        <v>0</v>
      </c>
      <c r="DO72" s="28">
        <v>0</v>
      </c>
      <c r="DP72" s="28">
        <v>0</v>
      </c>
      <c r="DQ72" s="28">
        <v>0</v>
      </c>
      <c r="DR72" s="28">
        <v>1.71578536359642</v>
      </c>
      <c r="DS72" s="28">
        <v>0</v>
      </c>
      <c r="DT72" s="28">
        <v>0</v>
      </c>
      <c r="DU72" s="28">
        <v>0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0</v>
      </c>
      <c r="EC72" s="28">
        <v>0</v>
      </c>
      <c r="ED72" s="28">
        <v>0</v>
      </c>
      <c r="EE72" s="28">
        <v>0</v>
      </c>
      <c r="EF72" s="28">
        <v>0</v>
      </c>
      <c r="EG72" s="28">
        <v>0</v>
      </c>
      <c r="EH72" s="28">
        <v>0</v>
      </c>
      <c r="EI72" s="28">
        <v>0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0</v>
      </c>
      <c r="EQ72" s="28">
        <v>0</v>
      </c>
      <c r="ER72" s="28">
        <v>0</v>
      </c>
      <c r="ES72" s="28">
        <v>0</v>
      </c>
      <c r="ET72" s="28">
        <v>0</v>
      </c>
      <c r="EU72" s="28">
        <v>0</v>
      </c>
      <c r="EV72" s="28">
        <v>0</v>
      </c>
      <c r="EW72" s="28">
        <v>0</v>
      </c>
      <c r="EX72" s="28">
        <v>0</v>
      </c>
      <c r="EY72" s="28">
        <v>0</v>
      </c>
      <c r="EZ72" s="28">
        <v>0</v>
      </c>
      <c r="FA72" s="28">
        <v>0</v>
      </c>
      <c r="FB72" s="28">
        <v>0</v>
      </c>
      <c r="FC72" s="28">
        <v>0</v>
      </c>
      <c r="FD72" s="28">
        <v>0</v>
      </c>
      <c r="FE72" s="28">
        <v>0</v>
      </c>
      <c r="FF72" s="28">
        <v>0</v>
      </c>
      <c r="FG72" s="28">
        <v>0</v>
      </c>
      <c r="FH72" s="28">
        <v>0</v>
      </c>
      <c r="FI72" s="28">
        <v>0</v>
      </c>
      <c r="FJ72" s="28">
        <v>0</v>
      </c>
      <c r="FK72" s="28">
        <v>0</v>
      </c>
      <c r="FL72" s="28">
        <v>0</v>
      </c>
      <c r="FM72" s="28">
        <v>0</v>
      </c>
      <c r="FN72" s="28">
        <v>0</v>
      </c>
      <c r="FO72" s="28">
        <v>0</v>
      </c>
      <c r="FP72" s="28">
        <v>0</v>
      </c>
      <c r="FQ72" s="28">
        <v>0</v>
      </c>
      <c r="FR72" s="28">
        <v>0</v>
      </c>
      <c r="FS72" s="28">
        <v>0</v>
      </c>
      <c r="FT72" s="28">
        <v>0</v>
      </c>
      <c r="FU72" s="28">
        <v>0</v>
      </c>
      <c r="FV72" s="28">
        <v>0</v>
      </c>
      <c r="FW72" s="28">
        <v>0</v>
      </c>
      <c r="FX72" s="28">
        <v>0</v>
      </c>
      <c r="FY72" s="28">
        <v>0</v>
      </c>
      <c r="FZ72" s="28">
        <v>0</v>
      </c>
      <c r="GA72" s="28">
        <v>0</v>
      </c>
      <c r="GB72" s="28">
        <v>0</v>
      </c>
      <c r="GC72" s="28">
        <v>0</v>
      </c>
      <c r="GD72" s="28">
        <v>0</v>
      </c>
      <c r="GE72" s="28">
        <v>0</v>
      </c>
      <c r="GF72" s="28">
        <v>0</v>
      </c>
      <c r="GG72" s="28">
        <v>0.106026703781474</v>
      </c>
      <c r="GH72" s="28">
        <v>3.5410666984363098E-2</v>
      </c>
      <c r="GI72" s="28">
        <v>0</v>
      </c>
      <c r="GJ72" s="28">
        <v>0</v>
      </c>
      <c r="GK72" s="28">
        <v>0</v>
      </c>
      <c r="GL72" s="28">
        <v>0</v>
      </c>
      <c r="GM72" s="28">
        <v>0</v>
      </c>
      <c r="GN72" s="28">
        <v>0</v>
      </c>
      <c r="GO72" s="28">
        <v>0</v>
      </c>
      <c r="GP72" s="28">
        <v>0</v>
      </c>
      <c r="GQ72" s="21">
        <v>22.947268251988561</v>
      </c>
      <c r="GR72" s="21">
        <v>0</v>
      </c>
      <c r="GS72" s="20">
        <v>0</v>
      </c>
      <c r="GT72" s="20">
        <v>0</v>
      </c>
      <c r="GU72" s="20">
        <v>0</v>
      </c>
      <c r="GV72" s="20">
        <v>0</v>
      </c>
      <c r="GW72" s="20">
        <v>0</v>
      </c>
      <c r="GX72" s="21">
        <v>2.5099957704669302</v>
      </c>
      <c r="GY72" s="20">
        <v>0</v>
      </c>
      <c r="GZ72" s="20">
        <v>2.5099957704669302</v>
      </c>
      <c r="HA72" s="20"/>
      <c r="HB72" s="21">
        <v>1.9510966608</v>
      </c>
      <c r="HC72" s="21">
        <v>27.408360683255491</v>
      </c>
    </row>
    <row r="73" spans="1:211" s="7" customFormat="1" ht="17.25" customHeight="1">
      <c r="A73" s="7">
        <f t="shared" si="8"/>
        <v>73</v>
      </c>
      <c r="B73" s="26" t="s">
        <v>476</v>
      </c>
      <c r="C73" s="10" t="s">
        <v>477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0</v>
      </c>
      <c r="DG73" s="28">
        <v>0</v>
      </c>
      <c r="DH73" s="28">
        <v>0</v>
      </c>
      <c r="DI73" s="28">
        <v>0</v>
      </c>
      <c r="DJ73" s="28">
        <v>0</v>
      </c>
      <c r="DK73" s="28">
        <v>0</v>
      </c>
      <c r="DL73" s="28">
        <v>0</v>
      </c>
      <c r="DM73" s="28">
        <v>0</v>
      </c>
      <c r="DN73" s="28">
        <v>0</v>
      </c>
      <c r="DO73" s="28">
        <v>0</v>
      </c>
      <c r="DP73" s="28">
        <v>0</v>
      </c>
      <c r="DQ73" s="28">
        <v>1.32235223693413E-2</v>
      </c>
      <c r="DR73" s="28">
        <v>0</v>
      </c>
      <c r="DS73" s="28">
        <v>0</v>
      </c>
      <c r="DT73" s="28">
        <v>0</v>
      </c>
      <c r="DU73" s="28">
        <v>0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0</v>
      </c>
      <c r="ED73" s="28">
        <v>0</v>
      </c>
      <c r="EE73" s="28">
        <v>0</v>
      </c>
      <c r="EF73" s="28">
        <v>0</v>
      </c>
      <c r="EG73" s="28">
        <v>0</v>
      </c>
      <c r="EH73" s="28">
        <v>0</v>
      </c>
      <c r="EI73" s="28">
        <v>0</v>
      </c>
      <c r="EJ73" s="28">
        <v>0</v>
      </c>
      <c r="EK73" s="28">
        <v>0</v>
      </c>
      <c r="EL73" s="28">
        <v>0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0</v>
      </c>
      <c r="ES73" s="28">
        <v>0</v>
      </c>
      <c r="ET73" s="28">
        <v>60.129466373601304</v>
      </c>
      <c r="EU73" s="28">
        <v>0</v>
      </c>
      <c r="EV73" s="28">
        <v>0</v>
      </c>
      <c r="EW73" s="28">
        <v>0</v>
      </c>
      <c r="EX73" s="28">
        <v>0</v>
      </c>
      <c r="EY73" s="28">
        <v>0</v>
      </c>
      <c r="EZ73" s="28">
        <v>0</v>
      </c>
      <c r="FA73" s="28">
        <v>0</v>
      </c>
      <c r="FB73" s="28">
        <v>0</v>
      </c>
      <c r="FC73" s="28">
        <v>0</v>
      </c>
      <c r="FD73" s="28">
        <v>8.4695867884373596E-2</v>
      </c>
      <c r="FE73" s="28">
        <v>0</v>
      </c>
      <c r="FF73" s="28">
        <v>0</v>
      </c>
      <c r="FG73" s="28">
        <v>0</v>
      </c>
      <c r="FH73" s="28">
        <v>0</v>
      </c>
      <c r="FI73" s="28">
        <v>0</v>
      </c>
      <c r="FJ73" s="28">
        <v>0</v>
      </c>
      <c r="FK73" s="28">
        <v>0</v>
      </c>
      <c r="FL73" s="28">
        <v>0</v>
      </c>
      <c r="FM73" s="28">
        <v>0</v>
      </c>
      <c r="FN73" s="28">
        <v>0</v>
      </c>
      <c r="FO73" s="28">
        <v>0</v>
      </c>
      <c r="FP73" s="28">
        <v>0</v>
      </c>
      <c r="FQ73" s="28">
        <v>0</v>
      </c>
      <c r="FR73" s="28">
        <v>0</v>
      </c>
      <c r="FS73" s="28">
        <v>0</v>
      </c>
      <c r="FT73" s="28">
        <v>0</v>
      </c>
      <c r="FU73" s="28">
        <v>0</v>
      </c>
      <c r="FV73" s="28">
        <v>0</v>
      </c>
      <c r="FW73" s="28">
        <v>0</v>
      </c>
      <c r="FX73" s="28">
        <v>0</v>
      </c>
      <c r="FY73" s="28">
        <v>0</v>
      </c>
      <c r="FZ73" s="28">
        <v>0</v>
      </c>
      <c r="GA73" s="28">
        <v>0</v>
      </c>
      <c r="GB73" s="28">
        <v>0</v>
      </c>
      <c r="GC73" s="28">
        <v>0</v>
      </c>
      <c r="GD73" s="28">
        <v>0</v>
      </c>
      <c r="GE73" s="28">
        <v>0</v>
      </c>
      <c r="GF73" s="28">
        <v>0</v>
      </c>
      <c r="GG73" s="28">
        <v>0</v>
      </c>
      <c r="GH73" s="28">
        <v>0</v>
      </c>
      <c r="GI73" s="28">
        <v>0</v>
      </c>
      <c r="GJ73" s="28">
        <v>0</v>
      </c>
      <c r="GK73" s="28">
        <v>0</v>
      </c>
      <c r="GL73" s="28">
        <v>0</v>
      </c>
      <c r="GM73" s="28">
        <v>0</v>
      </c>
      <c r="GN73" s="28">
        <v>0</v>
      </c>
      <c r="GO73" s="28">
        <v>0</v>
      </c>
      <c r="GP73" s="28">
        <v>0</v>
      </c>
      <c r="GQ73" s="21">
        <v>60.227385763855018</v>
      </c>
      <c r="GR73" s="21">
        <v>0</v>
      </c>
      <c r="GS73" s="20">
        <v>0</v>
      </c>
      <c r="GT73" s="20">
        <v>0</v>
      </c>
      <c r="GU73" s="20">
        <v>0</v>
      </c>
      <c r="GV73" s="20">
        <v>0</v>
      </c>
      <c r="GW73" s="20">
        <v>0</v>
      </c>
      <c r="GX73" s="21">
        <v>3.5368120696107201</v>
      </c>
      <c r="GY73" s="20">
        <v>0</v>
      </c>
      <c r="GZ73" s="20">
        <v>3.5368120696107201</v>
      </c>
      <c r="HA73" s="20"/>
      <c r="HB73" s="21">
        <v>7.5622125383999999</v>
      </c>
      <c r="HC73" s="21">
        <v>71.326410371865734</v>
      </c>
    </row>
    <row r="74" spans="1:211" s="7" customFormat="1" ht="17.25" customHeight="1">
      <c r="A74" s="7">
        <f t="shared" si="8"/>
        <v>74</v>
      </c>
      <c r="B74" s="26" t="s">
        <v>57</v>
      </c>
      <c r="C74" s="9" t="s">
        <v>478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54.870176429852201</v>
      </c>
      <c r="AX74" s="28">
        <v>85.021388640444997</v>
      </c>
      <c r="AY74" s="28">
        <v>6.1262042815115603E-3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0</v>
      </c>
      <c r="BQ74" s="28">
        <v>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0</v>
      </c>
      <c r="CH74" s="28">
        <v>0</v>
      </c>
      <c r="CI74" s="28">
        <v>0</v>
      </c>
      <c r="CJ74" s="28">
        <v>0</v>
      </c>
      <c r="CK74" s="28">
        <v>0</v>
      </c>
      <c r="CL74" s="28">
        <v>0</v>
      </c>
      <c r="CM74" s="28">
        <v>0</v>
      </c>
      <c r="CN74" s="28">
        <v>0</v>
      </c>
      <c r="CO74" s="28">
        <v>0</v>
      </c>
      <c r="CP74" s="28">
        <v>0</v>
      </c>
      <c r="CQ74" s="28">
        <v>0</v>
      </c>
      <c r="CR74" s="28">
        <v>0</v>
      </c>
      <c r="CS74" s="28">
        <v>0</v>
      </c>
      <c r="CT74" s="28">
        <v>0</v>
      </c>
      <c r="CU74" s="28">
        <v>0</v>
      </c>
      <c r="CV74" s="28">
        <v>0</v>
      </c>
      <c r="CW74" s="28">
        <v>0</v>
      </c>
      <c r="CX74" s="28">
        <v>0</v>
      </c>
      <c r="CY74" s="28">
        <v>0</v>
      </c>
      <c r="CZ74" s="28">
        <v>0</v>
      </c>
      <c r="DA74" s="28">
        <v>0</v>
      </c>
      <c r="DB74" s="28">
        <v>0</v>
      </c>
      <c r="DC74" s="28">
        <v>0</v>
      </c>
      <c r="DD74" s="28">
        <v>0</v>
      </c>
      <c r="DE74" s="28">
        <v>0</v>
      </c>
      <c r="DF74" s="28">
        <v>0</v>
      </c>
      <c r="DG74" s="28">
        <v>0</v>
      </c>
      <c r="DH74" s="28">
        <v>0</v>
      </c>
      <c r="DI74" s="28">
        <v>0</v>
      </c>
      <c r="DJ74" s="28">
        <v>0</v>
      </c>
      <c r="DK74" s="28">
        <v>0</v>
      </c>
      <c r="DL74" s="28">
        <v>0.31927699999999998</v>
      </c>
      <c r="DM74" s="28">
        <v>0</v>
      </c>
      <c r="DN74" s="28">
        <v>0</v>
      </c>
      <c r="DO74" s="28">
        <v>0</v>
      </c>
      <c r="DP74" s="28">
        <v>0</v>
      </c>
      <c r="DQ74" s="28">
        <v>0</v>
      </c>
      <c r="DR74" s="28">
        <v>0</v>
      </c>
      <c r="DS74" s="28">
        <v>0</v>
      </c>
      <c r="DT74" s="28">
        <v>0</v>
      </c>
      <c r="DU74" s="28">
        <v>0</v>
      </c>
      <c r="DV74" s="28">
        <v>0</v>
      </c>
      <c r="DW74" s="28">
        <v>0</v>
      </c>
      <c r="DX74" s="28">
        <v>0</v>
      </c>
      <c r="DY74" s="28">
        <v>0</v>
      </c>
      <c r="DZ74" s="28">
        <v>4.4519418736990497</v>
      </c>
      <c r="EA74" s="28">
        <v>0</v>
      </c>
      <c r="EB74" s="28">
        <v>0</v>
      </c>
      <c r="EC74" s="28">
        <v>0</v>
      </c>
      <c r="ED74" s="28">
        <v>0</v>
      </c>
      <c r="EE74" s="28">
        <v>19.9568975875682</v>
      </c>
      <c r="EF74" s="28">
        <v>0</v>
      </c>
      <c r="EG74" s="28">
        <v>0</v>
      </c>
      <c r="EH74" s="28">
        <v>0</v>
      </c>
      <c r="EI74" s="28">
        <v>0</v>
      </c>
      <c r="EJ74" s="28">
        <v>0</v>
      </c>
      <c r="EK74" s="28">
        <v>0</v>
      </c>
      <c r="EL74" s="28">
        <v>0</v>
      </c>
      <c r="EM74" s="28">
        <v>0</v>
      </c>
      <c r="EN74" s="28">
        <v>0</v>
      </c>
      <c r="EO74" s="28">
        <v>0</v>
      </c>
      <c r="EP74" s="28">
        <v>0</v>
      </c>
      <c r="EQ74" s="28">
        <v>0</v>
      </c>
      <c r="ER74" s="28">
        <v>0</v>
      </c>
      <c r="ES74" s="28">
        <v>0</v>
      </c>
      <c r="ET74" s="28">
        <v>0</v>
      </c>
      <c r="EU74" s="28">
        <v>0</v>
      </c>
      <c r="EV74" s="28">
        <v>0</v>
      </c>
      <c r="EW74" s="28">
        <v>0</v>
      </c>
      <c r="EX74" s="28">
        <v>24.9530694189298</v>
      </c>
      <c r="EY74" s="28">
        <v>0.61634498443841401</v>
      </c>
      <c r="EZ74" s="28">
        <v>2455.0575320468502</v>
      </c>
      <c r="FA74" s="28">
        <v>0</v>
      </c>
      <c r="FB74" s="28">
        <v>0</v>
      </c>
      <c r="FC74" s="28">
        <v>0</v>
      </c>
      <c r="FD74" s="28">
        <v>0</v>
      </c>
      <c r="FE74" s="28">
        <v>0</v>
      </c>
      <c r="FF74" s="28">
        <v>0</v>
      </c>
      <c r="FG74" s="28">
        <v>0</v>
      </c>
      <c r="FH74" s="28">
        <v>0</v>
      </c>
      <c r="FI74" s="28">
        <v>0</v>
      </c>
      <c r="FJ74" s="28">
        <v>0</v>
      </c>
      <c r="FK74" s="28">
        <v>0</v>
      </c>
      <c r="FL74" s="28">
        <v>0</v>
      </c>
      <c r="FM74" s="28">
        <v>0</v>
      </c>
      <c r="FN74" s="28">
        <v>0</v>
      </c>
      <c r="FO74" s="28">
        <v>0</v>
      </c>
      <c r="FP74" s="28">
        <v>0</v>
      </c>
      <c r="FQ74" s="28">
        <v>0</v>
      </c>
      <c r="FR74" s="28">
        <v>0</v>
      </c>
      <c r="FS74" s="28">
        <v>0</v>
      </c>
      <c r="FT74" s="28">
        <v>0</v>
      </c>
      <c r="FU74" s="28">
        <v>0</v>
      </c>
      <c r="FV74" s="28">
        <v>0</v>
      </c>
      <c r="FW74" s="28">
        <v>0</v>
      </c>
      <c r="FX74" s="28">
        <v>0</v>
      </c>
      <c r="FY74" s="28">
        <v>0</v>
      </c>
      <c r="FZ74" s="28">
        <v>0</v>
      </c>
      <c r="GA74" s="28">
        <v>0</v>
      </c>
      <c r="GB74" s="28">
        <v>0</v>
      </c>
      <c r="GC74" s="28">
        <v>0</v>
      </c>
      <c r="GD74" s="28">
        <v>0</v>
      </c>
      <c r="GE74" s="28">
        <v>0</v>
      </c>
      <c r="GF74" s="28">
        <v>0</v>
      </c>
      <c r="GG74" s="28">
        <v>0</v>
      </c>
      <c r="GH74" s="28">
        <v>0</v>
      </c>
      <c r="GI74" s="28">
        <v>0</v>
      </c>
      <c r="GJ74" s="28">
        <v>0</v>
      </c>
      <c r="GK74" s="28">
        <v>0</v>
      </c>
      <c r="GL74" s="28">
        <v>0</v>
      </c>
      <c r="GM74" s="28">
        <v>0</v>
      </c>
      <c r="GN74" s="28">
        <v>0</v>
      </c>
      <c r="GO74" s="28">
        <v>0</v>
      </c>
      <c r="GP74" s="28">
        <v>0</v>
      </c>
      <c r="GQ74" s="21">
        <v>2645.2527541860663</v>
      </c>
      <c r="GR74" s="21">
        <v>0</v>
      </c>
      <c r="GS74" s="20">
        <v>0</v>
      </c>
      <c r="GT74" s="20">
        <v>0</v>
      </c>
      <c r="GU74" s="20">
        <v>0</v>
      </c>
      <c r="GV74" s="20">
        <v>0</v>
      </c>
      <c r="GW74" s="20">
        <v>0</v>
      </c>
      <c r="GX74" s="21">
        <v>0</v>
      </c>
      <c r="GY74" s="20">
        <v>0</v>
      </c>
      <c r="GZ74" s="20">
        <v>0</v>
      </c>
      <c r="HA74" s="20"/>
      <c r="HB74" s="21">
        <v>0</v>
      </c>
      <c r="HC74" s="21">
        <v>2645.4779441860665</v>
      </c>
    </row>
    <row r="75" spans="1:211" s="7" customFormat="1" ht="17.25" customHeight="1">
      <c r="A75" s="7">
        <f t="shared" si="8"/>
        <v>75</v>
      </c>
      <c r="B75" s="26" t="s">
        <v>63</v>
      </c>
      <c r="C75" s="9" t="s">
        <v>479</v>
      </c>
      <c r="D75" s="28">
        <v>9.4665412300000001E-2</v>
      </c>
      <c r="E75" s="28">
        <v>0.26548699999999997</v>
      </c>
      <c r="F75" s="28">
        <v>1.4197024</v>
      </c>
      <c r="G75" s="28">
        <v>1.054986</v>
      </c>
      <c r="H75" s="28">
        <v>0.98</v>
      </c>
      <c r="I75" s="28">
        <v>1.242958848235</v>
      </c>
      <c r="J75" s="28">
        <v>0.15687899999999999</v>
      </c>
      <c r="K75" s="28">
        <v>0.101698798465</v>
      </c>
      <c r="L75" s="28">
        <v>1.4018195079739</v>
      </c>
      <c r="M75" s="28">
        <v>0.69550765555027905</v>
      </c>
      <c r="N75" s="28">
        <v>0.64984600000000003</v>
      </c>
      <c r="O75" s="28">
        <v>0.68654539999999997</v>
      </c>
      <c r="P75" s="28">
        <v>8.6549799999999996E-2</v>
      </c>
      <c r="Q75" s="28">
        <v>0.56568969999999996</v>
      </c>
      <c r="R75" s="28">
        <v>1.05654987</v>
      </c>
      <c r="S75" s="28">
        <v>1.6919519670190799</v>
      </c>
      <c r="T75" s="28">
        <v>0.26879799999999998</v>
      </c>
      <c r="U75" s="28">
        <v>0.25658999999999998</v>
      </c>
      <c r="V75" s="28">
        <v>3.6987654000000002E-2</v>
      </c>
      <c r="W75" s="28">
        <v>1.2619700000000001E-3</v>
      </c>
      <c r="X75" s="28">
        <v>5.146879E-2</v>
      </c>
      <c r="Y75" s="28">
        <v>0.19879640000000001</v>
      </c>
      <c r="Z75" s="28">
        <v>0.104336</v>
      </c>
      <c r="AA75" s="28">
        <v>8.6449999999999999E-2</v>
      </c>
      <c r="AB75" s="28">
        <v>8.6540000000000002E-3</v>
      </c>
      <c r="AC75" s="28">
        <v>0.116921987</v>
      </c>
      <c r="AD75" s="28">
        <v>2.16987E-3</v>
      </c>
      <c r="AE75" s="28">
        <v>8.6277530097307498</v>
      </c>
      <c r="AF75" s="28">
        <v>0</v>
      </c>
      <c r="AG75" s="28">
        <v>11.490461725251199</v>
      </c>
      <c r="AH75" s="28">
        <v>0.602108151490787</v>
      </c>
      <c r="AI75" s="28">
        <v>0.66970329010079699</v>
      </c>
      <c r="AJ75" s="28">
        <v>0.52436413494187095</v>
      </c>
      <c r="AK75" s="28">
        <v>30.467127547066301</v>
      </c>
      <c r="AL75" s="28">
        <v>15.082145816959001</v>
      </c>
      <c r="AM75" s="28">
        <v>1.1244054474206999</v>
      </c>
      <c r="AN75" s="28">
        <v>0</v>
      </c>
      <c r="AO75" s="28">
        <v>0</v>
      </c>
      <c r="AP75" s="28">
        <v>0.215892588387229</v>
      </c>
      <c r="AQ75" s="28">
        <v>0</v>
      </c>
      <c r="AR75" s="28">
        <v>0</v>
      </c>
      <c r="AS75" s="28">
        <v>0</v>
      </c>
      <c r="AT75" s="28">
        <v>19.5465482552639</v>
      </c>
      <c r="AU75" s="28">
        <v>1.62389234107658</v>
      </c>
      <c r="AV75" s="28">
        <v>2.7193925688363998</v>
      </c>
      <c r="AW75" s="28">
        <v>0.90254412684268104</v>
      </c>
      <c r="AX75" s="28">
        <v>10.571705928269999</v>
      </c>
      <c r="AY75" s="28">
        <v>6.9291583007018598E-2</v>
      </c>
      <c r="AZ75" s="28">
        <v>1.6947545383464799</v>
      </c>
      <c r="BA75" s="28">
        <v>0.16516262436463999</v>
      </c>
      <c r="BB75" s="28">
        <v>0.27535870430583298</v>
      </c>
      <c r="BC75" s="28">
        <v>3.6571820016700398</v>
      </c>
      <c r="BD75" s="28">
        <v>2.3124205644432902E-3</v>
      </c>
      <c r="BE75" s="28">
        <v>0</v>
      </c>
      <c r="BF75" s="28">
        <v>0</v>
      </c>
      <c r="BG75" s="28">
        <v>0.119752815885935</v>
      </c>
      <c r="BH75" s="28">
        <v>3.31755088710347</v>
      </c>
      <c r="BI75" s="28">
        <v>0.87376478778255895</v>
      </c>
      <c r="BJ75" s="28">
        <v>0.54924018280466103</v>
      </c>
      <c r="BK75" s="28">
        <v>0</v>
      </c>
      <c r="BL75" s="28">
        <v>2.0271057900479401</v>
      </c>
      <c r="BM75" s="28">
        <v>0.17903919338396801</v>
      </c>
      <c r="BN75" s="28">
        <v>0.93597526069998105</v>
      </c>
      <c r="BO75" s="28">
        <v>53.802015085396597</v>
      </c>
      <c r="BP75" s="28">
        <v>4.0860513889136498E-3</v>
      </c>
      <c r="BQ75" s="28">
        <v>4.9088810975185401E-2</v>
      </c>
      <c r="BR75" s="28">
        <v>2.1155383700663399E-2</v>
      </c>
      <c r="BS75" s="28">
        <v>0</v>
      </c>
      <c r="BT75" s="28">
        <v>0</v>
      </c>
      <c r="BU75" s="28">
        <v>0.55285962182743198</v>
      </c>
      <c r="BV75" s="28">
        <v>0</v>
      </c>
      <c r="BW75" s="28">
        <v>0</v>
      </c>
      <c r="BX75" s="28">
        <v>6.0213544011872098E-3</v>
      </c>
      <c r="BY75" s="28">
        <v>0.84525109848570501</v>
      </c>
      <c r="BZ75" s="28">
        <v>2.2413838862735801E-2</v>
      </c>
      <c r="CA75" s="28">
        <v>1.673575</v>
      </c>
      <c r="CB75" s="28">
        <v>0.87855484562399799</v>
      </c>
      <c r="CC75" s="28">
        <v>4.8158314080752003E-2</v>
      </c>
      <c r="CD75" s="28">
        <v>0.63271029206692597</v>
      </c>
      <c r="CE75" s="28">
        <v>0.21513749395107001</v>
      </c>
      <c r="CF75" s="28">
        <v>0</v>
      </c>
      <c r="CG75" s="28">
        <v>0.48508648129954501</v>
      </c>
      <c r="CH75" s="28">
        <v>0.13463028697143101</v>
      </c>
      <c r="CI75" s="28">
        <v>0.74400639967118098</v>
      </c>
      <c r="CJ75" s="28">
        <v>0.114705822529656</v>
      </c>
      <c r="CK75" s="28">
        <v>4.7961801931274299E-2</v>
      </c>
      <c r="CL75" s="28">
        <v>6.0388210143293299E-2</v>
      </c>
      <c r="CM75" s="28">
        <v>5.9373428981530196</v>
      </c>
      <c r="CN75" s="28">
        <v>6.3782674260437497E-3</v>
      </c>
      <c r="CO75" s="28">
        <v>0.20674517750740101</v>
      </c>
      <c r="CP75" s="28">
        <v>22.795089721679702</v>
      </c>
      <c r="CQ75" s="28">
        <v>1.14611489698291E-2</v>
      </c>
      <c r="CR75" s="28">
        <v>1.8671063813828299</v>
      </c>
      <c r="CS75" s="28">
        <v>4.2604229050605097E-2</v>
      </c>
      <c r="CT75" s="28">
        <v>1.64386761953164</v>
      </c>
      <c r="CU75" s="28">
        <v>1.31214530724253</v>
      </c>
      <c r="CV75" s="28">
        <v>1.07402170944669</v>
      </c>
      <c r="CW75" s="28">
        <v>0</v>
      </c>
      <c r="CX75" s="28">
        <v>0</v>
      </c>
      <c r="CY75" s="28">
        <v>1.2615529897703599</v>
      </c>
      <c r="CZ75" s="28">
        <v>0</v>
      </c>
      <c r="DA75" s="28">
        <v>0.97042436791549602</v>
      </c>
      <c r="DB75" s="28">
        <v>0.15070485776616999</v>
      </c>
      <c r="DC75" s="28">
        <v>0.78647115851009297</v>
      </c>
      <c r="DD75" s="28">
        <v>0</v>
      </c>
      <c r="DE75" s="28">
        <v>0</v>
      </c>
      <c r="DF75" s="28">
        <v>7.1892505237926493E-2</v>
      </c>
      <c r="DG75" s="28">
        <v>3.3448909793680399</v>
      </c>
      <c r="DH75" s="28">
        <v>1.1970916772193001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0.18306545760333001</v>
      </c>
      <c r="DP75" s="28">
        <v>0</v>
      </c>
      <c r="DQ75" s="28">
        <v>0</v>
      </c>
      <c r="DR75" s="28">
        <v>0</v>
      </c>
      <c r="DS75" s="28">
        <v>0</v>
      </c>
      <c r="DT75" s="28">
        <v>0</v>
      </c>
      <c r="DU75" s="28">
        <v>1.3578726460975501</v>
      </c>
      <c r="DV75" s="28">
        <v>0</v>
      </c>
      <c r="DW75" s="28">
        <v>0</v>
      </c>
      <c r="DX75" s="28">
        <v>2.76352290689031</v>
      </c>
      <c r="DY75" s="28">
        <v>3.9842130758705601</v>
      </c>
      <c r="DZ75" s="28">
        <v>1.1580168043261201</v>
      </c>
      <c r="EA75" s="28">
        <v>7.9120163166277499E-4</v>
      </c>
      <c r="EB75" s="28">
        <v>1.16644277887815E-2</v>
      </c>
      <c r="EC75" s="28">
        <v>1.6041391033428201</v>
      </c>
      <c r="ED75" s="28">
        <v>0</v>
      </c>
      <c r="EE75" s="28">
        <v>0</v>
      </c>
      <c r="EF75" s="28">
        <v>0</v>
      </c>
      <c r="EG75" s="28">
        <v>0.25216211321401599</v>
      </c>
      <c r="EH75" s="28">
        <v>0</v>
      </c>
      <c r="EI75" s="28">
        <v>0</v>
      </c>
      <c r="EJ75" s="28">
        <v>0</v>
      </c>
      <c r="EK75" s="28">
        <v>0</v>
      </c>
      <c r="EL75" s="28">
        <v>0</v>
      </c>
      <c r="EM75" s="28">
        <v>0</v>
      </c>
      <c r="EN75" s="28">
        <v>0</v>
      </c>
      <c r="EO75" s="28">
        <v>0</v>
      </c>
      <c r="EP75" s="28">
        <v>0</v>
      </c>
      <c r="EQ75" s="28">
        <v>0</v>
      </c>
      <c r="ER75" s="28">
        <v>0.14782881786367999</v>
      </c>
      <c r="ES75" s="28">
        <v>1.18857175420674</v>
      </c>
      <c r="ET75" s="28">
        <v>0.86323300232932498</v>
      </c>
      <c r="EU75" s="28">
        <v>0</v>
      </c>
      <c r="EV75" s="28">
        <v>0</v>
      </c>
      <c r="EW75" s="28">
        <v>0</v>
      </c>
      <c r="EX75" s="28">
        <v>0</v>
      </c>
      <c r="EY75" s="28">
        <v>0</v>
      </c>
      <c r="EZ75" s="28">
        <v>0</v>
      </c>
      <c r="FA75" s="28">
        <v>14.256</v>
      </c>
      <c r="FB75" s="28">
        <v>1.12976336634304</v>
      </c>
      <c r="FC75" s="28">
        <v>2.10527332693907E-3</v>
      </c>
      <c r="FD75" s="28">
        <v>0</v>
      </c>
      <c r="FE75" s="28">
        <v>0</v>
      </c>
      <c r="FF75" s="28">
        <v>0</v>
      </c>
      <c r="FG75" s="28">
        <v>0.240239126391431</v>
      </c>
      <c r="FH75" s="28">
        <v>0</v>
      </c>
      <c r="FI75" s="28">
        <v>6.9988032866781902</v>
      </c>
      <c r="FJ75" s="28">
        <v>0</v>
      </c>
      <c r="FK75" s="28">
        <v>0</v>
      </c>
      <c r="FL75" s="28">
        <v>6.2109273167035697E-2</v>
      </c>
      <c r="FM75" s="28">
        <v>0</v>
      </c>
      <c r="FN75" s="28">
        <v>0</v>
      </c>
      <c r="FO75" s="28">
        <v>0</v>
      </c>
      <c r="FP75" s="28">
        <v>0</v>
      </c>
      <c r="FQ75" s="28">
        <v>2.8800399992707799</v>
      </c>
      <c r="FR75" s="28">
        <v>0</v>
      </c>
      <c r="FS75" s="28">
        <v>12.7089406751568</v>
      </c>
      <c r="FT75" s="28">
        <v>8.5403460921083099</v>
      </c>
      <c r="FU75" s="28">
        <v>0</v>
      </c>
      <c r="FV75" s="28">
        <v>5.2200584144819304</v>
      </c>
      <c r="FW75" s="28">
        <v>0</v>
      </c>
      <c r="FX75" s="28">
        <v>0</v>
      </c>
      <c r="FY75" s="28">
        <v>0</v>
      </c>
      <c r="FZ75" s="28">
        <v>0</v>
      </c>
      <c r="GA75" s="28">
        <v>0</v>
      </c>
      <c r="GB75" s="28">
        <v>0</v>
      </c>
      <c r="GC75" s="28">
        <v>0</v>
      </c>
      <c r="GD75" s="28">
        <v>0</v>
      </c>
      <c r="GE75" s="28">
        <v>0</v>
      </c>
      <c r="GF75" s="28">
        <v>0</v>
      </c>
      <c r="GG75" s="28">
        <v>0</v>
      </c>
      <c r="GH75" s="28">
        <v>1.08500026939781</v>
      </c>
      <c r="GI75" s="28">
        <v>4.5040207736102102</v>
      </c>
      <c r="GJ75" s="28">
        <v>1.1393977365825601</v>
      </c>
      <c r="GK75" s="28">
        <v>17.8775069331022</v>
      </c>
      <c r="GL75" s="28">
        <v>0</v>
      </c>
      <c r="GM75" s="28">
        <v>0.91717944460039702</v>
      </c>
      <c r="GN75" s="28">
        <v>0</v>
      </c>
      <c r="GO75" s="28">
        <v>0</v>
      </c>
      <c r="GP75" s="28">
        <v>0</v>
      </c>
      <c r="GQ75" s="21">
        <v>325.41199691701627</v>
      </c>
      <c r="GR75" s="21">
        <v>147.47345382806475</v>
      </c>
      <c r="GS75" s="20">
        <v>147.47345382806475</v>
      </c>
      <c r="GT75" s="20">
        <v>0</v>
      </c>
      <c r="GU75" s="20">
        <v>0</v>
      </c>
      <c r="GV75" s="20">
        <v>0</v>
      </c>
      <c r="GW75" s="20">
        <v>0</v>
      </c>
      <c r="GX75" s="21">
        <v>0</v>
      </c>
      <c r="GY75" s="20">
        <v>0</v>
      </c>
      <c r="GZ75" s="20">
        <v>0</v>
      </c>
      <c r="HA75" s="20"/>
      <c r="HB75" s="21">
        <v>0</v>
      </c>
      <c r="HC75" s="21">
        <v>472.66026074508102</v>
      </c>
    </row>
    <row r="76" spans="1:211" s="7" customFormat="1" ht="17.25" customHeight="1">
      <c r="A76" s="7">
        <f t="shared" si="8"/>
        <v>76</v>
      </c>
      <c r="B76" s="26" t="s">
        <v>64</v>
      </c>
      <c r="C76" s="9" t="s">
        <v>480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0.217602055912373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8.9419855827028896E-2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174.50403601915801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28">
        <v>0</v>
      </c>
      <c r="CG76" s="28">
        <v>0</v>
      </c>
      <c r="CH76" s="28">
        <v>0</v>
      </c>
      <c r="CI76" s="28">
        <v>0</v>
      </c>
      <c r="CJ76" s="28">
        <v>0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0</v>
      </c>
      <c r="CR76" s="28">
        <v>0</v>
      </c>
      <c r="CS76" s="28">
        <v>0</v>
      </c>
      <c r="CT76" s="28">
        <v>0</v>
      </c>
      <c r="CU76" s="28">
        <v>0</v>
      </c>
      <c r="CV76" s="28">
        <v>0</v>
      </c>
      <c r="CW76" s="28">
        <v>0</v>
      </c>
      <c r="CX76" s="28">
        <v>0</v>
      </c>
      <c r="CY76" s="28">
        <v>0</v>
      </c>
      <c r="CZ76" s="28">
        <v>0</v>
      </c>
      <c r="DA76" s="28">
        <v>0</v>
      </c>
      <c r="DB76" s="28">
        <v>0</v>
      </c>
      <c r="DC76" s="28">
        <v>0</v>
      </c>
      <c r="DD76" s="28">
        <v>0</v>
      </c>
      <c r="DE76" s="28">
        <v>0</v>
      </c>
      <c r="DF76" s="28">
        <v>0</v>
      </c>
      <c r="DG76" s="28">
        <v>0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0</v>
      </c>
      <c r="DP76" s="28">
        <v>0</v>
      </c>
      <c r="DQ76" s="28">
        <v>0</v>
      </c>
      <c r="DR76" s="28">
        <v>0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0</v>
      </c>
      <c r="DY76" s="28">
        <v>0</v>
      </c>
      <c r="DZ76" s="28">
        <v>0</v>
      </c>
      <c r="EA76" s="28">
        <v>0</v>
      </c>
      <c r="EB76" s="28">
        <v>0</v>
      </c>
      <c r="EC76" s="28">
        <v>0</v>
      </c>
      <c r="ED76" s="28">
        <v>0</v>
      </c>
      <c r="EE76" s="28">
        <v>0</v>
      </c>
      <c r="EF76" s="28">
        <v>0</v>
      </c>
      <c r="EG76" s="28">
        <v>0</v>
      </c>
      <c r="EH76" s="28">
        <v>0</v>
      </c>
      <c r="EI76" s="28">
        <v>0</v>
      </c>
      <c r="EJ76" s="28">
        <v>0</v>
      </c>
      <c r="EK76" s="28">
        <v>0</v>
      </c>
      <c r="EL76" s="28">
        <v>0</v>
      </c>
      <c r="EM76" s="28">
        <v>0</v>
      </c>
      <c r="EN76" s="28">
        <v>0</v>
      </c>
      <c r="EO76" s="28">
        <v>0</v>
      </c>
      <c r="EP76" s="28">
        <v>0</v>
      </c>
      <c r="EQ76" s="28">
        <v>0</v>
      </c>
      <c r="ER76" s="28">
        <v>0</v>
      </c>
      <c r="ES76" s="28">
        <v>0</v>
      </c>
      <c r="ET76" s="28">
        <v>0</v>
      </c>
      <c r="EU76" s="28">
        <v>0</v>
      </c>
      <c r="EV76" s="28">
        <v>0</v>
      </c>
      <c r="EW76" s="28">
        <v>0</v>
      </c>
      <c r="EX76" s="28">
        <v>0</v>
      </c>
      <c r="EY76" s="28">
        <v>0</v>
      </c>
      <c r="EZ76" s="28">
        <v>0</v>
      </c>
      <c r="FA76" s="28">
        <v>0</v>
      </c>
      <c r="FB76" s="28">
        <v>0</v>
      </c>
      <c r="FC76" s="28">
        <v>0</v>
      </c>
      <c r="FD76" s="28">
        <v>0</v>
      </c>
      <c r="FE76" s="28">
        <v>0</v>
      </c>
      <c r="FF76" s="28">
        <v>0</v>
      </c>
      <c r="FG76" s="28">
        <v>0</v>
      </c>
      <c r="FH76" s="28">
        <v>0</v>
      </c>
      <c r="FI76" s="28">
        <v>0</v>
      </c>
      <c r="FJ76" s="28">
        <v>0</v>
      </c>
      <c r="FK76" s="28">
        <v>0</v>
      </c>
      <c r="FL76" s="28">
        <v>0</v>
      </c>
      <c r="FM76" s="28">
        <v>0</v>
      </c>
      <c r="FN76" s="28">
        <v>0</v>
      </c>
      <c r="FO76" s="28">
        <v>0</v>
      </c>
      <c r="FP76" s="28">
        <v>0</v>
      </c>
      <c r="FQ76" s="28">
        <v>0</v>
      </c>
      <c r="FR76" s="28">
        <v>0</v>
      </c>
      <c r="FS76" s="28">
        <v>10.3904678025199</v>
      </c>
      <c r="FT76" s="28">
        <v>830.81877708448496</v>
      </c>
      <c r="FU76" s="28">
        <v>0</v>
      </c>
      <c r="FV76" s="28">
        <v>0</v>
      </c>
      <c r="FW76" s="28">
        <v>0</v>
      </c>
      <c r="FX76" s="28">
        <v>0</v>
      </c>
      <c r="FY76" s="28">
        <v>0.90156453918011503</v>
      </c>
      <c r="FZ76" s="28">
        <v>0</v>
      </c>
      <c r="GA76" s="28">
        <v>0</v>
      </c>
      <c r="GB76" s="28">
        <v>0</v>
      </c>
      <c r="GC76" s="28">
        <v>0</v>
      </c>
      <c r="GD76" s="28">
        <v>0</v>
      </c>
      <c r="GE76" s="28">
        <v>0</v>
      </c>
      <c r="GF76" s="28">
        <v>0</v>
      </c>
      <c r="GG76" s="28">
        <v>13.6217742430236</v>
      </c>
      <c r="GH76" s="28">
        <v>0</v>
      </c>
      <c r="GI76" s="28">
        <v>1.10304722778154</v>
      </c>
      <c r="GJ76" s="28">
        <v>8.9307855196107795</v>
      </c>
      <c r="GK76" s="28">
        <v>1.6527217842414501</v>
      </c>
      <c r="GL76" s="28">
        <v>0</v>
      </c>
      <c r="GM76" s="28">
        <v>0</v>
      </c>
      <c r="GN76" s="28">
        <v>0</v>
      </c>
      <c r="GO76" s="28">
        <v>0</v>
      </c>
      <c r="GP76" s="28">
        <v>0</v>
      </c>
      <c r="GQ76" s="21">
        <v>1042.2301961317398</v>
      </c>
      <c r="GR76" s="21">
        <v>6021.3232543398899</v>
      </c>
      <c r="GS76" s="20">
        <v>6021.0464729666282</v>
      </c>
      <c r="GT76" s="20">
        <v>0</v>
      </c>
      <c r="GU76" s="20">
        <v>0.27678137326138452</v>
      </c>
      <c r="GV76" s="20">
        <v>0.27678137326138452</v>
      </c>
      <c r="GW76" s="20">
        <v>0</v>
      </c>
      <c r="GX76" s="21">
        <v>2.1317388374882285E-2</v>
      </c>
      <c r="GY76" s="20">
        <v>0</v>
      </c>
      <c r="GZ76" s="20">
        <v>2.1317388374882285E-2</v>
      </c>
      <c r="HA76" s="20"/>
      <c r="HB76" s="21">
        <v>31.216290153599999</v>
      </c>
      <c r="HC76" s="21">
        <v>7094.7910580136049</v>
      </c>
    </row>
    <row r="77" spans="1:211" s="7" customFormat="1" ht="17.25" customHeight="1">
      <c r="A77" s="7">
        <f t="shared" si="8"/>
        <v>77</v>
      </c>
      <c r="B77" s="26" t="s">
        <v>65</v>
      </c>
      <c r="C77" s="9" t="s">
        <v>481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0.70082357937227702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4.2738546448306401E-2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121.975699385246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  <c r="EU77" s="28">
        <v>0</v>
      </c>
      <c r="EV77" s="28">
        <v>0</v>
      </c>
      <c r="EW77" s="28">
        <v>0</v>
      </c>
      <c r="EX77" s="28">
        <v>0</v>
      </c>
      <c r="EY77" s="28">
        <v>0</v>
      </c>
      <c r="EZ77" s="28">
        <v>0</v>
      </c>
      <c r="FA77" s="28">
        <v>0</v>
      </c>
      <c r="FB77" s="28">
        <v>0</v>
      </c>
      <c r="FC77" s="28">
        <v>0</v>
      </c>
      <c r="FD77" s="28">
        <v>0</v>
      </c>
      <c r="FE77" s="28">
        <v>0</v>
      </c>
      <c r="FF77" s="28">
        <v>0</v>
      </c>
      <c r="FG77" s="28">
        <v>0</v>
      </c>
      <c r="FH77" s="28">
        <v>0</v>
      </c>
      <c r="FI77" s="28">
        <v>0</v>
      </c>
      <c r="FJ77" s="28">
        <v>0</v>
      </c>
      <c r="FK77" s="28">
        <v>0</v>
      </c>
      <c r="FL77" s="28">
        <v>0</v>
      </c>
      <c r="FM77" s="28">
        <v>0</v>
      </c>
      <c r="FN77" s="28">
        <v>0</v>
      </c>
      <c r="FO77" s="28">
        <v>0</v>
      </c>
      <c r="FP77" s="28">
        <v>0</v>
      </c>
      <c r="FQ77" s="28">
        <v>0</v>
      </c>
      <c r="FR77" s="28">
        <v>0</v>
      </c>
      <c r="FS77" s="28">
        <v>12.9715161562204</v>
      </c>
      <c r="FT77" s="28">
        <v>1030.88958792719</v>
      </c>
      <c r="FU77" s="28">
        <v>0</v>
      </c>
      <c r="FV77" s="28">
        <v>0</v>
      </c>
      <c r="FW77" s="28">
        <v>0</v>
      </c>
      <c r="FX77" s="28">
        <v>0</v>
      </c>
      <c r="FY77" s="28">
        <v>0</v>
      </c>
      <c r="FZ77" s="28">
        <v>0</v>
      </c>
      <c r="GA77" s="28">
        <v>0</v>
      </c>
      <c r="GB77" s="28">
        <v>0</v>
      </c>
      <c r="GC77" s="28">
        <v>0</v>
      </c>
      <c r="GD77" s="28">
        <v>0</v>
      </c>
      <c r="GE77" s="28">
        <v>0</v>
      </c>
      <c r="GF77" s="28">
        <v>0</v>
      </c>
      <c r="GG77" s="28">
        <v>0.238362994532406</v>
      </c>
      <c r="GH77" s="28">
        <v>0</v>
      </c>
      <c r="GI77" s="28">
        <v>0</v>
      </c>
      <c r="GJ77" s="28">
        <v>0</v>
      </c>
      <c r="GK77" s="28">
        <v>0</v>
      </c>
      <c r="GL77" s="28">
        <v>0</v>
      </c>
      <c r="GM77" s="28">
        <v>0</v>
      </c>
      <c r="GN77" s="28">
        <v>0</v>
      </c>
      <c r="GO77" s="28">
        <v>0</v>
      </c>
      <c r="GP77" s="28">
        <v>0</v>
      </c>
      <c r="GQ77" s="21">
        <v>1166.8187285890092</v>
      </c>
      <c r="GR77" s="21">
        <v>1960.2442771153601</v>
      </c>
      <c r="GS77" s="20">
        <v>1960.2442771153601</v>
      </c>
      <c r="GT77" s="20">
        <v>0</v>
      </c>
      <c r="GU77" s="20">
        <v>0</v>
      </c>
      <c r="GV77" s="20">
        <v>0</v>
      </c>
      <c r="GW77" s="20">
        <v>0</v>
      </c>
      <c r="GX77" s="21">
        <v>16.100496404392704</v>
      </c>
      <c r="GY77" s="20">
        <v>0</v>
      </c>
      <c r="GZ77" s="20">
        <v>16.100496404392704</v>
      </c>
      <c r="HA77" s="20"/>
      <c r="HB77" s="21">
        <v>0</v>
      </c>
      <c r="HC77" s="21">
        <v>3143.1635021087618</v>
      </c>
    </row>
    <row r="78" spans="1:211" s="7" customFormat="1" ht="17.25" customHeight="1">
      <c r="A78" s="7">
        <f t="shared" si="8"/>
        <v>78</v>
      </c>
      <c r="B78" s="26" t="s">
        <v>66</v>
      </c>
      <c r="C78" s="9" t="s">
        <v>482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0.53741569320855997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0.140391234332263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0.68468654232398996</v>
      </c>
      <c r="BK78" s="28">
        <v>0</v>
      </c>
      <c r="BL78" s="28">
        <v>0</v>
      </c>
      <c r="BM78" s="28">
        <v>0</v>
      </c>
      <c r="BN78" s="28">
        <v>0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0</v>
      </c>
      <c r="CB78" s="28">
        <v>0</v>
      </c>
      <c r="CC78" s="28">
        <v>0</v>
      </c>
      <c r="CD78" s="28">
        <v>0</v>
      </c>
      <c r="CE78" s="28">
        <v>0</v>
      </c>
      <c r="CF78" s="28">
        <v>0</v>
      </c>
      <c r="CG78" s="28">
        <v>0</v>
      </c>
      <c r="CH78" s="28">
        <v>0</v>
      </c>
      <c r="CI78" s="28">
        <v>0</v>
      </c>
      <c r="CJ78" s="28">
        <v>0</v>
      </c>
      <c r="CK78" s="28">
        <v>0</v>
      </c>
      <c r="CL78" s="28">
        <v>0</v>
      </c>
      <c r="CM78" s="28">
        <v>0</v>
      </c>
      <c r="CN78" s="28">
        <v>0</v>
      </c>
      <c r="CO78" s="28">
        <v>0</v>
      </c>
      <c r="CP78" s="28">
        <v>0</v>
      </c>
      <c r="CQ78" s="28">
        <v>0</v>
      </c>
      <c r="CR78" s="28">
        <v>0</v>
      </c>
      <c r="CS78" s="28">
        <v>0</v>
      </c>
      <c r="CT78" s="28">
        <v>0</v>
      </c>
      <c r="CU78" s="28">
        <v>0</v>
      </c>
      <c r="CV78" s="28">
        <v>0</v>
      </c>
      <c r="CW78" s="28">
        <v>0</v>
      </c>
      <c r="CX78" s="28">
        <v>0</v>
      </c>
      <c r="CY78" s="28">
        <v>0</v>
      </c>
      <c r="CZ78" s="28">
        <v>0</v>
      </c>
      <c r="DA78" s="28">
        <v>0</v>
      </c>
      <c r="DB78" s="28">
        <v>0</v>
      </c>
      <c r="DC78" s="28">
        <v>0</v>
      </c>
      <c r="DD78" s="28">
        <v>0</v>
      </c>
      <c r="DE78" s="28">
        <v>0</v>
      </c>
      <c r="DF78" s="28">
        <v>0</v>
      </c>
      <c r="DG78" s="28">
        <v>0</v>
      </c>
      <c r="DH78" s="28">
        <v>0</v>
      </c>
      <c r="DI78" s="28">
        <v>0</v>
      </c>
      <c r="DJ78" s="28">
        <v>0</v>
      </c>
      <c r="DK78" s="28">
        <v>0</v>
      </c>
      <c r="DL78" s="28">
        <v>0</v>
      </c>
      <c r="DM78" s="28">
        <v>0</v>
      </c>
      <c r="DN78" s="28">
        <v>0</v>
      </c>
      <c r="DO78" s="28">
        <v>0</v>
      </c>
      <c r="DP78" s="28">
        <v>0</v>
      </c>
      <c r="DQ78" s="28">
        <v>0</v>
      </c>
      <c r="DR78" s="28">
        <v>0</v>
      </c>
      <c r="DS78" s="28">
        <v>0</v>
      </c>
      <c r="DT78" s="28">
        <v>0</v>
      </c>
      <c r="DU78" s="28">
        <v>0</v>
      </c>
      <c r="DV78" s="28">
        <v>0</v>
      </c>
      <c r="DW78" s="28">
        <v>0</v>
      </c>
      <c r="DX78" s="28">
        <v>0</v>
      </c>
      <c r="DY78" s="28">
        <v>0</v>
      </c>
      <c r="DZ78" s="28">
        <v>0</v>
      </c>
      <c r="EA78" s="28">
        <v>0</v>
      </c>
      <c r="EB78" s="28">
        <v>0</v>
      </c>
      <c r="EC78" s="28">
        <v>0</v>
      </c>
      <c r="ED78" s="28">
        <v>0</v>
      </c>
      <c r="EE78" s="28">
        <v>0</v>
      </c>
      <c r="EF78" s="28">
        <v>0</v>
      </c>
      <c r="EG78" s="28">
        <v>0</v>
      </c>
      <c r="EH78" s="28">
        <v>0</v>
      </c>
      <c r="EI78" s="28">
        <v>0</v>
      </c>
      <c r="EJ78" s="28">
        <v>0</v>
      </c>
      <c r="EK78" s="28">
        <v>0</v>
      </c>
      <c r="EL78" s="28">
        <v>0</v>
      </c>
      <c r="EM78" s="28">
        <v>0</v>
      </c>
      <c r="EN78" s="28">
        <v>0</v>
      </c>
      <c r="EO78" s="28">
        <v>0</v>
      </c>
      <c r="EP78" s="28">
        <v>0</v>
      </c>
      <c r="EQ78" s="28">
        <v>0</v>
      </c>
      <c r="ER78" s="28">
        <v>0</v>
      </c>
      <c r="ES78" s="28">
        <v>0</v>
      </c>
      <c r="ET78" s="28">
        <v>0</v>
      </c>
      <c r="EU78" s="28">
        <v>0</v>
      </c>
      <c r="EV78" s="28">
        <v>0</v>
      </c>
      <c r="EW78" s="28">
        <v>0</v>
      </c>
      <c r="EX78" s="28">
        <v>0</v>
      </c>
      <c r="EY78" s="28">
        <v>0</v>
      </c>
      <c r="EZ78" s="28">
        <v>0</v>
      </c>
      <c r="FA78" s="28">
        <v>0</v>
      </c>
      <c r="FB78" s="28">
        <v>0</v>
      </c>
      <c r="FC78" s="28">
        <v>0</v>
      </c>
      <c r="FD78" s="28">
        <v>0</v>
      </c>
      <c r="FE78" s="28">
        <v>0</v>
      </c>
      <c r="FF78" s="28">
        <v>0</v>
      </c>
      <c r="FG78" s="28">
        <v>0</v>
      </c>
      <c r="FH78" s="28">
        <v>0</v>
      </c>
      <c r="FI78" s="28">
        <v>0</v>
      </c>
      <c r="FJ78" s="28">
        <v>0</v>
      </c>
      <c r="FK78" s="28">
        <v>0</v>
      </c>
      <c r="FL78" s="28">
        <v>0</v>
      </c>
      <c r="FM78" s="28">
        <v>0</v>
      </c>
      <c r="FN78" s="28">
        <v>0</v>
      </c>
      <c r="FO78" s="28">
        <v>0</v>
      </c>
      <c r="FP78" s="28">
        <v>0</v>
      </c>
      <c r="FQ78" s="28">
        <v>0</v>
      </c>
      <c r="FR78" s="28">
        <v>0</v>
      </c>
      <c r="FS78" s="28">
        <v>5.1029153180771099</v>
      </c>
      <c r="FT78" s="28">
        <v>405.54567454762702</v>
      </c>
      <c r="FU78" s="28">
        <v>0</v>
      </c>
      <c r="FV78" s="28">
        <v>0</v>
      </c>
      <c r="FW78" s="28">
        <v>0</v>
      </c>
      <c r="FX78" s="28">
        <v>0</v>
      </c>
      <c r="FY78" s="28">
        <v>0</v>
      </c>
      <c r="FZ78" s="28">
        <v>0</v>
      </c>
      <c r="GA78" s="28">
        <v>0</v>
      </c>
      <c r="GB78" s="28">
        <v>0</v>
      </c>
      <c r="GC78" s="28">
        <v>0</v>
      </c>
      <c r="GD78" s="28">
        <v>0</v>
      </c>
      <c r="GE78" s="28">
        <v>0</v>
      </c>
      <c r="GF78" s="28">
        <v>0</v>
      </c>
      <c r="GG78" s="28">
        <v>6.1772603772461798E-2</v>
      </c>
      <c r="GH78" s="28">
        <v>0</v>
      </c>
      <c r="GI78" s="28">
        <v>0</v>
      </c>
      <c r="GJ78" s="28">
        <v>0</v>
      </c>
      <c r="GK78" s="28">
        <v>0</v>
      </c>
      <c r="GL78" s="28">
        <v>0</v>
      </c>
      <c r="GM78" s="28">
        <v>0</v>
      </c>
      <c r="GN78" s="28">
        <v>0</v>
      </c>
      <c r="GO78" s="28">
        <v>0</v>
      </c>
      <c r="GP78" s="28">
        <v>0</v>
      </c>
      <c r="GQ78" s="21">
        <v>412.07285593934131</v>
      </c>
      <c r="GR78" s="21">
        <v>517.32406088718903</v>
      </c>
      <c r="GS78" s="20">
        <v>517.32406088718903</v>
      </c>
      <c r="GT78" s="20">
        <v>0</v>
      </c>
      <c r="GU78" s="20">
        <v>0</v>
      </c>
      <c r="GV78" s="20">
        <v>0</v>
      </c>
      <c r="GW78" s="20">
        <v>0</v>
      </c>
      <c r="GX78" s="21">
        <v>-0.2890100184719131</v>
      </c>
      <c r="GY78" s="20">
        <v>0</v>
      </c>
      <c r="GZ78" s="20">
        <v>-0.2890100184719131</v>
      </c>
      <c r="HA78" s="20"/>
      <c r="HB78" s="21">
        <v>0</v>
      </c>
      <c r="HC78" s="21">
        <v>929.10790680805837</v>
      </c>
    </row>
    <row r="79" spans="1:211" s="7" customFormat="1" ht="17.25" customHeight="1">
      <c r="A79" s="7">
        <f t="shared" ref="A79:A142" si="9">+A78+1</f>
        <v>79</v>
      </c>
      <c r="B79" s="26" t="s">
        <v>483</v>
      </c>
      <c r="C79" s="9" t="s">
        <v>484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0.911509923029592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0.17469352360023299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33.3314125700782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0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28">
        <v>0</v>
      </c>
      <c r="CZ79" s="28">
        <v>0</v>
      </c>
      <c r="DA79" s="28">
        <v>0</v>
      </c>
      <c r="DB79" s="28">
        <v>0</v>
      </c>
      <c r="DC79" s="28">
        <v>0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28">
        <v>0</v>
      </c>
      <c r="DL79" s="28">
        <v>0</v>
      </c>
      <c r="DM79" s="28">
        <v>0</v>
      </c>
      <c r="DN79" s="28">
        <v>0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0</v>
      </c>
      <c r="EI79" s="28">
        <v>0</v>
      </c>
      <c r="EJ79" s="28">
        <v>0</v>
      </c>
      <c r="EK79" s="28">
        <v>0</v>
      </c>
      <c r="EL79" s="28">
        <v>0</v>
      </c>
      <c r="EM79" s="28">
        <v>0</v>
      </c>
      <c r="EN79" s="28">
        <v>0</v>
      </c>
      <c r="EO79" s="28">
        <v>0</v>
      </c>
      <c r="EP79" s="28">
        <v>0</v>
      </c>
      <c r="EQ79" s="28">
        <v>0</v>
      </c>
      <c r="ER79" s="28">
        <v>0</v>
      </c>
      <c r="ES79" s="28">
        <v>0</v>
      </c>
      <c r="ET79" s="28">
        <v>0</v>
      </c>
      <c r="EU79" s="28">
        <v>0</v>
      </c>
      <c r="EV79" s="28">
        <v>0</v>
      </c>
      <c r="EW79" s="28">
        <v>0</v>
      </c>
      <c r="EX79" s="28">
        <v>0</v>
      </c>
      <c r="EY79" s="28">
        <v>0</v>
      </c>
      <c r="EZ79" s="28">
        <v>0</v>
      </c>
      <c r="FA79" s="28">
        <v>0</v>
      </c>
      <c r="FB79" s="28">
        <v>0</v>
      </c>
      <c r="FC79" s="28">
        <v>0</v>
      </c>
      <c r="FD79" s="28">
        <v>0</v>
      </c>
      <c r="FE79" s="28">
        <v>0</v>
      </c>
      <c r="FF79" s="28">
        <v>0</v>
      </c>
      <c r="FG79" s="28">
        <v>0</v>
      </c>
      <c r="FH79" s="28">
        <v>0</v>
      </c>
      <c r="FI79" s="28">
        <v>0</v>
      </c>
      <c r="FJ79" s="28">
        <v>0</v>
      </c>
      <c r="FK79" s="28">
        <v>0</v>
      </c>
      <c r="FL79" s="28">
        <v>0</v>
      </c>
      <c r="FM79" s="28">
        <v>0</v>
      </c>
      <c r="FN79" s="28">
        <v>0</v>
      </c>
      <c r="FO79" s="28">
        <v>0</v>
      </c>
      <c r="FP79" s="28">
        <v>0</v>
      </c>
      <c r="FQ79" s="28">
        <v>0</v>
      </c>
      <c r="FR79" s="28">
        <v>0</v>
      </c>
      <c r="FS79" s="28">
        <v>27.67555489834</v>
      </c>
      <c r="FT79" s="28">
        <v>1919.5112113452799</v>
      </c>
      <c r="FU79" s="28">
        <v>0</v>
      </c>
      <c r="FV79" s="28">
        <v>0</v>
      </c>
      <c r="FW79" s="28">
        <v>0</v>
      </c>
      <c r="FX79" s="28">
        <v>0</v>
      </c>
      <c r="FY79" s="28">
        <v>1.5425205787534799</v>
      </c>
      <c r="FZ79" s="28">
        <v>0</v>
      </c>
      <c r="GA79" s="28">
        <v>0</v>
      </c>
      <c r="GB79" s="28">
        <v>0</v>
      </c>
      <c r="GC79" s="28">
        <v>0</v>
      </c>
      <c r="GD79" s="28">
        <v>0</v>
      </c>
      <c r="GE79" s="28">
        <v>0</v>
      </c>
      <c r="GF79" s="28">
        <v>0</v>
      </c>
      <c r="GG79" s="28">
        <v>3.8432988202923002</v>
      </c>
      <c r="GH79" s="28">
        <v>0</v>
      </c>
      <c r="GI79" s="28">
        <v>0.62046406562711598</v>
      </c>
      <c r="GJ79" s="28">
        <v>15.280015849959099</v>
      </c>
      <c r="GK79" s="28">
        <v>6.7684813636208903</v>
      </c>
      <c r="GL79" s="28">
        <v>0</v>
      </c>
      <c r="GM79" s="28">
        <v>0</v>
      </c>
      <c r="GN79" s="28">
        <v>0</v>
      </c>
      <c r="GO79" s="28">
        <v>0</v>
      </c>
      <c r="GP79" s="28">
        <v>0</v>
      </c>
      <c r="GQ79" s="21">
        <v>2009.6591629385809</v>
      </c>
      <c r="GR79" s="21">
        <v>4096.93429462517</v>
      </c>
      <c r="GS79" s="20">
        <v>4091.1284289886466</v>
      </c>
      <c r="GT79" s="20">
        <v>0</v>
      </c>
      <c r="GU79" s="20">
        <v>5.8058656365231966</v>
      </c>
      <c r="GV79" s="20">
        <v>5.8058656365231966</v>
      </c>
      <c r="GW79" s="20">
        <v>0</v>
      </c>
      <c r="GX79" s="21">
        <v>89.981436700516255</v>
      </c>
      <c r="GY79" s="20">
        <v>0</v>
      </c>
      <c r="GZ79" s="20">
        <v>89.981436700516255</v>
      </c>
      <c r="HA79" s="20"/>
      <c r="HB79" s="21">
        <v>31.0399647340179</v>
      </c>
      <c r="HC79" s="21">
        <v>6227.6148589982859</v>
      </c>
    </row>
    <row r="80" spans="1:211" s="7" customFormat="1" ht="17.25" customHeight="1">
      <c r="A80" s="7">
        <f t="shared" si="9"/>
        <v>80</v>
      </c>
      <c r="B80" s="26" t="s">
        <v>485</v>
      </c>
      <c r="C80" s="9" t="s">
        <v>486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4.9156096898880598E-2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16.945600244904099</v>
      </c>
      <c r="BK80" s="28">
        <v>0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3.7559959881330802</v>
      </c>
      <c r="CH80" s="28">
        <v>0</v>
      </c>
      <c r="CI80" s="28">
        <v>0</v>
      </c>
      <c r="CJ80" s="28">
        <v>0</v>
      </c>
      <c r="CK80" s="28">
        <v>0</v>
      </c>
      <c r="CL80" s="28">
        <v>0</v>
      </c>
      <c r="CM80" s="28">
        <v>0</v>
      </c>
      <c r="CN80" s="28">
        <v>0</v>
      </c>
      <c r="CO80" s="28">
        <v>0</v>
      </c>
      <c r="CP80" s="28">
        <v>0</v>
      </c>
      <c r="CQ80" s="28">
        <v>0</v>
      </c>
      <c r="CR80" s="28">
        <v>0</v>
      </c>
      <c r="CS80" s="28">
        <v>0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28">
        <v>0</v>
      </c>
      <c r="DB80" s="28">
        <v>0</v>
      </c>
      <c r="DC80" s="28">
        <v>0</v>
      </c>
      <c r="DD80" s="28">
        <v>0</v>
      </c>
      <c r="DE80" s="28">
        <v>0</v>
      </c>
      <c r="DF80" s="28">
        <v>0</v>
      </c>
      <c r="DG80" s="28">
        <v>0</v>
      </c>
      <c r="DH80" s="28">
        <v>0</v>
      </c>
      <c r="DI80" s="28">
        <v>0</v>
      </c>
      <c r="DJ80" s="28">
        <v>0</v>
      </c>
      <c r="DK80" s="28">
        <v>0</v>
      </c>
      <c r="DL80" s="28">
        <v>0</v>
      </c>
      <c r="DM80" s="28">
        <v>0</v>
      </c>
      <c r="DN80" s="28">
        <v>0</v>
      </c>
      <c r="DO80" s="28">
        <v>0</v>
      </c>
      <c r="DP80" s="28">
        <v>0</v>
      </c>
      <c r="DQ80" s="28">
        <v>0</v>
      </c>
      <c r="DR80" s="28">
        <v>0</v>
      </c>
      <c r="DS80" s="28">
        <v>0</v>
      </c>
      <c r="DT80" s="28">
        <v>0</v>
      </c>
      <c r="DU80" s="28">
        <v>0</v>
      </c>
      <c r="DV80" s="28">
        <v>0</v>
      </c>
      <c r="DW80" s="28">
        <v>0</v>
      </c>
      <c r="DX80" s="28">
        <v>0</v>
      </c>
      <c r="DY80" s="28">
        <v>0</v>
      </c>
      <c r="DZ80" s="28">
        <v>0</v>
      </c>
      <c r="EA80" s="28">
        <v>0</v>
      </c>
      <c r="EB80" s="28">
        <v>0</v>
      </c>
      <c r="EC80" s="28">
        <v>0</v>
      </c>
      <c r="ED80" s="28">
        <v>0</v>
      </c>
      <c r="EE80" s="28">
        <v>0</v>
      </c>
      <c r="EF80" s="28">
        <v>0</v>
      </c>
      <c r="EG80" s="28">
        <v>0</v>
      </c>
      <c r="EH80" s="28">
        <v>0</v>
      </c>
      <c r="EI80" s="28">
        <v>0</v>
      </c>
      <c r="EJ80" s="28">
        <v>0</v>
      </c>
      <c r="EK80" s="28">
        <v>0</v>
      </c>
      <c r="EL80" s="28">
        <v>0</v>
      </c>
      <c r="EM80" s="28">
        <v>0</v>
      </c>
      <c r="EN80" s="28">
        <v>0</v>
      </c>
      <c r="EO80" s="28">
        <v>0</v>
      </c>
      <c r="EP80" s="28">
        <v>0</v>
      </c>
      <c r="EQ80" s="28">
        <v>0</v>
      </c>
      <c r="ER80" s="28">
        <v>0</v>
      </c>
      <c r="ES80" s="28">
        <v>0</v>
      </c>
      <c r="ET80" s="28">
        <v>0</v>
      </c>
      <c r="EU80" s="28">
        <v>0</v>
      </c>
      <c r="EV80" s="28">
        <v>0</v>
      </c>
      <c r="EW80" s="28">
        <v>0</v>
      </c>
      <c r="EX80" s="28">
        <v>0</v>
      </c>
      <c r="EY80" s="28">
        <v>0</v>
      </c>
      <c r="EZ80" s="28">
        <v>0</v>
      </c>
      <c r="FA80" s="28">
        <v>0</v>
      </c>
      <c r="FB80" s="28">
        <v>0</v>
      </c>
      <c r="FC80" s="28">
        <v>0</v>
      </c>
      <c r="FD80" s="28">
        <v>0</v>
      </c>
      <c r="FE80" s="28">
        <v>0</v>
      </c>
      <c r="FF80" s="28">
        <v>0</v>
      </c>
      <c r="FG80" s="28">
        <v>0</v>
      </c>
      <c r="FH80" s="28">
        <v>0</v>
      </c>
      <c r="FI80" s="28">
        <v>0</v>
      </c>
      <c r="FJ80" s="28">
        <v>0</v>
      </c>
      <c r="FK80" s="28">
        <v>0</v>
      </c>
      <c r="FL80" s="28">
        <v>0</v>
      </c>
      <c r="FM80" s="28">
        <v>0</v>
      </c>
      <c r="FN80" s="28">
        <v>0</v>
      </c>
      <c r="FO80" s="28">
        <v>0</v>
      </c>
      <c r="FP80" s="28">
        <v>0</v>
      </c>
      <c r="FQ80" s="28">
        <v>0</v>
      </c>
      <c r="FR80" s="28">
        <v>0</v>
      </c>
      <c r="FS80" s="28">
        <v>3.4047876400593502</v>
      </c>
      <c r="FT80" s="28">
        <v>268.64855838167301</v>
      </c>
      <c r="FU80" s="28">
        <v>0</v>
      </c>
      <c r="FV80" s="28">
        <v>0</v>
      </c>
      <c r="FW80" s="28">
        <v>0</v>
      </c>
      <c r="FX80" s="28">
        <v>0</v>
      </c>
      <c r="FY80" s="28">
        <v>0</v>
      </c>
      <c r="FZ80" s="28">
        <v>0</v>
      </c>
      <c r="GA80" s="28">
        <v>0</v>
      </c>
      <c r="GB80" s="28">
        <v>0</v>
      </c>
      <c r="GC80" s="28">
        <v>0</v>
      </c>
      <c r="GD80" s="28">
        <v>0</v>
      </c>
      <c r="GE80" s="28">
        <v>0</v>
      </c>
      <c r="GF80" s="28">
        <v>0</v>
      </c>
      <c r="GG80" s="28">
        <v>0.39126674787924298</v>
      </c>
      <c r="GH80" s="28">
        <v>0</v>
      </c>
      <c r="GI80" s="28">
        <v>0</v>
      </c>
      <c r="GJ80" s="28">
        <v>1.67452228492702</v>
      </c>
      <c r="GK80" s="28">
        <v>0</v>
      </c>
      <c r="GL80" s="28">
        <v>0</v>
      </c>
      <c r="GM80" s="28">
        <v>0</v>
      </c>
      <c r="GN80" s="28">
        <v>0</v>
      </c>
      <c r="GO80" s="28">
        <v>0</v>
      </c>
      <c r="GP80" s="28">
        <v>0</v>
      </c>
      <c r="GQ80" s="21">
        <v>294.86988738447531</v>
      </c>
      <c r="GR80" s="21">
        <v>1005.51655644837</v>
      </c>
      <c r="GS80" s="20">
        <v>1005.51655644837</v>
      </c>
      <c r="GT80" s="20">
        <v>0</v>
      </c>
      <c r="GU80" s="20">
        <v>0</v>
      </c>
      <c r="GV80" s="20">
        <v>0</v>
      </c>
      <c r="GW80" s="20">
        <v>0</v>
      </c>
      <c r="GX80" s="21">
        <v>-2.5011104298755527E-12</v>
      </c>
      <c r="GY80" s="20">
        <v>0</v>
      </c>
      <c r="GZ80" s="20">
        <v>-2.5011104298755527E-12</v>
      </c>
      <c r="HA80" s="20"/>
      <c r="HB80" s="21">
        <v>3.1911577032</v>
      </c>
      <c r="HC80" s="21">
        <v>1303.5776015360427</v>
      </c>
    </row>
    <row r="81" spans="1:211" s="7" customFormat="1" ht="17.25" customHeight="1">
      <c r="A81" s="7">
        <f t="shared" si="9"/>
        <v>81</v>
      </c>
      <c r="B81" s="26" t="s">
        <v>487</v>
      </c>
      <c r="C81" s="9" t="s">
        <v>488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0.64354706002414896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6.11299732109035E-2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0</v>
      </c>
      <c r="CU81" s="28">
        <v>0</v>
      </c>
      <c r="CV81" s="28">
        <v>0</v>
      </c>
      <c r="CW81" s="28">
        <v>0</v>
      </c>
      <c r="CX81" s="28">
        <v>0</v>
      </c>
      <c r="CY81" s="28">
        <v>0</v>
      </c>
      <c r="CZ81" s="28">
        <v>0</v>
      </c>
      <c r="DA81" s="28">
        <v>0</v>
      </c>
      <c r="DB81" s="28">
        <v>0</v>
      </c>
      <c r="DC81" s="28">
        <v>0</v>
      </c>
      <c r="DD81" s="28">
        <v>0</v>
      </c>
      <c r="DE81" s="28">
        <v>0</v>
      </c>
      <c r="DF81" s="28">
        <v>0</v>
      </c>
      <c r="DG81" s="28">
        <v>0</v>
      </c>
      <c r="DH81" s="28">
        <v>0</v>
      </c>
      <c r="DI81" s="28">
        <v>0</v>
      </c>
      <c r="DJ81" s="28">
        <v>0</v>
      </c>
      <c r="DK81" s="28">
        <v>0</v>
      </c>
      <c r="DL81" s="28">
        <v>0</v>
      </c>
      <c r="DM81" s="28">
        <v>0</v>
      </c>
      <c r="DN81" s="28">
        <v>0</v>
      </c>
      <c r="DO81" s="28">
        <v>0</v>
      </c>
      <c r="DP81" s="28">
        <v>0</v>
      </c>
      <c r="DQ81" s="28">
        <v>0</v>
      </c>
      <c r="DR81" s="28">
        <v>0</v>
      </c>
      <c r="DS81" s="28">
        <v>0</v>
      </c>
      <c r="DT81" s="28">
        <v>0</v>
      </c>
      <c r="DU81" s="28">
        <v>0</v>
      </c>
      <c r="DV81" s="28">
        <v>0</v>
      </c>
      <c r="DW81" s="28">
        <v>0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0</v>
      </c>
      <c r="EH81" s="28">
        <v>0</v>
      </c>
      <c r="EI81" s="28">
        <v>0</v>
      </c>
      <c r="EJ81" s="28">
        <v>0</v>
      </c>
      <c r="EK81" s="28">
        <v>0</v>
      </c>
      <c r="EL81" s="28">
        <v>0</v>
      </c>
      <c r="EM81" s="28">
        <v>0</v>
      </c>
      <c r="EN81" s="28">
        <v>0</v>
      </c>
      <c r="EO81" s="28">
        <v>0</v>
      </c>
      <c r="EP81" s="28">
        <v>0</v>
      </c>
      <c r="EQ81" s="28">
        <v>0</v>
      </c>
      <c r="ER81" s="28">
        <v>0</v>
      </c>
      <c r="ES81" s="28">
        <v>0</v>
      </c>
      <c r="ET81" s="28">
        <v>0</v>
      </c>
      <c r="EU81" s="28">
        <v>0</v>
      </c>
      <c r="EV81" s="28">
        <v>0</v>
      </c>
      <c r="EW81" s="28">
        <v>0</v>
      </c>
      <c r="EX81" s="28">
        <v>0</v>
      </c>
      <c r="EY81" s="28">
        <v>0</v>
      </c>
      <c r="EZ81" s="28">
        <v>0</v>
      </c>
      <c r="FA81" s="28">
        <v>0</v>
      </c>
      <c r="FB81" s="28">
        <v>0</v>
      </c>
      <c r="FC81" s="28">
        <v>0</v>
      </c>
      <c r="FD81" s="28">
        <v>0</v>
      </c>
      <c r="FE81" s="28">
        <v>0</v>
      </c>
      <c r="FF81" s="28">
        <v>0</v>
      </c>
      <c r="FG81" s="28">
        <v>0</v>
      </c>
      <c r="FH81" s="28">
        <v>0</v>
      </c>
      <c r="FI81" s="28">
        <v>0</v>
      </c>
      <c r="FJ81" s="28">
        <v>0</v>
      </c>
      <c r="FK81" s="28">
        <v>0</v>
      </c>
      <c r="FL81" s="28">
        <v>0</v>
      </c>
      <c r="FM81" s="28">
        <v>0</v>
      </c>
      <c r="FN81" s="28">
        <v>0</v>
      </c>
      <c r="FO81" s="28">
        <v>0</v>
      </c>
      <c r="FP81" s="28">
        <v>0</v>
      </c>
      <c r="FQ81" s="28">
        <v>0</v>
      </c>
      <c r="FR81" s="28">
        <v>0</v>
      </c>
      <c r="FS81" s="28">
        <v>2.7056959829188498</v>
      </c>
      <c r="FT81" s="28">
        <v>215.030670531901</v>
      </c>
      <c r="FU81" s="28">
        <v>0</v>
      </c>
      <c r="FV81" s="28">
        <v>0</v>
      </c>
      <c r="FW81" s="28">
        <v>0</v>
      </c>
      <c r="FX81" s="28">
        <v>0</v>
      </c>
      <c r="FY81" s="28">
        <v>0</v>
      </c>
      <c r="FZ81" s="28">
        <v>0</v>
      </c>
      <c r="GA81" s="28">
        <v>0</v>
      </c>
      <c r="GB81" s="28">
        <v>0</v>
      </c>
      <c r="GC81" s="28">
        <v>0</v>
      </c>
      <c r="GD81" s="28">
        <v>0</v>
      </c>
      <c r="GE81" s="28">
        <v>0</v>
      </c>
      <c r="GF81" s="28">
        <v>0</v>
      </c>
      <c r="GG81" s="28">
        <v>0.84445257498000303</v>
      </c>
      <c r="GH81" s="28">
        <v>0</v>
      </c>
      <c r="GI81" s="28">
        <v>0</v>
      </c>
      <c r="GJ81" s="28">
        <v>0</v>
      </c>
      <c r="GK81" s="28">
        <v>0</v>
      </c>
      <c r="GL81" s="28">
        <v>0</v>
      </c>
      <c r="GM81" s="28">
        <v>0</v>
      </c>
      <c r="GN81" s="28">
        <v>0</v>
      </c>
      <c r="GO81" s="28">
        <v>0</v>
      </c>
      <c r="GP81" s="28">
        <v>0</v>
      </c>
      <c r="GQ81" s="21">
        <v>219.28549612303505</v>
      </c>
      <c r="GR81" s="21">
        <v>943.51244075072202</v>
      </c>
      <c r="GS81" s="20">
        <v>943.50566480197119</v>
      </c>
      <c r="GT81" s="20">
        <v>0</v>
      </c>
      <c r="GU81" s="20">
        <v>6.7759487508615938E-3</v>
      </c>
      <c r="GV81" s="20">
        <v>6.7759487508615938E-3</v>
      </c>
      <c r="GW81" s="20">
        <v>0</v>
      </c>
      <c r="GX81" s="21">
        <v>-0.445892784424754</v>
      </c>
      <c r="GY81" s="20">
        <v>0</v>
      </c>
      <c r="GZ81" s="20">
        <v>-0.445892784424754</v>
      </c>
      <c r="HA81" s="20"/>
      <c r="HB81" s="21">
        <v>51.138550444800003</v>
      </c>
      <c r="HC81" s="21">
        <v>1213.4905945341322</v>
      </c>
    </row>
    <row r="82" spans="1:211" s="7" customFormat="1" ht="17.25" customHeight="1">
      <c r="A82" s="7">
        <f t="shared" si="9"/>
        <v>82</v>
      </c>
      <c r="B82" s="26" t="s">
        <v>68</v>
      </c>
      <c r="C82" s="9" t="s">
        <v>489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8.1707499768680095E-2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7.2345626260025803E-2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  <c r="EU82" s="28">
        <v>0</v>
      </c>
      <c r="EV82" s="28">
        <v>0</v>
      </c>
      <c r="EW82" s="28">
        <v>0</v>
      </c>
      <c r="EX82" s="28">
        <v>0</v>
      </c>
      <c r="EY82" s="28">
        <v>0</v>
      </c>
      <c r="EZ82" s="28">
        <v>0</v>
      </c>
      <c r="FA82" s="28">
        <v>0</v>
      </c>
      <c r="FB82" s="28">
        <v>0</v>
      </c>
      <c r="FC82" s="28">
        <v>0</v>
      </c>
      <c r="FD82" s="28">
        <v>0</v>
      </c>
      <c r="FE82" s="28">
        <v>0</v>
      </c>
      <c r="FF82" s="28">
        <v>0</v>
      </c>
      <c r="FG82" s="28">
        <v>0</v>
      </c>
      <c r="FH82" s="28">
        <v>0</v>
      </c>
      <c r="FI82" s="28">
        <v>0</v>
      </c>
      <c r="FJ82" s="28">
        <v>0</v>
      </c>
      <c r="FK82" s="28">
        <v>0</v>
      </c>
      <c r="FL82" s="28">
        <v>0</v>
      </c>
      <c r="FM82" s="28">
        <v>0</v>
      </c>
      <c r="FN82" s="28">
        <v>0</v>
      </c>
      <c r="FO82" s="28">
        <v>0</v>
      </c>
      <c r="FP82" s="28">
        <v>0</v>
      </c>
      <c r="FQ82" s="28">
        <v>0</v>
      </c>
      <c r="FR82" s="28">
        <v>0</v>
      </c>
      <c r="FS82" s="28">
        <v>1.93148148937322</v>
      </c>
      <c r="FT82" s="28">
        <v>153.50126636616099</v>
      </c>
      <c r="FU82" s="28">
        <v>0</v>
      </c>
      <c r="FV82" s="28">
        <v>0</v>
      </c>
      <c r="FW82" s="28">
        <v>0</v>
      </c>
      <c r="FX82" s="28">
        <v>0</v>
      </c>
      <c r="FY82" s="28">
        <v>0</v>
      </c>
      <c r="FZ82" s="28">
        <v>0</v>
      </c>
      <c r="GA82" s="28">
        <v>0</v>
      </c>
      <c r="GB82" s="28">
        <v>0</v>
      </c>
      <c r="GC82" s="28">
        <v>0</v>
      </c>
      <c r="GD82" s="28">
        <v>0</v>
      </c>
      <c r="GE82" s="28">
        <v>0</v>
      </c>
      <c r="GF82" s="28">
        <v>0</v>
      </c>
      <c r="GG82" s="28">
        <v>3.0123569632718699</v>
      </c>
      <c r="GH82" s="28">
        <v>0</v>
      </c>
      <c r="GI82" s="28">
        <v>0</v>
      </c>
      <c r="GJ82" s="28">
        <v>0.52118187303783103</v>
      </c>
      <c r="GK82" s="28">
        <v>0</v>
      </c>
      <c r="GL82" s="28">
        <v>0</v>
      </c>
      <c r="GM82" s="28">
        <v>0</v>
      </c>
      <c r="GN82" s="28">
        <v>0</v>
      </c>
      <c r="GO82" s="28">
        <v>0</v>
      </c>
      <c r="GP82" s="28">
        <v>0</v>
      </c>
      <c r="GQ82" s="21">
        <v>159.12033981787241</v>
      </c>
      <c r="GR82" s="21">
        <v>410.78340143379</v>
      </c>
      <c r="GS82" s="20">
        <v>410.30200415478504</v>
      </c>
      <c r="GT82" s="20">
        <v>0</v>
      </c>
      <c r="GU82" s="20">
        <v>0.48139727900496193</v>
      </c>
      <c r="GV82" s="20">
        <v>0.48139727900496193</v>
      </c>
      <c r="GW82" s="20">
        <v>0</v>
      </c>
      <c r="GX82" s="21">
        <v>0.20403875697843432</v>
      </c>
      <c r="GY82" s="20">
        <v>0</v>
      </c>
      <c r="GZ82" s="20">
        <v>0.20403875697843432</v>
      </c>
      <c r="HA82" s="20"/>
      <c r="HB82" s="21">
        <v>0</v>
      </c>
      <c r="HC82" s="21">
        <v>570.10778000864082</v>
      </c>
    </row>
    <row r="83" spans="1:211" s="7" customFormat="1" ht="17.25" customHeight="1">
      <c r="A83" s="7">
        <f t="shared" si="9"/>
        <v>83</v>
      </c>
      <c r="B83" s="26" t="s">
        <v>69</v>
      </c>
      <c r="C83" s="9" t="s">
        <v>490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4.6643900201790399E-3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0</v>
      </c>
      <c r="BO83" s="28">
        <v>0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2.4716960434728201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0</v>
      </c>
      <c r="CF83" s="28">
        <v>0</v>
      </c>
      <c r="CG83" s="28">
        <v>0</v>
      </c>
      <c r="CH83" s="28">
        <v>0</v>
      </c>
      <c r="CI83" s="28">
        <v>0</v>
      </c>
      <c r="CJ83" s="28">
        <v>0</v>
      </c>
      <c r="CK83" s="28">
        <v>0</v>
      </c>
      <c r="CL83" s="28">
        <v>0</v>
      </c>
      <c r="CM83" s="28">
        <v>0</v>
      </c>
      <c r="CN83" s="28">
        <v>0</v>
      </c>
      <c r="CO83" s="28">
        <v>0</v>
      </c>
      <c r="CP83" s="28">
        <v>0</v>
      </c>
      <c r="CQ83" s="28">
        <v>0</v>
      </c>
      <c r="CR83" s="28">
        <v>0</v>
      </c>
      <c r="CS83" s="28">
        <v>0</v>
      </c>
      <c r="CT83" s="28">
        <v>0</v>
      </c>
      <c r="CU83" s="28">
        <v>0</v>
      </c>
      <c r="CV83" s="28">
        <v>0</v>
      </c>
      <c r="CW83" s="28">
        <v>0</v>
      </c>
      <c r="CX83" s="28">
        <v>0</v>
      </c>
      <c r="CY83" s="28">
        <v>0</v>
      </c>
      <c r="CZ83" s="28">
        <v>0</v>
      </c>
      <c r="DA83" s="28">
        <v>0</v>
      </c>
      <c r="DB83" s="28">
        <v>0</v>
      </c>
      <c r="DC83" s="28">
        <v>0</v>
      </c>
      <c r="DD83" s="28">
        <v>0</v>
      </c>
      <c r="DE83" s="28">
        <v>0</v>
      </c>
      <c r="DF83" s="28">
        <v>0</v>
      </c>
      <c r="DG83" s="28">
        <v>0</v>
      </c>
      <c r="DH83" s="28">
        <v>0</v>
      </c>
      <c r="DI83" s="28">
        <v>0</v>
      </c>
      <c r="DJ83" s="28">
        <v>0</v>
      </c>
      <c r="DK83" s="28">
        <v>0</v>
      </c>
      <c r="DL83" s="28">
        <v>0</v>
      </c>
      <c r="DM83" s="28">
        <v>0</v>
      </c>
      <c r="DN83" s="28">
        <v>0</v>
      </c>
      <c r="DO83" s="28">
        <v>0</v>
      </c>
      <c r="DP83" s="28">
        <v>0</v>
      </c>
      <c r="DQ83" s="28">
        <v>0</v>
      </c>
      <c r="DR83" s="28">
        <v>0</v>
      </c>
      <c r="DS83" s="28">
        <v>0</v>
      </c>
      <c r="DT83" s="28">
        <v>0</v>
      </c>
      <c r="DU83" s="28">
        <v>0</v>
      </c>
      <c r="DV83" s="28">
        <v>0</v>
      </c>
      <c r="DW83" s="28">
        <v>0</v>
      </c>
      <c r="DX83" s="28">
        <v>0</v>
      </c>
      <c r="DY83" s="28">
        <v>0</v>
      </c>
      <c r="DZ83" s="28">
        <v>0</v>
      </c>
      <c r="EA83" s="28">
        <v>0</v>
      </c>
      <c r="EB83" s="28">
        <v>0</v>
      </c>
      <c r="EC83" s="28">
        <v>0</v>
      </c>
      <c r="ED83" s="28">
        <v>0</v>
      </c>
      <c r="EE83" s="28">
        <v>0</v>
      </c>
      <c r="EF83" s="28">
        <v>0</v>
      </c>
      <c r="EG83" s="28">
        <v>0</v>
      </c>
      <c r="EH83" s="28">
        <v>0</v>
      </c>
      <c r="EI83" s="28">
        <v>0</v>
      </c>
      <c r="EJ83" s="28">
        <v>0</v>
      </c>
      <c r="EK83" s="28">
        <v>0</v>
      </c>
      <c r="EL83" s="28">
        <v>0</v>
      </c>
      <c r="EM83" s="28">
        <v>0</v>
      </c>
      <c r="EN83" s="28">
        <v>0</v>
      </c>
      <c r="EO83" s="28">
        <v>0</v>
      </c>
      <c r="EP83" s="28">
        <v>0</v>
      </c>
      <c r="EQ83" s="28">
        <v>0</v>
      </c>
      <c r="ER83" s="28">
        <v>0</v>
      </c>
      <c r="ES83" s="28">
        <v>0</v>
      </c>
      <c r="ET83" s="28">
        <v>0</v>
      </c>
      <c r="EU83" s="28">
        <v>0</v>
      </c>
      <c r="EV83" s="28">
        <v>0</v>
      </c>
      <c r="EW83" s="28">
        <v>0</v>
      </c>
      <c r="EX83" s="28">
        <v>0</v>
      </c>
      <c r="EY83" s="28">
        <v>0</v>
      </c>
      <c r="EZ83" s="28">
        <v>0</v>
      </c>
      <c r="FA83" s="28">
        <v>0</v>
      </c>
      <c r="FB83" s="28">
        <v>0</v>
      </c>
      <c r="FC83" s="28">
        <v>0</v>
      </c>
      <c r="FD83" s="28">
        <v>0</v>
      </c>
      <c r="FE83" s="28">
        <v>0</v>
      </c>
      <c r="FF83" s="28">
        <v>0</v>
      </c>
      <c r="FG83" s="28">
        <v>0</v>
      </c>
      <c r="FH83" s="28">
        <v>0</v>
      </c>
      <c r="FI83" s="28">
        <v>0</v>
      </c>
      <c r="FJ83" s="28">
        <v>0</v>
      </c>
      <c r="FK83" s="28">
        <v>0</v>
      </c>
      <c r="FL83" s="28">
        <v>0</v>
      </c>
      <c r="FM83" s="28">
        <v>0</v>
      </c>
      <c r="FN83" s="28">
        <v>0</v>
      </c>
      <c r="FO83" s="28">
        <v>0</v>
      </c>
      <c r="FP83" s="28">
        <v>0</v>
      </c>
      <c r="FQ83" s="28">
        <v>0</v>
      </c>
      <c r="FR83" s="28">
        <v>0</v>
      </c>
      <c r="FS83" s="28">
        <v>0.32432528326769899</v>
      </c>
      <c r="FT83" s="28">
        <v>22.9050448535667</v>
      </c>
      <c r="FU83" s="28">
        <v>0</v>
      </c>
      <c r="FV83" s="28">
        <v>0</v>
      </c>
      <c r="FW83" s="28">
        <v>0</v>
      </c>
      <c r="FX83" s="28">
        <v>0</v>
      </c>
      <c r="FY83" s="28">
        <v>0.65220876046375198</v>
      </c>
      <c r="FZ83" s="28">
        <v>0</v>
      </c>
      <c r="GA83" s="28">
        <v>0</v>
      </c>
      <c r="GB83" s="28">
        <v>0</v>
      </c>
      <c r="GC83" s="28">
        <v>0</v>
      </c>
      <c r="GD83" s="28">
        <v>0</v>
      </c>
      <c r="GE83" s="28">
        <v>0</v>
      </c>
      <c r="GF83" s="28">
        <v>0</v>
      </c>
      <c r="GG83" s="28">
        <v>1.57375319433844</v>
      </c>
      <c r="GH83" s="28">
        <v>0</v>
      </c>
      <c r="GI83" s="28">
        <v>0.61310167628854595</v>
      </c>
      <c r="GJ83" s="28">
        <v>6.46069837552617</v>
      </c>
      <c r="GK83" s="28">
        <v>6.68816697026522</v>
      </c>
      <c r="GL83" s="28">
        <v>0</v>
      </c>
      <c r="GM83" s="28">
        <v>0</v>
      </c>
      <c r="GN83" s="28">
        <v>0</v>
      </c>
      <c r="GO83" s="28">
        <v>0</v>
      </c>
      <c r="GP83" s="28">
        <v>0</v>
      </c>
      <c r="GQ83" s="21">
        <v>41.693659547209528</v>
      </c>
      <c r="GR83" s="21">
        <v>971.60119134525405</v>
      </c>
      <c r="GS83" s="20">
        <v>946.37446941926112</v>
      </c>
      <c r="GT83" s="20">
        <v>6.1250361975058798</v>
      </c>
      <c r="GU83" s="20">
        <v>19.101685728487045</v>
      </c>
      <c r="GV83" s="20">
        <v>19.101685728487045</v>
      </c>
      <c r="GW83" s="20">
        <v>0</v>
      </c>
      <c r="GX83" s="21">
        <v>-0.57422228487882876</v>
      </c>
      <c r="GY83" s="20">
        <v>0</v>
      </c>
      <c r="GZ83" s="20">
        <v>-0.57422228487882876</v>
      </c>
      <c r="HA83" s="20"/>
      <c r="HB83" s="21">
        <v>2.2450176000000002</v>
      </c>
      <c r="HC83" s="21">
        <v>1014.9656462075848</v>
      </c>
    </row>
    <row r="84" spans="1:211" s="7" customFormat="1" ht="17.25" customHeight="1">
      <c r="A84" s="7">
        <f t="shared" si="9"/>
        <v>84</v>
      </c>
      <c r="B84" s="26" t="s">
        <v>70</v>
      </c>
      <c r="C84" s="9" t="s">
        <v>491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1.27241162455037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37.5344930861921</v>
      </c>
      <c r="BO84" s="28">
        <v>6.7568830000000002</v>
      </c>
      <c r="BP84" s="28">
        <v>0.95822756852695701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8.0938213040946501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99.501094814741407</v>
      </c>
      <c r="CI84" s="28">
        <v>0</v>
      </c>
      <c r="CJ84" s="28">
        <v>0</v>
      </c>
      <c r="CK84" s="28">
        <v>0</v>
      </c>
      <c r="CL84" s="28">
        <v>0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  <c r="CR84" s="28">
        <v>0</v>
      </c>
      <c r="CS84" s="28">
        <v>0</v>
      </c>
      <c r="CT84" s="28">
        <v>0</v>
      </c>
      <c r="CU84" s="28">
        <v>0</v>
      </c>
      <c r="CV84" s="28">
        <v>0</v>
      </c>
      <c r="CW84" s="28">
        <v>0</v>
      </c>
      <c r="CX84" s="28">
        <v>0</v>
      </c>
      <c r="CY84" s="28">
        <v>0</v>
      </c>
      <c r="CZ84" s="28">
        <v>0</v>
      </c>
      <c r="DA84" s="28">
        <v>0</v>
      </c>
      <c r="DB84" s="28">
        <v>0</v>
      </c>
      <c r="DC84" s="28">
        <v>0</v>
      </c>
      <c r="DD84" s="28">
        <v>0</v>
      </c>
      <c r="DE84" s="28">
        <v>0</v>
      </c>
      <c r="DF84" s="28">
        <v>0</v>
      </c>
      <c r="DG84" s="28">
        <v>0</v>
      </c>
      <c r="DH84" s="28">
        <v>0</v>
      </c>
      <c r="DI84" s="28">
        <v>0</v>
      </c>
      <c r="DJ84" s="28">
        <v>0</v>
      </c>
      <c r="DK84" s="28">
        <v>0</v>
      </c>
      <c r="DL84" s="28">
        <v>0</v>
      </c>
      <c r="DM84" s="28">
        <v>0</v>
      </c>
      <c r="DN84" s="28">
        <v>0</v>
      </c>
      <c r="DO84" s="28">
        <v>0</v>
      </c>
      <c r="DP84" s="28">
        <v>0</v>
      </c>
      <c r="DQ84" s="28">
        <v>0</v>
      </c>
      <c r="DR84" s="28">
        <v>0</v>
      </c>
      <c r="DS84" s="28">
        <v>0</v>
      </c>
      <c r="DT84" s="28">
        <v>0</v>
      </c>
      <c r="DU84" s="28">
        <v>0</v>
      </c>
      <c r="DV84" s="28">
        <v>0</v>
      </c>
      <c r="DW84" s="28">
        <v>0</v>
      </c>
      <c r="DX84" s="28">
        <v>0</v>
      </c>
      <c r="DY84" s="28">
        <v>0</v>
      </c>
      <c r="DZ84" s="28">
        <v>0</v>
      </c>
      <c r="EA84" s="28">
        <v>0</v>
      </c>
      <c r="EB84" s="28">
        <v>0</v>
      </c>
      <c r="EC84" s="28">
        <v>0</v>
      </c>
      <c r="ED84" s="28">
        <v>0</v>
      </c>
      <c r="EE84" s="28">
        <v>0</v>
      </c>
      <c r="EF84" s="28">
        <v>0</v>
      </c>
      <c r="EG84" s="28">
        <v>0</v>
      </c>
      <c r="EH84" s="28">
        <v>0</v>
      </c>
      <c r="EI84" s="28">
        <v>0</v>
      </c>
      <c r="EJ84" s="28">
        <v>0</v>
      </c>
      <c r="EK84" s="28">
        <v>0</v>
      </c>
      <c r="EL84" s="28">
        <v>0</v>
      </c>
      <c r="EM84" s="28">
        <v>0</v>
      </c>
      <c r="EN84" s="28">
        <v>0</v>
      </c>
      <c r="EO84" s="28">
        <v>0</v>
      </c>
      <c r="EP84" s="28">
        <v>0</v>
      </c>
      <c r="EQ84" s="28">
        <v>0</v>
      </c>
      <c r="ER84" s="28">
        <v>0</v>
      </c>
      <c r="ES84" s="28">
        <v>0</v>
      </c>
      <c r="ET84" s="28">
        <v>0</v>
      </c>
      <c r="EU84" s="28">
        <v>0</v>
      </c>
      <c r="EV84" s="28">
        <v>0</v>
      </c>
      <c r="EW84" s="28">
        <v>0</v>
      </c>
      <c r="EX84" s="28">
        <v>0</v>
      </c>
      <c r="EY84" s="28">
        <v>0</v>
      </c>
      <c r="EZ84" s="28">
        <v>0</v>
      </c>
      <c r="FA84" s="28">
        <v>0</v>
      </c>
      <c r="FB84" s="28">
        <v>0</v>
      </c>
      <c r="FC84" s="28">
        <v>0</v>
      </c>
      <c r="FD84" s="28">
        <v>0</v>
      </c>
      <c r="FE84" s="28">
        <v>0</v>
      </c>
      <c r="FF84" s="28">
        <v>0</v>
      </c>
      <c r="FG84" s="28">
        <v>0</v>
      </c>
      <c r="FH84" s="28">
        <v>0</v>
      </c>
      <c r="FI84" s="28">
        <v>0</v>
      </c>
      <c r="FJ84" s="28">
        <v>0</v>
      </c>
      <c r="FK84" s="28">
        <v>0</v>
      </c>
      <c r="FL84" s="28">
        <v>0</v>
      </c>
      <c r="FM84" s="28">
        <v>0</v>
      </c>
      <c r="FN84" s="28">
        <v>0</v>
      </c>
      <c r="FO84" s="28">
        <v>0</v>
      </c>
      <c r="FP84" s="28">
        <v>0</v>
      </c>
      <c r="FQ84" s="28">
        <v>0</v>
      </c>
      <c r="FR84" s="28">
        <v>0</v>
      </c>
      <c r="FS84" s="28">
        <v>0.32432528326769899</v>
      </c>
      <c r="FT84" s="28">
        <v>23.5360537753964</v>
      </c>
      <c r="FU84" s="28">
        <v>0</v>
      </c>
      <c r="FV84" s="28">
        <v>0</v>
      </c>
      <c r="FW84" s="28">
        <v>0</v>
      </c>
      <c r="FX84" s="28">
        <v>0</v>
      </c>
      <c r="FY84" s="28">
        <v>0.79404441363902101</v>
      </c>
      <c r="FZ84" s="28">
        <v>0</v>
      </c>
      <c r="GA84" s="28">
        <v>0</v>
      </c>
      <c r="GB84" s="28">
        <v>0</v>
      </c>
      <c r="GC84" s="28">
        <v>0</v>
      </c>
      <c r="GD84" s="28">
        <v>0</v>
      </c>
      <c r="GE84" s="28">
        <v>0</v>
      </c>
      <c r="GF84" s="28">
        <v>0</v>
      </c>
      <c r="GG84" s="28">
        <v>22.191872514043698</v>
      </c>
      <c r="GH84" s="28">
        <v>0</v>
      </c>
      <c r="GI84" s="28">
        <v>2.86954230358872</v>
      </c>
      <c r="GJ84" s="28">
        <v>7.86570460912779</v>
      </c>
      <c r="GK84" s="28">
        <v>31.303091798444999</v>
      </c>
      <c r="GL84" s="28">
        <v>0</v>
      </c>
      <c r="GM84" s="28">
        <v>0</v>
      </c>
      <c r="GN84" s="28">
        <v>0</v>
      </c>
      <c r="GO84" s="28">
        <v>0</v>
      </c>
      <c r="GP84" s="28">
        <v>0</v>
      </c>
      <c r="GQ84" s="21">
        <v>243.00156609561387</v>
      </c>
      <c r="GR84" s="21">
        <v>605.46426934625299</v>
      </c>
      <c r="GS84" s="20">
        <v>567.99856595323558</v>
      </c>
      <c r="GT84" s="20">
        <v>0</v>
      </c>
      <c r="GU84" s="20">
        <v>37.465703393017463</v>
      </c>
      <c r="GV84" s="20">
        <v>37.465703393017463</v>
      </c>
      <c r="GW84" s="20">
        <v>0</v>
      </c>
      <c r="GX84" s="21">
        <v>-98.384739211202614</v>
      </c>
      <c r="GY84" s="20">
        <v>0</v>
      </c>
      <c r="GZ84" s="20">
        <v>-98.384739211202614</v>
      </c>
      <c r="HA84" s="20"/>
      <c r="HB84" s="21">
        <v>127.2853181232</v>
      </c>
      <c r="HC84" s="21">
        <v>877.36641435386423</v>
      </c>
    </row>
    <row r="85" spans="1:211" s="7" customFormat="1" ht="17.25" customHeight="1">
      <c r="A85" s="7">
        <f t="shared" si="9"/>
        <v>85</v>
      </c>
      <c r="B85" s="26" t="s">
        <v>72</v>
      </c>
      <c r="C85" s="9" t="s">
        <v>492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1.8356943479893799E-2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14.4460980364909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0</v>
      </c>
      <c r="CH85" s="28">
        <v>0</v>
      </c>
      <c r="CI85" s="28">
        <v>0.766987264156342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28">
        <v>0</v>
      </c>
      <c r="DA85" s="28">
        <v>0</v>
      </c>
      <c r="DB85" s="28">
        <v>0</v>
      </c>
      <c r="DC85" s="28">
        <v>0</v>
      </c>
      <c r="DD85" s="28">
        <v>0</v>
      </c>
      <c r="DE85" s="28">
        <v>0</v>
      </c>
      <c r="DF85" s="28">
        <v>0</v>
      </c>
      <c r="DG85" s="28">
        <v>0</v>
      </c>
      <c r="DH85" s="28">
        <v>0</v>
      </c>
      <c r="DI85" s="28">
        <v>0</v>
      </c>
      <c r="DJ85" s="28">
        <v>0</v>
      </c>
      <c r="DK85" s="28">
        <v>0</v>
      </c>
      <c r="DL85" s="28">
        <v>0</v>
      </c>
      <c r="DM85" s="28">
        <v>0</v>
      </c>
      <c r="DN85" s="28">
        <v>0</v>
      </c>
      <c r="DO85" s="28">
        <v>0</v>
      </c>
      <c r="DP85" s="28">
        <v>0</v>
      </c>
      <c r="DQ85" s="28">
        <v>0</v>
      </c>
      <c r="DR85" s="28">
        <v>0</v>
      </c>
      <c r="DS85" s="28">
        <v>0</v>
      </c>
      <c r="DT85" s="28">
        <v>0</v>
      </c>
      <c r="DU85" s="28">
        <v>0</v>
      </c>
      <c r="DV85" s="28">
        <v>0</v>
      </c>
      <c r="DW85" s="28">
        <v>0</v>
      </c>
      <c r="DX85" s="28">
        <v>0</v>
      </c>
      <c r="DY85" s="28">
        <v>0</v>
      </c>
      <c r="DZ85" s="28">
        <v>0</v>
      </c>
      <c r="EA85" s="28">
        <v>0</v>
      </c>
      <c r="EB85" s="28">
        <v>0</v>
      </c>
      <c r="EC85" s="28">
        <v>0</v>
      </c>
      <c r="ED85" s="28">
        <v>0</v>
      </c>
      <c r="EE85" s="28">
        <v>0</v>
      </c>
      <c r="EF85" s="28">
        <v>0</v>
      </c>
      <c r="EG85" s="28">
        <v>0</v>
      </c>
      <c r="EH85" s="28">
        <v>0</v>
      </c>
      <c r="EI85" s="28">
        <v>0</v>
      </c>
      <c r="EJ85" s="28">
        <v>0</v>
      </c>
      <c r="EK85" s="28">
        <v>0</v>
      </c>
      <c r="EL85" s="28">
        <v>0</v>
      </c>
      <c r="EM85" s="28">
        <v>0</v>
      </c>
      <c r="EN85" s="28">
        <v>0</v>
      </c>
      <c r="EO85" s="28">
        <v>0</v>
      </c>
      <c r="EP85" s="28">
        <v>0</v>
      </c>
      <c r="EQ85" s="28">
        <v>0</v>
      </c>
      <c r="ER85" s="28">
        <v>0</v>
      </c>
      <c r="ES85" s="28">
        <v>0</v>
      </c>
      <c r="ET85" s="28">
        <v>0</v>
      </c>
      <c r="EU85" s="28">
        <v>0</v>
      </c>
      <c r="EV85" s="28">
        <v>0</v>
      </c>
      <c r="EW85" s="28">
        <v>0</v>
      </c>
      <c r="EX85" s="28">
        <v>0</v>
      </c>
      <c r="EY85" s="28">
        <v>0</v>
      </c>
      <c r="EZ85" s="28">
        <v>0</v>
      </c>
      <c r="FA85" s="28">
        <v>0</v>
      </c>
      <c r="FB85" s="28">
        <v>0</v>
      </c>
      <c r="FC85" s="28">
        <v>0</v>
      </c>
      <c r="FD85" s="28">
        <v>0</v>
      </c>
      <c r="FE85" s="28">
        <v>0</v>
      </c>
      <c r="FF85" s="28">
        <v>0</v>
      </c>
      <c r="FG85" s="28">
        <v>0</v>
      </c>
      <c r="FH85" s="28">
        <v>0</v>
      </c>
      <c r="FI85" s="28">
        <v>0</v>
      </c>
      <c r="FJ85" s="28">
        <v>0</v>
      </c>
      <c r="FK85" s="28">
        <v>0</v>
      </c>
      <c r="FL85" s="28">
        <v>0</v>
      </c>
      <c r="FM85" s="28">
        <v>0</v>
      </c>
      <c r="FN85" s="28">
        <v>0</v>
      </c>
      <c r="FO85" s="28">
        <v>0</v>
      </c>
      <c r="FP85" s="28">
        <v>0</v>
      </c>
      <c r="FQ85" s="28">
        <v>0</v>
      </c>
      <c r="FR85" s="28">
        <v>0</v>
      </c>
      <c r="FS85" s="28">
        <v>1.26744220245557</v>
      </c>
      <c r="FT85" s="28">
        <v>99.229445759872803</v>
      </c>
      <c r="FU85" s="28">
        <v>0</v>
      </c>
      <c r="FV85" s="28">
        <v>0</v>
      </c>
      <c r="FW85" s="28">
        <v>0</v>
      </c>
      <c r="FX85" s="28">
        <v>0</v>
      </c>
      <c r="FY85" s="28">
        <v>0.12722180564167801</v>
      </c>
      <c r="FZ85" s="28">
        <v>0</v>
      </c>
      <c r="GA85" s="28">
        <v>0</v>
      </c>
      <c r="GB85" s="28">
        <v>0</v>
      </c>
      <c r="GC85" s="28">
        <v>0</v>
      </c>
      <c r="GD85" s="28">
        <v>0</v>
      </c>
      <c r="GE85" s="28">
        <v>0</v>
      </c>
      <c r="GF85" s="28">
        <v>0</v>
      </c>
      <c r="GG85" s="28">
        <v>1.03726504430133</v>
      </c>
      <c r="GH85" s="28">
        <v>0</v>
      </c>
      <c r="GI85" s="28">
        <v>0.55680273325902196</v>
      </c>
      <c r="GJ85" s="28">
        <v>2.1307796857894301</v>
      </c>
      <c r="GK85" s="28">
        <v>6.0740164210279497</v>
      </c>
      <c r="GL85" s="28">
        <v>0</v>
      </c>
      <c r="GM85" s="28">
        <v>0</v>
      </c>
      <c r="GN85" s="28">
        <v>0</v>
      </c>
      <c r="GO85" s="28">
        <v>0</v>
      </c>
      <c r="GP85" s="28">
        <v>0</v>
      </c>
      <c r="GQ85" s="21">
        <v>125.65441589647456</v>
      </c>
      <c r="GR85" s="21">
        <v>815.17689218858902</v>
      </c>
      <c r="GS85" s="20">
        <v>815.14364365672725</v>
      </c>
      <c r="GT85" s="20">
        <v>0</v>
      </c>
      <c r="GU85" s="20">
        <v>3.3248531861742585E-2</v>
      </c>
      <c r="GV85" s="20">
        <v>3.3248531861742585E-2</v>
      </c>
      <c r="GW85" s="20">
        <v>0</v>
      </c>
      <c r="GX85" s="21">
        <v>-1.9561564033190031</v>
      </c>
      <c r="GY85" s="20">
        <v>0</v>
      </c>
      <c r="GZ85" s="20">
        <v>-1.9561564033190031</v>
      </c>
      <c r="HA85" s="20"/>
      <c r="HB85" s="21">
        <v>10.032116508</v>
      </c>
      <c r="HC85" s="21">
        <v>948.90726818974451</v>
      </c>
    </row>
    <row r="86" spans="1:211" s="7" customFormat="1" ht="17.25" customHeight="1">
      <c r="A86" s="7">
        <f t="shared" si="9"/>
        <v>86</v>
      </c>
      <c r="B86" s="26" t="s">
        <v>75</v>
      </c>
      <c r="C86" s="9" t="s">
        <v>493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9.7408052544369107E-3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0</v>
      </c>
      <c r="CG86" s="28">
        <v>0</v>
      </c>
      <c r="CH86" s="28">
        <v>0</v>
      </c>
      <c r="CI86" s="28">
        <v>0</v>
      </c>
      <c r="CJ86" s="28">
        <v>0</v>
      </c>
      <c r="CK86" s="28">
        <v>0</v>
      </c>
      <c r="CL86" s="28">
        <v>0</v>
      </c>
      <c r="CM86" s="28">
        <v>0</v>
      </c>
      <c r="CN86" s="28">
        <v>0</v>
      </c>
      <c r="CO86" s="28">
        <v>0</v>
      </c>
      <c r="CP86" s="28">
        <v>0</v>
      </c>
      <c r="CQ86" s="28">
        <v>0</v>
      </c>
      <c r="CR86" s="28">
        <v>0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28">
        <v>0</v>
      </c>
      <c r="CY86" s="28">
        <v>0</v>
      </c>
      <c r="CZ86" s="28">
        <v>0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28">
        <v>0</v>
      </c>
      <c r="DI86" s="28">
        <v>0</v>
      </c>
      <c r="DJ86" s="28">
        <v>0</v>
      </c>
      <c r="DK86" s="28">
        <v>0</v>
      </c>
      <c r="DL86" s="28">
        <v>0</v>
      </c>
      <c r="DM86" s="28">
        <v>0</v>
      </c>
      <c r="DN86" s="28">
        <v>0</v>
      </c>
      <c r="DO86" s="28">
        <v>0</v>
      </c>
      <c r="DP86" s="28">
        <v>0</v>
      </c>
      <c r="DQ86" s="28">
        <v>0</v>
      </c>
      <c r="DR86" s="28">
        <v>0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0</v>
      </c>
      <c r="EB86" s="28">
        <v>0</v>
      </c>
      <c r="EC86" s="28">
        <v>0</v>
      </c>
      <c r="ED86" s="28">
        <v>0</v>
      </c>
      <c r="EE86" s="28">
        <v>0</v>
      </c>
      <c r="EF86" s="28">
        <v>0</v>
      </c>
      <c r="EG86" s="28">
        <v>0</v>
      </c>
      <c r="EH86" s="28">
        <v>0</v>
      </c>
      <c r="EI86" s="28">
        <v>0</v>
      </c>
      <c r="EJ86" s="28">
        <v>0</v>
      </c>
      <c r="EK86" s="28">
        <v>0</v>
      </c>
      <c r="EL86" s="28">
        <v>0</v>
      </c>
      <c r="EM86" s="28">
        <v>0</v>
      </c>
      <c r="EN86" s="28">
        <v>0</v>
      </c>
      <c r="EO86" s="28">
        <v>0</v>
      </c>
      <c r="EP86" s="28">
        <v>0</v>
      </c>
      <c r="EQ86" s="28">
        <v>0</v>
      </c>
      <c r="ER86" s="28">
        <v>0</v>
      </c>
      <c r="ES86" s="28">
        <v>0</v>
      </c>
      <c r="ET86" s="28">
        <v>0</v>
      </c>
      <c r="EU86" s="28">
        <v>0</v>
      </c>
      <c r="EV86" s="28">
        <v>0</v>
      </c>
      <c r="EW86" s="28">
        <v>0</v>
      </c>
      <c r="EX86" s="28">
        <v>0</v>
      </c>
      <c r="EY86" s="28">
        <v>0</v>
      </c>
      <c r="EZ86" s="28">
        <v>0</v>
      </c>
      <c r="FA86" s="28">
        <v>0</v>
      </c>
      <c r="FB86" s="28">
        <v>0</v>
      </c>
      <c r="FC86" s="28">
        <v>0</v>
      </c>
      <c r="FD86" s="28">
        <v>0</v>
      </c>
      <c r="FE86" s="28">
        <v>0</v>
      </c>
      <c r="FF86" s="28">
        <v>0</v>
      </c>
      <c r="FG86" s="28">
        <v>0</v>
      </c>
      <c r="FH86" s="28">
        <v>0</v>
      </c>
      <c r="FI86" s="28">
        <v>0</v>
      </c>
      <c r="FJ86" s="28">
        <v>0</v>
      </c>
      <c r="FK86" s="28">
        <v>0</v>
      </c>
      <c r="FL86" s="28">
        <v>0</v>
      </c>
      <c r="FM86" s="28">
        <v>0</v>
      </c>
      <c r="FN86" s="28">
        <v>0</v>
      </c>
      <c r="FO86" s="28">
        <v>0</v>
      </c>
      <c r="FP86" s="28">
        <v>0</v>
      </c>
      <c r="FQ86" s="28">
        <v>0</v>
      </c>
      <c r="FR86" s="28">
        <v>0</v>
      </c>
      <c r="FS86" s="28">
        <v>0.66139128022348004</v>
      </c>
      <c r="FT86" s="28">
        <v>52.562967668298</v>
      </c>
      <c r="FU86" s="28">
        <v>0</v>
      </c>
      <c r="FV86" s="28">
        <v>0</v>
      </c>
      <c r="FW86" s="28">
        <v>0</v>
      </c>
      <c r="FX86" s="28">
        <v>0</v>
      </c>
      <c r="FY86" s="28">
        <v>0</v>
      </c>
      <c r="FZ86" s="28">
        <v>0</v>
      </c>
      <c r="GA86" s="28">
        <v>0</v>
      </c>
      <c r="GB86" s="28">
        <v>0</v>
      </c>
      <c r="GC86" s="28">
        <v>0</v>
      </c>
      <c r="GD86" s="28">
        <v>0</v>
      </c>
      <c r="GE86" s="28">
        <v>0</v>
      </c>
      <c r="GF86" s="28">
        <v>0</v>
      </c>
      <c r="GG86" s="28">
        <v>2.7636690214037398</v>
      </c>
      <c r="GH86" s="28">
        <v>0</v>
      </c>
      <c r="GI86" s="28">
        <v>0.223958432710851</v>
      </c>
      <c r="GJ86" s="28">
        <v>1.8608644013204001</v>
      </c>
      <c r="GK86" s="28">
        <v>2.4431043826801302</v>
      </c>
      <c r="GL86" s="28">
        <v>0</v>
      </c>
      <c r="GM86" s="28">
        <v>0</v>
      </c>
      <c r="GN86" s="28">
        <v>0</v>
      </c>
      <c r="GO86" s="28">
        <v>0</v>
      </c>
      <c r="GP86" s="28">
        <v>0</v>
      </c>
      <c r="GQ86" s="21">
        <v>60.525695991891062</v>
      </c>
      <c r="GR86" s="21">
        <v>560.76976302553498</v>
      </c>
      <c r="GS86" s="20">
        <v>470.59996595742484</v>
      </c>
      <c r="GT86" s="20">
        <v>0</v>
      </c>
      <c r="GU86" s="20">
        <v>90.169797068110142</v>
      </c>
      <c r="GV86" s="20">
        <v>90.169797068110142</v>
      </c>
      <c r="GW86" s="20">
        <v>0</v>
      </c>
      <c r="GX86" s="21">
        <v>13.396092767674329</v>
      </c>
      <c r="GY86" s="20">
        <v>0</v>
      </c>
      <c r="GZ86" s="20">
        <v>13.396092767674329</v>
      </c>
      <c r="HA86" s="20"/>
      <c r="HB86" s="21">
        <v>0</v>
      </c>
      <c r="HC86" s="21">
        <v>634.69155178510039</v>
      </c>
    </row>
    <row r="87" spans="1:211" s="7" customFormat="1" ht="17.25" customHeight="1">
      <c r="A87" s="7">
        <f t="shared" si="9"/>
        <v>87</v>
      </c>
      <c r="B87" s="26" t="s">
        <v>494</v>
      </c>
      <c r="C87" s="10" t="s">
        <v>495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7.8060278462142004E-3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8">
        <v>0</v>
      </c>
      <c r="BE87" s="28">
        <v>0</v>
      </c>
      <c r="BF87" s="28">
        <v>0</v>
      </c>
      <c r="BG87" s="28">
        <v>0</v>
      </c>
      <c r="BH87" s="28">
        <v>0</v>
      </c>
      <c r="BI87" s="28">
        <v>0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8.9656920000000007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0</v>
      </c>
      <c r="BV87" s="28">
        <v>15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28">
        <v>0</v>
      </c>
      <c r="CG87" s="28">
        <v>2.1526260000000002</v>
      </c>
      <c r="CH87" s="28">
        <v>0</v>
      </c>
      <c r="CI87" s="28">
        <v>0</v>
      </c>
      <c r="CJ87" s="28">
        <v>0</v>
      </c>
      <c r="CK87" s="28">
        <v>0</v>
      </c>
      <c r="CL87" s="28">
        <v>0</v>
      </c>
      <c r="CM87" s="28">
        <v>0</v>
      </c>
      <c r="CN87" s="28">
        <v>0</v>
      </c>
      <c r="CO87" s="28">
        <v>0</v>
      </c>
      <c r="CP87" s="28">
        <v>0</v>
      </c>
      <c r="CQ87" s="28">
        <v>0</v>
      </c>
      <c r="CR87" s="28">
        <v>0</v>
      </c>
      <c r="CS87" s="28">
        <v>0</v>
      </c>
      <c r="CT87" s="28">
        <v>0</v>
      </c>
      <c r="CU87" s="28">
        <v>0</v>
      </c>
      <c r="CV87" s="28">
        <v>0</v>
      </c>
      <c r="CW87" s="28">
        <v>0</v>
      </c>
      <c r="CX87" s="28">
        <v>0</v>
      </c>
      <c r="CY87" s="28">
        <v>0</v>
      </c>
      <c r="CZ87" s="28">
        <v>0</v>
      </c>
      <c r="DA87" s="28">
        <v>0</v>
      </c>
      <c r="DB87" s="28">
        <v>0</v>
      </c>
      <c r="DC87" s="28">
        <v>0</v>
      </c>
      <c r="DD87" s="28">
        <v>0</v>
      </c>
      <c r="DE87" s="28">
        <v>0</v>
      </c>
      <c r="DF87" s="28">
        <v>0</v>
      </c>
      <c r="DG87" s="28">
        <v>0</v>
      </c>
      <c r="DH87" s="28">
        <v>0</v>
      </c>
      <c r="DI87" s="28">
        <v>0</v>
      </c>
      <c r="DJ87" s="28">
        <v>0</v>
      </c>
      <c r="DK87" s="28">
        <v>0</v>
      </c>
      <c r="DL87" s="28">
        <v>0</v>
      </c>
      <c r="DM87" s="28">
        <v>0</v>
      </c>
      <c r="DN87" s="28">
        <v>0</v>
      </c>
      <c r="DO87" s="28">
        <v>0</v>
      </c>
      <c r="DP87" s="28">
        <v>0</v>
      </c>
      <c r="DQ87" s="28">
        <v>0</v>
      </c>
      <c r="DR87" s="28">
        <v>0</v>
      </c>
      <c r="DS87" s="28">
        <v>0</v>
      </c>
      <c r="DT87" s="28">
        <v>0</v>
      </c>
      <c r="DU87" s="28">
        <v>0</v>
      </c>
      <c r="DV87" s="28">
        <v>0</v>
      </c>
      <c r="DW87" s="28">
        <v>0</v>
      </c>
      <c r="DX87" s="28">
        <v>0</v>
      </c>
      <c r="DY87" s="28">
        <v>0</v>
      </c>
      <c r="DZ87" s="28">
        <v>0</v>
      </c>
      <c r="EA87" s="28">
        <v>0</v>
      </c>
      <c r="EB87" s="28">
        <v>0</v>
      </c>
      <c r="EC87" s="28">
        <v>0</v>
      </c>
      <c r="ED87" s="28">
        <v>0</v>
      </c>
      <c r="EE87" s="28">
        <v>0</v>
      </c>
      <c r="EF87" s="28">
        <v>0</v>
      </c>
      <c r="EG87" s="28">
        <v>0</v>
      </c>
      <c r="EH87" s="28">
        <v>0</v>
      </c>
      <c r="EI87" s="28">
        <v>0</v>
      </c>
      <c r="EJ87" s="28">
        <v>0</v>
      </c>
      <c r="EK87" s="28">
        <v>0</v>
      </c>
      <c r="EL87" s="28">
        <v>0</v>
      </c>
      <c r="EM87" s="28">
        <v>0</v>
      </c>
      <c r="EN87" s="28">
        <v>0</v>
      </c>
      <c r="EO87" s="28">
        <v>0</v>
      </c>
      <c r="EP87" s="28">
        <v>0</v>
      </c>
      <c r="EQ87" s="28">
        <v>0</v>
      </c>
      <c r="ER87" s="28">
        <v>0</v>
      </c>
      <c r="ES87" s="28">
        <v>0</v>
      </c>
      <c r="ET87" s="28">
        <v>0</v>
      </c>
      <c r="EU87" s="28">
        <v>0</v>
      </c>
      <c r="EV87" s="28">
        <v>0</v>
      </c>
      <c r="EW87" s="28">
        <v>0</v>
      </c>
      <c r="EX87" s="28">
        <v>0</v>
      </c>
      <c r="EY87" s="28">
        <v>0</v>
      </c>
      <c r="EZ87" s="28">
        <v>0</v>
      </c>
      <c r="FA87" s="28">
        <v>0</v>
      </c>
      <c r="FB87" s="28">
        <v>0</v>
      </c>
      <c r="FC87" s="28">
        <v>0</v>
      </c>
      <c r="FD87" s="28">
        <v>0</v>
      </c>
      <c r="FE87" s="28">
        <v>0</v>
      </c>
      <c r="FF87" s="28">
        <v>0</v>
      </c>
      <c r="FG87" s="28">
        <v>0</v>
      </c>
      <c r="FH87" s="28">
        <v>0</v>
      </c>
      <c r="FI87" s="28">
        <v>0</v>
      </c>
      <c r="FJ87" s="28">
        <v>0</v>
      </c>
      <c r="FK87" s="28">
        <v>0</v>
      </c>
      <c r="FL87" s="28">
        <v>0</v>
      </c>
      <c r="FM87" s="28">
        <v>0</v>
      </c>
      <c r="FN87" s="28">
        <v>0</v>
      </c>
      <c r="FO87" s="28">
        <v>0</v>
      </c>
      <c r="FP87" s="28">
        <v>0</v>
      </c>
      <c r="FQ87" s="28">
        <v>0</v>
      </c>
      <c r="FR87" s="28">
        <v>0</v>
      </c>
      <c r="FS87" s="28">
        <v>0.59450650273516503</v>
      </c>
      <c r="FT87" s="28">
        <v>49.791830024139102</v>
      </c>
      <c r="FU87" s="28">
        <v>0</v>
      </c>
      <c r="FV87" s="28">
        <v>0</v>
      </c>
      <c r="FW87" s="28">
        <v>0</v>
      </c>
      <c r="FX87" s="28">
        <v>0</v>
      </c>
      <c r="FY87" s="28">
        <v>0</v>
      </c>
      <c r="FZ87" s="28">
        <v>0</v>
      </c>
      <c r="GA87" s="28">
        <v>0</v>
      </c>
      <c r="GB87" s="28">
        <v>0</v>
      </c>
      <c r="GC87" s="28">
        <v>0</v>
      </c>
      <c r="GD87" s="28">
        <v>0</v>
      </c>
      <c r="GE87" s="28">
        <v>0</v>
      </c>
      <c r="GF87" s="28">
        <v>0</v>
      </c>
      <c r="GG87" s="28">
        <v>4.1813478796663102</v>
      </c>
      <c r="GH87" s="28">
        <v>0</v>
      </c>
      <c r="GI87" s="28">
        <v>0.59237624121723798</v>
      </c>
      <c r="GJ87" s="28">
        <v>0.84619634841262403</v>
      </c>
      <c r="GK87" s="28">
        <v>6.4620785812602897</v>
      </c>
      <c r="GL87" s="28">
        <v>0</v>
      </c>
      <c r="GM87" s="28">
        <v>0</v>
      </c>
      <c r="GN87" s="28">
        <v>0</v>
      </c>
      <c r="GO87" s="28">
        <v>0</v>
      </c>
      <c r="GP87" s="28">
        <v>0</v>
      </c>
      <c r="GQ87" s="21">
        <v>88.594459605276967</v>
      </c>
      <c r="GR87" s="21">
        <v>897.23788151676501</v>
      </c>
      <c r="GS87" s="20">
        <v>664.16679563198068</v>
      </c>
      <c r="GT87" s="20">
        <v>7.8600025926109298</v>
      </c>
      <c r="GU87" s="20">
        <v>225.21108329217333</v>
      </c>
      <c r="GV87" s="20">
        <v>225.21108329217333</v>
      </c>
      <c r="GW87" s="20">
        <v>0</v>
      </c>
      <c r="GX87" s="21">
        <v>-1.6741626221589765</v>
      </c>
      <c r="GY87" s="20">
        <v>0</v>
      </c>
      <c r="GZ87" s="20">
        <v>-1.6741626221589765</v>
      </c>
      <c r="HA87" s="20"/>
      <c r="HB87" s="21">
        <v>0</v>
      </c>
      <c r="HC87" s="21">
        <v>984.15817849988298</v>
      </c>
    </row>
    <row r="88" spans="1:211" s="7" customFormat="1" ht="17.25" customHeight="1">
      <c r="A88" s="7">
        <f t="shared" si="9"/>
        <v>88</v>
      </c>
      <c r="B88" s="26" t="s">
        <v>79</v>
      </c>
      <c r="C88" s="10" t="s">
        <v>496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4.85701864910838E-2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2.9129209714685699E-2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1.38811385568183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1204.72985072452</v>
      </c>
      <c r="BU88" s="28">
        <v>217.20562481279501</v>
      </c>
      <c r="BV88" s="28">
        <v>380.12509732928498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28">
        <v>0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0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28">
        <v>0</v>
      </c>
      <c r="DI88" s="28">
        <v>0</v>
      </c>
      <c r="DJ88" s="28">
        <v>0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28">
        <v>0</v>
      </c>
      <c r="DQ88" s="28">
        <v>0</v>
      </c>
      <c r="DR88" s="28">
        <v>0</v>
      </c>
      <c r="DS88" s="28">
        <v>0</v>
      </c>
      <c r="DT88" s="28">
        <v>0</v>
      </c>
      <c r="DU88" s="28">
        <v>0</v>
      </c>
      <c r="DV88" s="28">
        <v>0</v>
      </c>
      <c r="DW88" s="28">
        <v>0</v>
      </c>
      <c r="DX88" s="28">
        <v>0</v>
      </c>
      <c r="DY88" s="28">
        <v>0</v>
      </c>
      <c r="DZ88" s="28">
        <v>0</v>
      </c>
      <c r="EA88" s="28">
        <v>0</v>
      </c>
      <c r="EB88" s="28">
        <v>0</v>
      </c>
      <c r="EC88" s="28">
        <v>0</v>
      </c>
      <c r="ED88" s="28">
        <v>0</v>
      </c>
      <c r="EE88" s="28">
        <v>0</v>
      </c>
      <c r="EF88" s="28">
        <v>0</v>
      </c>
      <c r="EG88" s="28">
        <v>0</v>
      </c>
      <c r="EH88" s="28">
        <v>0</v>
      </c>
      <c r="EI88" s="28">
        <v>0</v>
      </c>
      <c r="EJ88" s="28">
        <v>0</v>
      </c>
      <c r="EK88" s="28">
        <v>0</v>
      </c>
      <c r="EL88" s="28">
        <v>0</v>
      </c>
      <c r="EM88" s="28">
        <v>0</v>
      </c>
      <c r="EN88" s="28">
        <v>0</v>
      </c>
      <c r="EO88" s="28">
        <v>0</v>
      </c>
      <c r="EP88" s="28">
        <v>0</v>
      </c>
      <c r="EQ88" s="28">
        <v>0</v>
      </c>
      <c r="ER88" s="28">
        <v>0</v>
      </c>
      <c r="ES88" s="28">
        <v>0</v>
      </c>
      <c r="ET88" s="28">
        <v>0</v>
      </c>
      <c r="EU88" s="28">
        <v>0</v>
      </c>
      <c r="EV88" s="28">
        <v>0</v>
      </c>
      <c r="EW88" s="28">
        <v>0</v>
      </c>
      <c r="EX88" s="28">
        <v>0</v>
      </c>
      <c r="EY88" s="28">
        <v>0</v>
      </c>
      <c r="EZ88" s="28">
        <v>0</v>
      </c>
      <c r="FA88" s="28">
        <v>0</v>
      </c>
      <c r="FB88" s="28">
        <v>0</v>
      </c>
      <c r="FC88" s="28">
        <v>0</v>
      </c>
      <c r="FD88" s="28">
        <v>0</v>
      </c>
      <c r="FE88" s="28">
        <v>0</v>
      </c>
      <c r="FF88" s="28">
        <v>0</v>
      </c>
      <c r="FG88" s="28">
        <v>0</v>
      </c>
      <c r="FH88" s="28">
        <v>0</v>
      </c>
      <c r="FI88" s="28">
        <v>0</v>
      </c>
      <c r="FJ88" s="28">
        <v>0</v>
      </c>
      <c r="FK88" s="28">
        <v>0</v>
      </c>
      <c r="FL88" s="28">
        <v>0</v>
      </c>
      <c r="FM88" s="28">
        <v>0</v>
      </c>
      <c r="FN88" s="28">
        <v>0</v>
      </c>
      <c r="FO88" s="28">
        <v>0</v>
      </c>
      <c r="FP88" s="28">
        <v>0</v>
      </c>
      <c r="FQ88" s="28">
        <v>0</v>
      </c>
      <c r="FR88" s="28">
        <v>0</v>
      </c>
      <c r="FS88" s="28">
        <v>0.53512999667563899</v>
      </c>
      <c r="FT88" s="28">
        <v>42.528562977264798</v>
      </c>
      <c r="FU88" s="28">
        <v>0</v>
      </c>
      <c r="FV88" s="28">
        <v>0</v>
      </c>
      <c r="FW88" s="28">
        <v>0</v>
      </c>
      <c r="FX88" s="28">
        <v>0</v>
      </c>
      <c r="FY88" s="28">
        <v>0</v>
      </c>
      <c r="FZ88" s="28">
        <v>0</v>
      </c>
      <c r="GA88" s="28">
        <v>0</v>
      </c>
      <c r="GB88" s="28">
        <v>0</v>
      </c>
      <c r="GC88" s="28">
        <v>0</v>
      </c>
      <c r="GD88" s="28">
        <v>0</v>
      </c>
      <c r="GE88" s="28">
        <v>0</v>
      </c>
      <c r="GF88" s="28">
        <v>0</v>
      </c>
      <c r="GG88" s="28">
        <v>28.358328649222301</v>
      </c>
      <c r="GH88" s="28">
        <v>0</v>
      </c>
      <c r="GI88" s="28">
        <v>0.22077228397203</v>
      </c>
      <c r="GJ88" s="28">
        <v>0.30359132570126302</v>
      </c>
      <c r="GK88" s="28">
        <v>2.40834751349926</v>
      </c>
      <c r="GL88" s="28">
        <v>0</v>
      </c>
      <c r="GM88" s="28">
        <v>0</v>
      </c>
      <c r="GN88" s="28">
        <v>0</v>
      </c>
      <c r="GO88" s="28">
        <v>0</v>
      </c>
      <c r="GP88" s="28">
        <v>0</v>
      </c>
      <c r="GQ88" s="21">
        <v>1877.8811188648228</v>
      </c>
      <c r="GR88" s="21">
        <v>248.46618824508499</v>
      </c>
      <c r="GS88" s="20">
        <v>236.53454808024375</v>
      </c>
      <c r="GT88" s="20">
        <v>0</v>
      </c>
      <c r="GU88" s="20">
        <v>11.931640164841232</v>
      </c>
      <c r="GV88" s="20">
        <v>11.931640164841232</v>
      </c>
      <c r="GW88" s="20">
        <v>0</v>
      </c>
      <c r="GX88" s="21">
        <v>117.11100167879736</v>
      </c>
      <c r="GY88" s="20">
        <v>0</v>
      </c>
      <c r="GZ88" s="20">
        <v>117.11100167879736</v>
      </c>
      <c r="HA88" s="20"/>
      <c r="HB88" s="21">
        <v>0.1228362048</v>
      </c>
      <c r="HC88" s="21">
        <v>2243.5811449935054</v>
      </c>
    </row>
    <row r="89" spans="1:211" s="7" customFormat="1" ht="17.25" customHeight="1">
      <c r="A89" s="7">
        <f t="shared" si="9"/>
        <v>89</v>
      </c>
      <c r="B89" s="26" t="s">
        <v>497</v>
      </c>
      <c r="C89" s="10" t="s">
        <v>498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5.2424844561315201E-2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2.91681044508562E-2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0.86228855612129396</v>
      </c>
      <c r="BK89" s="28">
        <v>0</v>
      </c>
      <c r="BL89" s="28">
        <v>0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0.57917101003295202</v>
      </c>
      <c r="BV89" s="28">
        <v>17.889074823731399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70.845851417919803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0</v>
      </c>
      <c r="CU89" s="28">
        <v>0</v>
      </c>
      <c r="CV89" s="28">
        <v>0</v>
      </c>
      <c r="CW89" s="28">
        <v>0</v>
      </c>
      <c r="CX89" s="28">
        <v>0</v>
      </c>
      <c r="CY89" s="28">
        <v>0</v>
      </c>
      <c r="CZ89" s="28">
        <v>0</v>
      </c>
      <c r="DA89" s="28">
        <v>0</v>
      </c>
      <c r="DB89" s="28">
        <v>0</v>
      </c>
      <c r="DC89" s="28">
        <v>0</v>
      </c>
      <c r="DD89" s="28">
        <v>0</v>
      </c>
      <c r="DE89" s="28">
        <v>0</v>
      </c>
      <c r="DF89" s="28">
        <v>0</v>
      </c>
      <c r="DG89" s="28">
        <v>0</v>
      </c>
      <c r="DH89" s="28">
        <v>0</v>
      </c>
      <c r="DI89" s="28">
        <v>0</v>
      </c>
      <c r="DJ89" s="28">
        <v>0</v>
      </c>
      <c r="DK89" s="28">
        <v>0</v>
      </c>
      <c r="DL89" s="28">
        <v>0</v>
      </c>
      <c r="DM89" s="28">
        <v>0</v>
      </c>
      <c r="DN89" s="28">
        <v>0</v>
      </c>
      <c r="DO89" s="28">
        <v>0</v>
      </c>
      <c r="DP89" s="28">
        <v>0</v>
      </c>
      <c r="DQ89" s="28">
        <v>0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0</v>
      </c>
      <c r="DY89" s="28">
        <v>0</v>
      </c>
      <c r="DZ89" s="28">
        <v>0</v>
      </c>
      <c r="EA89" s="28">
        <v>0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0</v>
      </c>
      <c r="EM89" s="28">
        <v>0</v>
      </c>
      <c r="EN89" s="28">
        <v>0</v>
      </c>
      <c r="EO89" s="28">
        <v>0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  <c r="EU89" s="28">
        <v>0</v>
      </c>
      <c r="EV89" s="28">
        <v>0</v>
      </c>
      <c r="EW89" s="28">
        <v>0</v>
      </c>
      <c r="EX89" s="28">
        <v>0</v>
      </c>
      <c r="EY89" s="28">
        <v>0</v>
      </c>
      <c r="EZ89" s="28">
        <v>0</v>
      </c>
      <c r="FA89" s="28">
        <v>0</v>
      </c>
      <c r="FB89" s="28">
        <v>0</v>
      </c>
      <c r="FC89" s="28">
        <v>0</v>
      </c>
      <c r="FD89" s="28">
        <v>0</v>
      </c>
      <c r="FE89" s="28">
        <v>0</v>
      </c>
      <c r="FF89" s="28">
        <v>0</v>
      </c>
      <c r="FG89" s="28">
        <v>0</v>
      </c>
      <c r="FH89" s="28">
        <v>0</v>
      </c>
      <c r="FI89" s="28">
        <v>0</v>
      </c>
      <c r="FJ89" s="28">
        <v>0</v>
      </c>
      <c r="FK89" s="28">
        <v>0</v>
      </c>
      <c r="FL89" s="28">
        <v>0</v>
      </c>
      <c r="FM89" s="28">
        <v>0</v>
      </c>
      <c r="FN89" s="28">
        <v>0</v>
      </c>
      <c r="FO89" s="28">
        <v>0</v>
      </c>
      <c r="FP89" s="28">
        <v>0</v>
      </c>
      <c r="FQ89" s="28">
        <v>0</v>
      </c>
      <c r="FR89" s="28">
        <v>0</v>
      </c>
      <c r="FS89" s="28">
        <v>0.82997954652245598</v>
      </c>
      <c r="FT89" s="28">
        <v>65.961238639958296</v>
      </c>
      <c r="FU89" s="28">
        <v>0</v>
      </c>
      <c r="FV89" s="28">
        <v>0</v>
      </c>
      <c r="FW89" s="28">
        <v>0</v>
      </c>
      <c r="FX89" s="28">
        <v>0</v>
      </c>
      <c r="FY89" s="28">
        <v>0</v>
      </c>
      <c r="FZ89" s="28">
        <v>0</v>
      </c>
      <c r="GA89" s="28">
        <v>0</v>
      </c>
      <c r="GB89" s="28">
        <v>0</v>
      </c>
      <c r="GC89" s="28">
        <v>0</v>
      </c>
      <c r="GD89" s="28">
        <v>0</v>
      </c>
      <c r="GE89" s="28">
        <v>0</v>
      </c>
      <c r="GF89" s="28">
        <v>0</v>
      </c>
      <c r="GG89" s="28">
        <v>1.35084154785532</v>
      </c>
      <c r="GH89" s="28">
        <v>0</v>
      </c>
      <c r="GI89" s="28">
        <v>0</v>
      </c>
      <c r="GJ89" s="28">
        <v>1.0465764280793901</v>
      </c>
      <c r="GK89" s="28">
        <v>0</v>
      </c>
      <c r="GL89" s="28">
        <v>0</v>
      </c>
      <c r="GM89" s="28">
        <v>0</v>
      </c>
      <c r="GN89" s="28">
        <v>0</v>
      </c>
      <c r="GO89" s="28">
        <v>0</v>
      </c>
      <c r="GP89" s="28">
        <v>0</v>
      </c>
      <c r="GQ89" s="21">
        <v>159.44661491923307</v>
      </c>
      <c r="GR89" s="21">
        <v>548.62136684233099</v>
      </c>
      <c r="GS89" s="20">
        <v>545.69975603680734</v>
      </c>
      <c r="GT89" s="20">
        <v>0</v>
      </c>
      <c r="GU89" s="20">
        <v>2.9216108055235939</v>
      </c>
      <c r="GV89" s="20">
        <v>2.9216108055235939</v>
      </c>
      <c r="GW89" s="20">
        <v>0</v>
      </c>
      <c r="GX89" s="21">
        <v>-18.246439970501232</v>
      </c>
      <c r="GY89" s="20">
        <v>0</v>
      </c>
      <c r="GZ89" s="20">
        <v>-18.246439970501232</v>
      </c>
      <c r="HA89" s="20"/>
      <c r="HB89" s="21">
        <v>17.723038934400002</v>
      </c>
      <c r="HC89" s="21">
        <v>707.54458072546288</v>
      </c>
    </row>
    <row r="90" spans="1:211" s="7" customFormat="1" ht="17.25" customHeight="1">
      <c r="A90" s="7">
        <f t="shared" si="9"/>
        <v>90</v>
      </c>
      <c r="B90" s="26" t="s">
        <v>499</v>
      </c>
      <c r="C90" s="10" t="s">
        <v>500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0.38824725569596602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0.154055841061469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5.1005304575400698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  <c r="EU90" s="28">
        <v>0</v>
      </c>
      <c r="EV90" s="28">
        <v>0</v>
      </c>
      <c r="EW90" s="28">
        <v>0</v>
      </c>
      <c r="EX90" s="28">
        <v>0</v>
      </c>
      <c r="EY90" s="28">
        <v>0</v>
      </c>
      <c r="EZ90" s="28">
        <v>0</v>
      </c>
      <c r="FA90" s="28">
        <v>0</v>
      </c>
      <c r="FB90" s="28">
        <v>0</v>
      </c>
      <c r="FC90" s="28">
        <v>0</v>
      </c>
      <c r="FD90" s="28">
        <v>0</v>
      </c>
      <c r="FE90" s="28">
        <v>0</v>
      </c>
      <c r="FF90" s="28">
        <v>0</v>
      </c>
      <c r="FG90" s="28">
        <v>0</v>
      </c>
      <c r="FH90" s="28">
        <v>0</v>
      </c>
      <c r="FI90" s="28">
        <v>0</v>
      </c>
      <c r="FJ90" s="28">
        <v>0</v>
      </c>
      <c r="FK90" s="28">
        <v>0</v>
      </c>
      <c r="FL90" s="28">
        <v>0</v>
      </c>
      <c r="FM90" s="28">
        <v>0</v>
      </c>
      <c r="FN90" s="28">
        <v>0</v>
      </c>
      <c r="FO90" s="28">
        <v>0</v>
      </c>
      <c r="FP90" s="28">
        <v>0</v>
      </c>
      <c r="FQ90" s="28">
        <v>0</v>
      </c>
      <c r="FR90" s="28">
        <v>0</v>
      </c>
      <c r="FS90" s="28">
        <v>12.0225834672295</v>
      </c>
      <c r="FT90" s="28">
        <v>901.54370388258405</v>
      </c>
      <c r="FU90" s="28">
        <v>0</v>
      </c>
      <c r="FV90" s="28">
        <v>0</v>
      </c>
      <c r="FW90" s="28">
        <v>0</v>
      </c>
      <c r="FX90" s="28">
        <v>0</v>
      </c>
      <c r="FY90" s="28">
        <v>0.36134354923909101</v>
      </c>
      <c r="FZ90" s="28">
        <v>0</v>
      </c>
      <c r="GA90" s="28">
        <v>0</v>
      </c>
      <c r="GB90" s="28">
        <v>0</v>
      </c>
      <c r="GC90" s="28">
        <v>0</v>
      </c>
      <c r="GD90" s="28">
        <v>0</v>
      </c>
      <c r="GE90" s="28">
        <v>0</v>
      </c>
      <c r="GF90" s="28">
        <v>0</v>
      </c>
      <c r="GG90" s="28">
        <v>35.034840096308997</v>
      </c>
      <c r="GH90" s="28">
        <v>0</v>
      </c>
      <c r="GI90" s="28">
        <v>0.51534567641937001</v>
      </c>
      <c r="GJ90" s="28">
        <v>3.57942398675524</v>
      </c>
      <c r="GK90" s="28">
        <v>5.6217721539467398</v>
      </c>
      <c r="GL90" s="28">
        <v>0</v>
      </c>
      <c r="GM90" s="28">
        <v>0</v>
      </c>
      <c r="GN90" s="28">
        <v>0</v>
      </c>
      <c r="GO90" s="28">
        <v>0</v>
      </c>
      <c r="GP90" s="28">
        <v>0</v>
      </c>
      <c r="GQ90" s="21">
        <v>964.32184636677994</v>
      </c>
      <c r="GR90" s="21">
        <v>1984.97688877572</v>
      </c>
      <c r="GS90" s="20">
        <v>1966.0179556248463</v>
      </c>
      <c r="GT90" s="20">
        <v>0</v>
      </c>
      <c r="GU90" s="20">
        <v>18.958933150873612</v>
      </c>
      <c r="GV90" s="20">
        <v>18.958933150873612</v>
      </c>
      <c r="GW90" s="20">
        <v>0</v>
      </c>
      <c r="GX90" s="21">
        <v>-43.257241183691143</v>
      </c>
      <c r="GY90" s="20">
        <v>0</v>
      </c>
      <c r="GZ90" s="20">
        <v>-43.257241183691143</v>
      </c>
      <c r="HA90" s="20"/>
      <c r="HB90" s="21">
        <v>31.471828081967399</v>
      </c>
      <c r="HC90" s="21">
        <v>2937.5133220407761</v>
      </c>
    </row>
    <row r="91" spans="1:211" s="7" customFormat="1" ht="17.25" customHeight="1">
      <c r="A91" s="7">
        <f t="shared" si="9"/>
        <v>91</v>
      </c>
      <c r="B91" s="26" t="s">
        <v>501</v>
      </c>
      <c r="C91" s="9" t="s">
        <v>502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0.13041214773222301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4.5884518200759103E-2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28">
        <v>0</v>
      </c>
      <c r="DJ91" s="28">
        <v>0</v>
      </c>
      <c r="DK91" s="28">
        <v>0</v>
      </c>
      <c r="DL91" s="28">
        <v>0</v>
      </c>
      <c r="DM91" s="28">
        <v>0</v>
      </c>
      <c r="DN91" s="28">
        <v>0</v>
      </c>
      <c r="DO91" s="28">
        <v>0</v>
      </c>
      <c r="DP91" s="28">
        <v>0</v>
      </c>
      <c r="DQ91" s="28">
        <v>0</v>
      </c>
      <c r="DR91" s="28">
        <v>0</v>
      </c>
      <c r="DS91" s="28">
        <v>0</v>
      </c>
      <c r="DT91" s="28">
        <v>0</v>
      </c>
      <c r="DU91" s="28">
        <v>0</v>
      </c>
      <c r="DV91" s="28">
        <v>0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0</v>
      </c>
      <c r="EC91" s="28">
        <v>0</v>
      </c>
      <c r="ED91" s="28">
        <v>0</v>
      </c>
      <c r="EE91" s="28">
        <v>0</v>
      </c>
      <c r="EF91" s="28">
        <v>0</v>
      </c>
      <c r="EG91" s="28">
        <v>0</v>
      </c>
      <c r="EH91" s="28">
        <v>0</v>
      </c>
      <c r="EI91" s="28">
        <v>0</v>
      </c>
      <c r="EJ91" s="28">
        <v>0</v>
      </c>
      <c r="EK91" s="28">
        <v>0</v>
      </c>
      <c r="EL91" s="28">
        <v>0</v>
      </c>
      <c r="EM91" s="28">
        <v>0</v>
      </c>
      <c r="EN91" s="28">
        <v>0</v>
      </c>
      <c r="EO91" s="28">
        <v>0</v>
      </c>
      <c r="EP91" s="28">
        <v>0</v>
      </c>
      <c r="EQ91" s="28">
        <v>0</v>
      </c>
      <c r="ER91" s="28">
        <v>0</v>
      </c>
      <c r="ES91" s="28">
        <v>0</v>
      </c>
      <c r="ET91" s="28">
        <v>0</v>
      </c>
      <c r="EU91" s="28">
        <v>0</v>
      </c>
      <c r="EV91" s="28">
        <v>0</v>
      </c>
      <c r="EW91" s="28">
        <v>0</v>
      </c>
      <c r="EX91" s="28">
        <v>0</v>
      </c>
      <c r="EY91" s="28">
        <v>0</v>
      </c>
      <c r="EZ91" s="28">
        <v>0</v>
      </c>
      <c r="FA91" s="28">
        <v>0</v>
      </c>
      <c r="FB91" s="28">
        <v>0</v>
      </c>
      <c r="FC91" s="28">
        <v>0</v>
      </c>
      <c r="FD91" s="28">
        <v>0</v>
      </c>
      <c r="FE91" s="28">
        <v>0</v>
      </c>
      <c r="FF91" s="28">
        <v>0</v>
      </c>
      <c r="FG91" s="28">
        <v>0</v>
      </c>
      <c r="FH91" s="28">
        <v>0</v>
      </c>
      <c r="FI91" s="28">
        <v>0</v>
      </c>
      <c r="FJ91" s="28">
        <v>0</v>
      </c>
      <c r="FK91" s="28">
        <v>0</v>
      </c>
      <c r="FL91" s="28">
        <v>0</v>
      </c>
      <c r="FM91" s="28">
        <v>0</v>
      </c>
      <c r="FN91" s="28">
        <v>0</v>
      </c>
      <c r="FO91" s="28">
        <v>0</v>
      </c>
      <c r="FP91" s="28">
        <v>0</v>
      </c>
      <c r="FQ91" s="28">
        <v>0</v>
      </c>
      <c r="FR91" s="28">
        <v>0</v>
      </c>
      <c r="FS91" s="28">
        <v>4.6284605272980297</v>
      </c>
      <c r="FT91" s="28">
        <v>367.83917224937602</v>
      </c>
      <c r="FU91" s="28">
        <v>0</v>
      </c>
      <c r="FV91" s="28">
        <v>0</v>
      </c>
      <c r="FW91" s="28">
        <v>0</v>
      </c>
      <c r="FX91" s="28">
        <v>0</v>
      </c>
      <c r="FY91" s="28">
        <v>0</v>
      </c>
      <c r="FZ91" s="28">
        <v>0</v>
      </c>
      <c r="GA91" s="28">
        <v>0</v>
      </c>
      <c r="GB91" s="28">
        <v>0</v>
      </c>
      <c r="GC91" s="28">
        <v>0</v>
      </c>
      <c r="GD91" s="28">
        <v>0</v>
      </c>
      <c r="GE91" s="28">
        <v>0</v>
      </c>
      <c r="GF91" s="28">
        <v>0</v>
      </c>
      <c r="GG91" s="28">
        <v>0.61408403961094904</v>
      </c>
      <c r="GH91" s="28">
        <v>0</v>
      </c>
      <c r="GI91" s="28">
        <v>0.38280187952275202</v>
      </c>
      <c r="GJ91" s="28">
        <v>0.33942218182616402</v>
      </c>
      <c r="GK91" s="28">
        <v>4.1758862938984702</v>
      </c>
      <c r="GL91" s="28">
        <v>0</v>
      </c>
      <c r="GM91" s="28">
        <v>0</v>
      </c>
      <c r="GN91" s="28">
        <v>0</v>
      </c>
      <c r="GO91" s="28">
        <v>0</v>
      </c>
      <c r="GP91" s="28">
        <v>0</v>
      </c>
      <c r="GQ91" s="21">
        <v>378.15612383746526</v>
      </c>
      <c r="GR91" s="21">
        <v>3372.6222131424802</v>
      </c>
      <c r="GS91" s="20">
        <v>3367.3292233923121</v>
      </c>
      <c r="GT91" s="20">
        <v>3.77934900953304</v>
      </c>
      <c r="GU91" s="20">
        <v>1.513640740634679</v>
      </c>
      <c r="GV91" s="20">
        <v>1.513640740634679</v>
      </c>
      <c r="GW91" s="20">
        <v>0</v>
      </c>
      <c r="GX91" s="21">
        <v>-0.39467372278431867</v>
      </c>
      <c r="GY91" s="20">
        <v>0</v>
      </c>
      <c r="GZ91" s="20">
        <v>-0.39467372278431867</v>
      </c>
      <c r="HA91" s="20"/>
      <c r="HB91" s="21">
        <v>0</v>
      </c>
      <c r="HC91" s="21">
        <v>3750.3836632571611</v>
      </c>
    </row>
    <row r="92" spans="1:211" s="7" customFormat="1" ht="17.25" customHeight="1">
      <c r="A92" s="7">
        <f t="shared" si="9"/>
        <v>92</v>
      </c>
      <c r="B92" s="26" t="s">
        <v>503</v>
      </c>
      <c r="C92" s="9" t="s">
        <v>504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0.18911079753422799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0.10489678292211201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28">
        <v>0</v>
      </c>
      <c r="CI92" s="28">
        <v>0</v>
      </c>
      <c r="CJ92" s="28">
        <v>0</v>
      </c>
      <c r="CK92" s="28">
        <v>0</v>
      </c>
      <c r="CL92" s="28">
        <v>1.03528474838086</v>
      </c>
      <c r="CM92" s="28">
        <v>0</v>
      </c>
      <c r="CN92" s="28">
        <v>0</v>
      </c>
      <c r="CO92" s="28">
        <v>0</v>
      </c>
      <c r="CP92" s="28">
        <v>0</v>
      </c>
      <c r="CQ92" s="28">
        <v>0</v>
      </c>
      <c r="CR92" s="28">
        <v>0</v>
      </c>
      <c r="CS92" s="28">
        <v>0</v>
      </c>
      <c r="CT92" s="28">
        <v>0</v>
      </c>
      <c r="CU92" s="28">
        <v>0</v>
      </c>
      <c r="CV92" s="28">
        <v>0</v>
      </c>
      <c r="CW92" s="28">
        <v>0</v>
      </c>
      <c r="CX92" s="28">
        <v>0</v>
      </c>
      <c r="CY92" s="28">
        <v>0</v>
      </c>
      <c r="CZ92" s="28">
        <v>0</v>
      </c>
      <c r="DA92" s="28">
        <v>0</v>
      </c>
      <c r="DB92" s="28">
        <v>0</v>
      </c>
      <c r="DC92" s="28">
        <v>0</v>
      </c>
      <c r="DD92" s="28">
        <v>0</v>
      </c>
      <c r="DE92" s="28">
        <v>0</v>
      </c>
      <c r="DF92" s="28">
        <v>0</v>
      </c>
      <c r="DG92" s="28">
        <v>0</v>
      </c>
      <c r="DH92" s="28">
        <v>0</v>
      </c>
      <c r="DI92" s="28">
        <v>0</v>
      </c>
      <c r="DJ92" s="28">
        <v>0</v>
      </c>
      <c r="DK92" s="28">
        <v>0</v>
      </c>
      <c r="DL92" s="28">
        <v>0</v>
      </c>
      <c r="DM92" s="28">
        <v>0</v>
      </c>
      <c r="DN92" s="28">
        <v>0</v>
      </c>
      <c r="DO92" s="28">
        <v>0</v>
      </c>
      <c r="DP92" s="28">
        <v>0</v>
      </c>
      <c r="DQ92" s="28">
        <v>0</v>
      </c>
      <c r="DR92" s="28">
        <v>0</v>
      </c>
      <c r="DS92" s="28">
        <v>0</v>
      </c>
      <c r="DT92" s="28">
        <v>0</v>
      </c>
      <c r="DU92" s="28">
        <v>0</v>
      </c>
      <c r="DV92" s="28">
        <v>0</v>
      </c>
      <c r="DW92" s="28">
        <v>0</v>
      </c>
      <c r="DX92" s="28">
        <v>0</v>
      </c>
      <c r="DY92" s="28">
        <v>0</v>
      </c>
      <c r="DZ92" s="28">
        <v>0</v>
      </c>
      <c r="EA92" s="28">
        <v>0</v>
      </c>
      <c r="EB92" s="28">
        <v>0</v>
      </c>
      <c r="EC92" s="28">
        <v>0</v>
      </c>
      <c r="ED92" s="28">
        <v>0</v>
      </c>
      <c r="EE92" s="28">
        <v>0</v>
      </c>
      <c r="EF92" s="28">
        <v>0</v>
      </c>
      <c r="EG92" s="28">
        <v>0</v>
      </c>
      <c r="EH92" s="28">
        <v>0</v>
      </c>
      <c r="EI92" s="28">
        <v>0</v>
      </c>
      <c r="EJ92" s="28">
        <v>0</v>
      </c>
      <c r="EK92" s="28">
        <v>0</v>
      </c>
      <c r="EL92" s="28">
        <v>0</v>
      </c>
      <c r="EM92" s="28">
        <v>0</v>
      </c>
      <c r="EN92" s="28">
        <v>0</v>
      </c>
      <c r="EO92" s="28">
        <v>0</v>
      </c>
      <c r="EP92" s="28">
        <v>0</v>
      </c>
      <c r="EQ92" s="28">
        <v>0</v>
      </c>
      <c r="ER92" s="28">
        <v>0</v>
      </c>
      <c r="ES92" s="28">
        <v>0</v>
      </c>
      <c r="ET92" s="28">
        <v>0</v>
      </c>
      <c r="EU92" s="28">
        <v>0</v>
      </c>
      <c r="EV92" s="28">
        <v>0</v>
      </c>
      <c r="EW92" s="28">
        <v>0</v>
      </c>
      <c r="EX92" s="28">
        <v>0</v>
      </c>
      <c r="EY92" s="28">
        <v>0</v>
      </c>
      <c r="EZ92" s="28">
        <v>0</v>
      </c>
      <c r="FA92" s="28">
        <v>0</v>
      </c>
      <c r="FB92" s="28">
        <v>0</v>
      </c>
      <c r="FC92" s="28">
        <v>0</v>
      </c>
      <c r="FD92" s="28">
        <v>0</v>
      </c>
      <c r="FE92" s="28">
        <v>0</v>
      </c>
      <c r="FF92" s="28">
        <v>0</v>
      </c>
      <c r="FG92" s="28">
        <v>0</v>
      </c>
      <c r="FH92" s="28">
        <v>0</v>
      </c>
      <c r="FI92" s="28">
        <v>0</v>
      </c>
      <c r="FJ92" s="28">
        <v>0</v>
      </c>
      <c r="FK92" s="28">
        <v>0</v>
      </c>
      <c r="FL92" s="28">
        <v>0</v>
      </c>
      <c r="FM92" s="28">
        <v>0</v>
      </c>
      <c r="FN92" s="28">
        <v>0</v>
      </c>
      <c r="FO92" s="28">
        <v>0</v>
      </c>
      <c r="FP92" s="28">
        <v>0</v>
      </c>
      <c r="FQ92" s="28">
        <v>0</v>
      </c>
      <c r="FR92" s="28">
        <v>0</v>
      </c>
      <c r="FS92" s="28">
        <v>2.97331109992261</v>
      </c>
      <c r="FT92" s="28">
        <v>236.29893511782501</v>
      </c>
      <c r="FU92" s="28">
        <v>0</v>
      </c>
      <c r="FV92" s="28">
        <v>0</v>
      </c>
      <c r="FW92" s="28">
        <v>0</v>
      </c>
      <c r="FX92" s="28">
        <v>0</v>
      </c>
      <c r="FY92" s="28">
        <v>0</v>
      </c>
      <c r="FZ92" s="28">
        <v>0</v>
      </c>
      <c r="GA92" s="28">
        <v>0</v>
      </c>
      <c r="GB92" s="28">
        <v>0</v>
      </c>
      <c r="GC92" s="28">
        <v>0</v>
      </c>
      <c r="GD92" s="28">
        <v>0</v>
      </c>
      <c r="GE92" s="28">
        <v>0</v>
      </c>
      <c r="GF92" s="28">
        <v>0</v>
      </c>
      <c r="GG92" s="28">
        <v>24.939000967454799</v>
      </c>
      <c r="GH92" s="28">
        <v>0</v>
      </c>
      <c r="GI92" s="28">
        <v>9.4842065666000397E-2</v>
      </c>
      <c r="GJ92" s="28">
        <v>2.51717159803948</v>
      </c>
      <c r="GK92" s="28">
        <v>1.0346074648155701</v>
      </c>
      <c r="GL92" s="28">
        <v>0</v>
      </c>
      <c r="GM92" s="28">
        <v>0</v>
      </c>
      <c r="GN92" s="28">
        <v>0</v>
      </c>
      <c r="GO92" s="28">
        <v>0</v>
      </c>
      <c r="GP92" s="28">
        <v>0</v>
      </c>
      <c r="GQ92" s="21">
        <v>269.18716064256103</v>
      </c>
      <c r="GR92" s="21">
        <v>791.27177377701605</v>
      </c>
      <c r="GS92" s="20">
        <v>784.2283335199445</v>
      </c>
      <c r="GT92" s="20">
        <v>0</v>
      </c>
      <c r="GU92" s="20">
        <v>7.0434402570715644</v>
      </c>
      <c r="GV92" s="20">
        <v>7.0434402570715644</v>
      </c>
      <c r="GW92" s="20">
        <v>0</v>
      </c>
      <c r="GX92" s="21">
        <v>2.3460090431606671</v>
      </c>
      <c r="GY92" s="20">
        <v>0</v>
      </c>
      <c r="GZ92" s="20">
        <v>2.3460090431606671</v>
      </c>
      <c r="HA92" s="20"/>
      <c r="HB92" s="21">
        <v>69.645052570720395</v>
      </c>
      <c r="HC92" s="21">
        <v>1132.4499960334579</v>
      </c>
    </row>
    <row r="93" spans="1:211" s="7" customFormat="1" ht="17.25" customHeight="1">
      <c r="A93" s="7">
        <f t="shared" si="9"/>
        <v>93</v>
      </c>
      <c r="B93" s="26" t="s">
        <v>505</v>
      </c>
      <c r="C93" s="9" t="s">
        <v>506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6.9468595102195704E-2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3.0468027925496299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28">
        <v>0</v>
      </c>
      <c r="DE93" s="28">
        <v>0</v>
      </c>
      <c r="DF93" s="28">
        <v>0</v>
      </c>
      <c r="DG93" s="28">
        <v>0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0</v>
      </c>
      <c r="DN93" s="28">
        <v>0</v>
      </c>
      <c r="DO93" s="28">
        <v>0</v>
      </c>
      <c r="DP93" s="28">
        <v>0</v>
      </c>
      <c r="DQ93" s="28">
        <v>0</v>
      </c>
      <c r="DR93" s="28">
        <v>0</v>
      </c>
      <c r="DS93" s="28">
        <v>0</v>
      </c>
      <c r="DT93" s="28">
        <v>0</v>
      </c>
      <c r="DU93" s="28">
        <v>0</v>
      </c>
      <c r="DV93" s="28">
        <v>0</v>
      </c>
      <c r="DW93" s="28">
        <v>0</v>
      </c>
      <c r="DX93" s="28">
        <v>0</v>
      </c>
      <c r="DY93" s="28">
        <v>0</v>
      </c>
      <c r="DZ93" s="28">
        <v>0</v>
      </c>
      <c r="EA93" s="28">
        <v>0</v>
      </c>
      <c r="EB93" s="28">
        <v>0</v>
      </c>
      <c r="EC93" s="28">
        <v>0</v>
      </c>
      <c r="ED93" s="28">
        <v>0</v>
      </c>
      <c r="EE93" s="28">
        <v>0</v>
      </c>
      <c r="EF93" s="28">
        <v>0</v>
      </c>
      <c r="EG93" s="28">
        <v>0</v>
      </c>
      <c r="EH93" s="28">
        <v>0</v>
      </c>
      <c r="EI93" s="28">
        <v>0</v>
      </c>
      <c r="EJ93" s="28">
        <v>0</v>
      </c>
      <c r="EK93" s="28">
        <v>0</v>
      </c>
      <c r="EL93" s="28">
        <v>0</v>
      </c>
      <c r="EM93" s="28">
        <v>0</v>
      </c>
      <c r="EN93" s="28">
        <v>0</v>
      </c>
      <c r="EO93" s="28">
        <v>0</v>
      </c>
      <c r="EP93" s="28">
        <v>0</v>
      </c>
      <c r="EQ93" s="28">
        <v>0</v>
      </c>
      <c r="ER93" s="28">
        <v>0</v>
      </c>
      <c r="ES93" s="28">
        <v>0</v>
      </c>
      <c r="ET93" s="28">
        <v>0</v>
      </c>
      <c r="EU93" s="28">
        <v>0</v>
      </c>
      <c r="EV93" s="28">
        <v>0</v>
      </c>
      <c r="EW93" s="28">
        <v>0</v>
      </c>
      <c r="EX93" s="28">
        <v>0</v>
      </c>
      <c r="EY93" s="28">
        <v>0</v>
      </c>
      <c r="EZ93" s="28">
        <v>0</v>
      </c>
      <c r="FA93" s="28">
        <v>0</v>
      </c>
      <c r="FB93" s="28">
        <v>0</v>
      </c>
      <c r="FC93" s="28">
        <v>0</v>
      </c>
      <c r="FD93" s="28">
        <v>0</v>
      </c>
      <c r="FE93" s="28">
        <v>0</v>
      </c>
      <c r="FF93" s="28">
        <v>0</v>
      </c>
      <c r="FG93" s="28">
        <v>0</v>
      </c>
      <c r="FH93" s="28">
        <v>0</v>
      </c>
      <c r="FI93" s="28">
        <v>0</v>
      </c>
      <c r="FJ93" s="28">
        <v>0</v>
      </c>
      <c r="FK93" s="28">
        <v>0</v>
      </c>
      <c r="FL93" s="28">
        <v>0</v>
      </c>
      <c r="FM93" s="28">
        <v>0</v>
      </c>
      <c r="FN93" s="28">
        <v>0</v>
      </c>
      <c r="FO93" s="28">
        <v>0</v>
      </c>
      <c r="FP93" s="28">
        <v>0</v>
      </c>
      <c r="FQ93" s="28">
        <v>0</v>
      </c>
      <c r="FR93" s="28">
        <v>0</v>
      </c>
      <c r="FS93" s="28">
        <v>4.6610079749015796</v>
      </c>
      <c r="FT93" s="28">
        <v>367.06616288125798</v>
      </c>
      <c r="FU93" s="28">
        <v>0</v>
      </c>
      <c r="FV93" s="28">
        <v>0</v>
      </c>
      <c r="FW93" s="28">
        <v>0</v>
      </c>
      <c r="FX93" s="28">
        <v>0</v>
      </c>
      <c r="FY93" s="28">
        <v>0.25708676312557999</v>
      </c>
      <c r="FZ93" s="28">
        <v>0</v>
      </c>
      <c r="GA93" s="28">
        <v>0</v>
      </c>
      <c r="GB93" s="28">
        <v>0</v>
      </c>
      <c r="GC93" s="28">
        <v>0</v>
      </c>
      <c r="GD93" s="28">
        <v>0</v>
      </c>
      <c r="GE93" s="28">
        <v>0</v>
      </c>
      <c r="GF93" s="28">
        <v>0</v>
      </c>
      <c r="GG93" s="28">
        <v>2.3634630835400001</v>
      </c>
      <c r="GH93" s="28">
        <v>0</v>
      </c>
      <c r="GI93" s="28">
        <v>0.25000442749922203</v>
      </c>
      <c r="GJ93" s="28">
        <v>4.5691979537129503</v>
      </c>
      <c r="GK93" s="28">
        <v>2.7272333759424199</v>
      </c>
      <c r="GL93" s="28">
        <v>0</v>
      </c>
      <c r="GM93" s="28">
        <v>0</v>
      </c>
      <c r="GN93" s="28">
        <v>0</v>
      </c>
      <c r="GO93" s="28">
        <v>0</v>
      </c>
      <c r="GP93" s="28">
        <v>0</v>
      </c>
      <c r="GQ93" s="21">
        <v>385.010427847632</v>
      </c>
      <c r="GR93" s="21">
        <v>1660.2023849613399</v>
      </c>
      <c r="GS93" s="20">
        <v>1494.9378191387373</v>
      </c>
      <c r="GT93" s="20">
        <v>6.07548074629341</v>
      </c>
      <c r="GU93" s="20">
        <v>159.18908507630925</v>
      </c>
      <c r="GV93" s="20">
        <v>159.18908507630925</v>
      </c>
      <c r="GW93" s="20">
        <v>0</v>
      </c>
      <c r="GX93" s="21">
        <v>13.245018684337216</v>
      </c>
      <c r="GY93" s="20">
        <v>0</v>
      </c>
      <c r="GZ93" s="20">
        <v>13.245018684337216</v>
      </c>
      <c r="HA93" s="20"/>
      <c r="HB93" s="21">
        <v>77.164404071233903</v>
      </c>
      <c r="HC93" s="21">
        <v>2135.6222355645432</v>
      </c>
    </row>
    <row r="94" spans="1:211" s="7" customFormat="1" ht="17.25" customHeight="1">
      <c r="A94" s="7">
        <f t="shared" si="9"/>
        <v>94</v>
      </c>
      <c r="B94" s="26" t="s">
        <v>507</v>
      </c>
      <c r="C94" s="9" t="s">
        <v>508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0.220608587457092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0.160973049170654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388.25441199505701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0</v>
      </c>
      <c r="DB94" s="28">
        <v>0</v>
      </c>
      <c r="DC94" s="28">
        <v>0</v>
      </c>
      <c r="DD94" s="28">
        <v>0</v>
      </c>
      <c r="DE94" s="28">
        <v>0</v>
      </c>
      <c r="DF94" s="28">
        <v>0</v>
      </c>
      <c r="DG94" s="28">
        <v>0</v>
      </c>
      <c r="DH94" s="28">
        <v>0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0</v>
      </c>
      <c r="DO94" s="28">
        <v>0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28">
        <v>0</v>
      </c>
      <c r="DX94" s="28">
        <v>0</v>
      </c>
      <c r="DY94" s="28">
        <v>0</v>
      </c>
      <c r="DZ94" s="28">
        <v>0</v>
      </c>
      <c r="EA94" s="28">
        <v>0</v>
      </c>
      <c r="EB94" s="28">
        <v>0</v>
      </c>
      <c r="EC94" s="28">
        <v>0</v>
      </c>
      <c r="ED94" s="28">
        <v>0</v>
      </c>
      <c r="EE94" s="28">
        <v>0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0</v>
      </c>
      <c r="ET94" s="28">
        <v>0</v>
      </c>
      <c r="EU94" s="28">
        <v>0</v>
      </c>
      <c r="EV94" s="28">
        <v>0</v>
      </c>
      <c r="EW94" s="28">
        <v>0</v>
      </c>
      <c r="EX94" s="28">
        <v>0</v>
      </c>
      <c r="EY94" s="28">
        <v>0</v>
      </c>
      <c r="EZ94" s="28">
        <v>0</v>
      </c>
      <c r="FA94" s="28">
        <v>0</v>
      </c>
      <c r="FB94" s="28">
        <v>0</v>
      </c>
      <c r="FC94" s="28">
        <v>0</v>
      </c>
      <c r="FD94" s="28">
        <v>0</v>
      </c>
      <c r="FE94" s="28">
        <v>0</v>
      </c>
      <c r="FF94" s="28">
        <v>0</v>
      </c>
      <c r="FG94" s="28">
        <v>0</v>
      </c>
      <c r="FH94" s="28">
        <v>0</v>
      </c>
      <c r="FI94" s="28">
        <v>0</v>
      </c>
      <c r="FJ94" s="28">
        <v>0</v>
      </c>
      <c r="FK94" s="28">
        <v>0</v>
      </c>
      <c r="FL94" s="28">
        <v>0</v>
      </c>
      <c r="FM94" s="28">
        <v>0</v>
      </c>
      <c r="FN94" s="28">
        <v>0</v>
      </c>
      <c r="FO94" s="28">
        <v>0</v>
      </c>
      <c r="FP94" s="28">
        <v>0</v>
      </c>
      <c r="FQ94" s="28">
        <v>0</v>
      </c>
      <c r="FR94" s="28">
        <v>0</v>
      </c>
      <c r="FS94" s="28">
        <v>0</v>
      </c>
      <c r="FT94" s="28">
        <v>0</v>
      </c>
      <c r="FU94" s="28">
        <v>0</v>
      </c>
      <c r="FV94" s="28">
        <v>0</v>
      </c>
      <c r="FW94" s="28">
        <v>0</v>
      </c>
      <c r="FX94" s="28">
        <v>0</v>
      </c>
      <c r="FY94" s="28">
        <v>0</v>
      </c>
      <c r="FZ94" s="28">
        <v>0</v>
      </c>
      <c r="GA94" s="28">
        <v>0</v>
      </c>
      <c r="GB94" s="28">
        <v>0</v>
      </c>
      <c r="GC94" s="28">
        <v>0</v>
      </c>
      <c r="GD94" s="28">
        <v>0</v>
      </c>
      <c r="GE94" s="28">
        <v>0</v>
      </c>
      <c r="GF94" s="28">
        <v>0</v>
      </c>
      <c r="GG94" s="28">
        <v>0</v>
      </c>
      <c r="GH94" s="28">
        <v>0</v>
      </c>
      <c r="GI94" s="28">
        <v>0</v>
      </c>
      <c r="GJ94" s="28">
        <v>0</v>
      </c>
      <c r="GK94" s="28">
        <v>0</v>
      </c>
      <c r="GL94" s="28">
        <v>0</v>
      </c>
      <c r="GM94" s="28">
        <v>0</v>
      </c>
      <c r="GN94" s="28">
        <v>0</v>
      </c>
      <c r="GO94" s="28">
        <v>0</v>
      </c>
      <c r="GP94" s="28">
        <v>0</v>
      </c>
      <c r="GQ94" s="21">
        <v>388.63599363168476</v>
      </c>
      <c r="GR94" s="21">
        <v>0</v>
      </c>
      <c r="GS94" s="20">
        <v>0</v>
      </c>
      <c r="GT94" s="20">
        <v>0</v>
      </c>
      <c r="GU94" s="20">
        <v>0</v>
      </c>
      <c r="GV94" s="20">
        <v>0</v>
      </c>
      <c r="GW94" s="20">
        <v>0</v>
      </c>
      <c r="GX94" s="21">
        <v>-0.38158163662728839</v>
      </c>
      <c r="GY94" s="20">
        <v>0</v>
      </c>
      <c r="GZ94" s="20">
        <v>-0.38158163662728839</v>
      </c>
      <c r="HA94" s="20"/>
      <c r="HB94" s="21">
        <v>69.595127443199999</v>
      </c>
      <c r="HC94" s="21">
        <v>457.84953943825747</v>
      </c>
    </row>
    <row r="95" spans="1:211" s="7" customFormat="1" ht="17.25" customHeight="1">
      <c r="A95" s="7">
        <f t="shared" si="9"/>
        <v>95</v>
      </c>
      <c r="B95" s="26" t="s">
        <v>509</v>
      </c>
      <c r="C95" s="9" t="s">
        <v>510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28">
        <v>0</v>
      </c>
      <c r="CK95" s="28">
        <v>0</v>
      </c>
      <c r="CL95" s="28">
        <v>10.8475001178242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  <c r="CR95" s="28">
        <v>0</v>
      </c>
      <c r="CS95" s="28">
        <v>0</v>
      </c>
      <c r="CT95" s="28">
        <v>0</v>
      </c>
      <c r="CU95" s="28">
        <v>0</v>
      </c>
      <c r="CV95" s="28">
        <v>0</v>
      </c>
      <c r="CW95" s="28">
        <v>0</v>
      </c>
      <c r="CX95" s="28">
        <v>0</v>
      </c>
      <c r="CY95" s="28">
        <v>0</v>
      </c>
      <c r="CZ95" s="28">
        <v>0</v>
      </c>
      <c r="DA95" s="28">
        <v>0</v>
      </c>
      <c r="DB95" s="28">
        <v>0</v>
      </c>
      <c r="DC95" s="28">
        <v>0</v>
      </c>
      <c r="DD95" s="28">
        <v>0</v>
      </c>
      <c r="DE95" s="28">
        <v>0</v>
      </c>
      <c r="DF95" s="28">
        <v>0</v>
      </c>
      <c r="DG95" s="28">
        <v>0</v>
      </c>
      <c r="DH95" s="28">
        <v>0</v>
      </c>
      <c r="DI95" s="28">
        <v>0</v>
      </c>
      <c r="DJ95" s="28">
        <v>0</v>
      </c>
      <c r="DK95" s="28">
        <v>0</v>
      </c>
      <c r="DL95" s="28">
        <v>0</v>
      </c>
      <c r="DM95" s="28">
        <v>0</v>
      </c>
      <c r="DN95" s="28">
        <v>0</v>
      </c>
      <c r="DO95" s="28">
        <v>0</v>
      </c>
      <c r="DP95" s="28">
        <v>0</v>
      </c>
      <c r="DQ95" s="28">
        <v>0</v>
      </c>
      <c r="DR95" s="28">
        <v>0</v>
      </c>
      <c r="DS95" s="28">
        <v>0</v>
      </c>
      <c r="DT95" s="28">
        <v>0</v>
      </c>
      <c r="DU95" s="28">
        <v>0</v>
      </c>
      <c r="DV95" s="28">
        <v>0</v>
      </c>
      <c r="DW95" s="28">
        <v>0</v>
      </c>
      <c r="DX95" s="28">
        <v>0</v>
      </c>
      <c r="DY95" s="28">
        <v>0</v>
      </c>
      <c r="DZ95" s="28">
        <v>0</v>
      </c>
      <c r="EA95" s="28">
        <v>0</v>
      </c>
      <c r="EB95" s="28">
        <v>0</v>
      </c>
      <c r="EC95" s="28">
        <v>0</v>
      </c>
      <c r="ED95" s="28">
        <v>0</v>
      </c>
      <c r="EE95" s="28">
        <v>0</v>
      </c>
      <c r="EF95" s="28">
        <v>0</v>
      </c>
      <c r="EG95" s="28">
        <v>0</v>
      </c>
      <c r="EH95" s="28">
        <v>0</v>
      </c>
      <c r="EI95" s="28">
        <v>0</v>
      </c>
      <c r="EJ95" s="28">
        <v>0</v>
      </c>
      <c r="EK95" s="28">
        <v>0</v>
      </c>
      <c r="EL95" s="28">
        <v>0</v>
      </c>
      <c r="EM95" s="28">
        <v>0</v>
      </c>
      <c r="EN95" s="28">
        <v>0</v>
      </c>
      <c r="EO95" s="28">
        <v>0</v>
      </c>
      <c r="EP95" s="28">
        <v>0</v>
      </c>
      <c r="EQ95" s="28">
        <v>0</v>
      </c>
      <c r="ER95" s="28">
        <v>0</v>
      </c>
      <c r="ES95" s="28">
        <v>0</v>
      </c>
      <c r="ET95" s="28">
        <v>0</v>
      </c>
      <c r="EU95" s="28">
        <v>0</v>
      </c>
      <c r="EV95" s="28">
        <v>0</v>
      </c>
      <c r="EW95" s="28">
        <v>0</v>
      </c>
      <c r="EX95" s="28">
        <v>0</v>
      </c>
      <c r="EY95" s="28">
        <v>0</v>
      </c>
      <c r="EZ95" s="28">
        <v>0</v>
      </c>
      <c r="FA95" s="28">
        <v>0</v>
      </c>
      <c r="FB95" s="28">
        <v>0</v>
      </c>
      <c r="FC95" s="28">
        <v>0</v>
      </c>
      <c r="FD95" s="28">
        <v>0</v>
      </c>
      <c r="FE95" s="28">
        <v>0</v>
      </c>
      <c r="FF95" s="28">
        <v>0</v>
      </c>
      <c r="FG95" s="28">
        <v>0</v>
      </c>
      <c r="FH95" s="28">
        <v>0</v>
      </c>
      <c r="FI95" s="28">
        <v>0</v>
      </c>
      <c r="FJ95" s="28">
        <v>0</v>
      </c>
      <c r="FK95" s="28">
        <v>0</v>
      </c>
      <c r="FL95" s="28">
        <v>0</v>
      </c>
      <c r="FM95" s="28">
        <v>0</v>
      </c>
      <c r="FN95" s="28">
        <v>0</v>
      </c>
      <c r="FO95" s="28">
        <v>0</v>
      </c>
      <c r="FP95" s="28">
        <v>0</v>
      </c>
      <c r="FQ95" s="28">
        <v>0</v>
      </c>
      <c r="FR95" s="28">
        <v>0</v>
      </c>
      <c r="FS95" s="28">
        <v>0.14083117751185201</v>
      </c>
      <c r="FT95" s="28">
        <v>11.192322686417199</v>
      </c>
      <c r="FU95" s="28">
        <v>0</v>
      </c>
      <c r="FV95" s="28">
        <v>0</v>
      </c>
      <c r="FW95" s="28">
        <v>0</v>
      </c>
      <c r="FX95" s="28">
        <v>0</v>
      </c>
      <c r="FY95" s="28">
        <v>0</v>
      </c>
      <c r="FZ95" s="28">
        <v>0</v>
      </c>
      <c r="GA95" s="28">
        <v>0</v>
      </c>
      <c r="GB95" s="28">
        <v>0</v>
      </c>
      <c r="GC95" s="28">
        <v>0</v>
      </c>
      <c r="GD95" s="28">
        <v>0</v>
      </c>
      <c r="GE95" s="28">
        <v>0</v>
      </c>
      <c r="GF95" s="28">
        <v>0</v>
      </c>
      <c r="GG95" s="28">
        <v>0</v>
      </c>
      <c r="GH95" s="28">
        <v>0</v>
      </c>
      <c r="GI95" s="28">
        <v>0</v>
      </c>
      <c r="GJ95" s="28">
        <v>0</v>
      </c>
      <c r="GK95" s="28">
        <v>0</v>
      </c>
      <c r="GL95" s="28">
        <v>0</v>
      </c>
      <c r="GM95" s="28">
        <v>0</v>
      </c>
      <c r="GN95" s="28">
        <v>0</v>
      </c>
      <c r="GO95" s="28">
        <v>0</v>
      </c>
      <c r="GP95" s="28">
        <v>0</v>
      </c>
      <c r="GQ95" s="21">
        <v>22.180653981753302</v>
      </c>
      <c r="GR95" s="21">
        <v>114.936860807138</v>
      </c>
      <c r="GS95" s="20">
        <v>114.936860807138</v>
      </c>
      <c r="GT95" s="20">
        <v>0</v>
      </c>
      <c r="GU95" s="20">
        <v>0</v>
      </c>
      <c r="GV95" s="20">
        <v>0</v>
      </c>
      <c r="GW95" s="20">
        <v>0</v>
      </c>
      <c r="GX95" s="21">
        <v>-64.061289672949044</v>
      </c>
      <c r="GY95" s="20">
        <v>0</v>
      </c>
      <c r="GZ95" s="20">
        <v>-64.061289672949044</v>
      </c>
      <c r="HA95" s="20"/>
      <c r="HB95" s="21">
        <v>1210.8691785380499</v>
      </c>
      <c r="HC95" s="21">
        <v>1283.9254036539921</v>
      </c>
    </row>
    <row r="96" spans="1:211" s="7" customFormat="1" ht="17.25" customHeight="1">
      <c r="A96" s="7">
        <f t="shared" si="9"/>
        <v>96</v>
      </c>
      <c r="B96" s="26" t="s">
        <v>511</v>
      </c>
      <c r="C96" s="10" t="s">
        <v>512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2.9407007239216101E-2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1.8263571821569201E-2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0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79.290322518223604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28">
        <v>0</v>
      </c>
      <c r="CJ96" s="28">
        <v>0</v>
      </c>
      <c r="CK96" s="28">
        <v>0</v>
      </c>
      <c r="CL96" s="28">
        <v>3.1258269396030398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28">
        <v>0</v>
      </c>
      <c r="CU96" s="28">
        <v>0</v>
      </c>
      <c r="CV96" s="28">
        <v>0</v>
      </c>
      <c r="CW96" s="28">
        <v>0</v>
      </c>
      <c r="CX96" s="28">
        <v>0</v>
      </c>
      <c r="CY96" s="28">
        <v>0</v>
      </c>
      <c r="CZ96" s="28">
        <v>0</v>
      </c>
      <c r="DA96" s="28">
        <v>0</v>
      </c>
      <c r="DB96" s="28">
        <v>0</v>
      </c>
      <c r="DC96" s="28">
        <v>0</v>
      </c>
      <c r="DD96" s="28">
        <v>0</v>
      </c>
      <c r="DE96" s="28">
        <v>0</v>
      </c>
      <c r="DF96" s="28">
        <v>0</v>
      </c>
      <c r="DG96" s="28">
        <v>0</v>
      </c>
      <c r="DH96" s="28">
        <v>0</v>
      </c>
      <c r="DI96" s="28">
        <v>0</v>
      </c>
      <c r="DJ96" s="28">
        <v>0</v>
      </c>
      <c r="DK96" s="28">
        <v>0</v>
      </c>
      <c r="DL96" s="28">
        <v>0</v>
      </c>
      <c r="DM96" s="28">
        <v>0</v>
      </c>
      <c r="DN96" s="28">
        <v>0</v>
      </c>
      <c r="DO96" s="28">
        <v>0</v>
      </c>
      <c r="DP96" s="28">
        <v>0</v>
      </c>
      <c r="DQ96" s="28">
        <v>0</v>
      </c>
      <c r="DR96" s="28">
        <v>0</v>
      </c>
      <c r="DS96" s="28">
        <v>0</v>
      </c>
      <c r="DT96" s="28">
        <v>0</v>
      </c>
      <c r="DU96" s="28">
        <v>0</v>
      </c>
      <c r="DV96" s="28">
        <v>0</v>
      </c>
      <c r="DW96" s="28">
        <v>0</v>
      </c>
      <c r="DX96" s="28">
        <v>0</v>
      </c>
      <c r="DY96" s="28">
        <v>0</v>
      </c>
      <c r="DZ96" s="28">
        <v>0</v>
      </c>
      <c r="EA96" s="28">
        <v>0</v>
      </c>
      <c r="EB96" s="28">
        <v>0</v>
      </c>
      <c r="EC96" s="28">
        <v>0</v>
      </c>
      <c r="ED96" s="28">
        <v>0</v>
      </c>
      <c r="EE96" s="28">
        <v>0</v>
      </c>
      <c r="EF96" s="28">
        <v>0</v>
      </c>
      <c r="EG96" s="28">
        <v>0</v>
      </c>
      <c r="EH96" s="28">
        <v>0</v>
      </c>
      <c r="EI96" s="28">
        <v>0</v>
      </c>
      <c r="EJ96" s="28">
        <v>0</v>
      </c>
      <c r="EK96" s="28">
        <v>0</v>
      </c>
      <c r="EL96" s="28">
        <v>0</v>
      </c>
      <c r="EM96" s="28">
        <v>0</v>
      </c>
      <c r="EN96" s="28">
        <v>0</v>
      </c>
      <c r="EO96" s="28">
        <v>0</v>
      </c>
      <c r="EP96" s="28">
        <v>0</v>
      </c>
      <c r="EQ96" s="28">
        <v>0</v>
      </c>
      <c r="ER96" s="28">
        <v>0</v>
      </c>
      <c r="ES96" s="28">
        <v>0</v>
      </c>
      <c r="ET96" s="28">
        <v>0</v>
      </c>
      <c r="EU96" s="28">
        <v>0</v>
      </c>
      <c r="EV96" s="28">
        <v>0</v>
      </c>
      <c r="EW96" s="28">
        <v>0</v>
      </c>
      <c r="EX96" s="28">
        <v>0</v>
      </c>
      <c r="EY96" s="28">
        <v>0</v>
      </c>
      <c r="EZ96" s="28">
        <v>0</v>
      </c>
      <c r="FA96" s="28">
        <v>0</v>
      </c>
      <c r="FB96" s="28">
        <v>0</v>
      </c>
      <c r="FC96" s="28">
        <v>0</v>
      </c>
      <c r="FD96" s="28">
        <v>0</v>
      </c>
      <c r="FE96" s="28">
        <v>0</v>
      </c>
      <c r="FF96" s="28">
        <v>0</v>
      </c>
      <c r="FG96" s="28">
        <v>0</v>
      </c>
      <c r="FH96" s="28">
        <v>0</v>
      </c>
      <c r="FI96" s="28">
        <v>0</v>
      </c>
      <c r="FJ96" s="28">
        <v>0</v>
      </c>
      <c r="FK96" s="28">
        <v>0</v>
      </c>
      <c r="FL96" s="28">
        <v>0</v>
      </c>
      <c r="FM96" s="28">
        <v>0</v>
      </c>
      <c r="FN96" s="28">
        <v>0</v>
      </c>
      <c r="FO96" s="28">
        <v>0</v>
      </c>
      <c r="FP96" s="28">
        <v>0</v>
      </c>
      <c r="FQ96" s="28">
        <v>0</v>
      </c>
      <c r="FR96" s="28">
        <v>0</v>
      </c>
      <c r="FS96" s="28">
        <v>0.27486919007252902</v>
      </c>
      <c r="FT96" s="28">
        <v>21.844769930912499</v>
      </c>
      <c r="FU96" s="28">
        <v>0</v>
      </c>
      <c r="FV96" s="28">
        <v>0</v>
      </c>
      <c r="FW96" s="28">
        <v>0</v>
      </c>
      <c r="FX96" s="28">
        <v>0</v>
      </c>
      <c r="FY96" s="28">
        <v>0</v>
      </c>
      <c r="FZ96" s="28">
        <v>0</v>
      </c>
      <c r="GA96" s="28">
        <v>0</v>
      </c>
      <c r="GB96" s="28">
        <v>0</v>
      </c>
      <c r="GC96" s="28">
        <v>0</v>
      </c>
      <c r="GD96" s="28">
        <v>0</v>
      </c>
      <c r="GE96" s="28">
        <v>0</v>
      </c>
      <c r="GF96" s="28">
        <v>0</v>
      </c>
      <c r="GG96" s="28">
        <v>3.51732864621196</v>
      </c>
      <c r="GH96" s="28">
        <v>0</v>
      </c>
      <c r="GI96" s="28">
        <v>0.409712773332226</v>
      </c>
      <c r="GJ96" s="28">
        <v>1.4475167374562801</v>
      </c>
      <c r="GK96" s="28">
        <v>4.4694502459763497</v>
      </c>
      <c r="GL96" s="28">
        <v>0</v>
      </c>
      <c r="GM96" s="28">
        <v>0</v>
      </c>
      <c r="GN96" s="28">
        <v>0</v>
      </c>
      <c r="GO96" s="28">
        <v>0</v>
      </c>
      <c r="GP96" s="28">
        <v>0</v>
      </c>
      <c r="GQ96" s="21">
        <v>114.42746756084927</v>
      </c>
      <c r="GR96" s="21">
        <v>93.043746776125303</v>
      </c>
      <c r="GS96" s="20">
        <v>79.256104556279851</v>
      </c>
      <c r="GT96" s="20">
        <v>0</v>
      </c>
      <c r="GU96" s="20">
        <v>13.787642219845447</v>
      </c>
      <c r="GV96" s="20">
        <v>13.787642219845447</v>
      </c>
      <c r="GW96" s="20">
        <v>0</v>
      </c>
      <c r="GX96" s="21">
        <v>-37.997980517892991</v>
      </c>
      <c r="GY96" s="20">
        <v>0</v>
      </c>
      <c r="GZ96" s="20">
        <v>-37.997980517892991</v>
      </c>
      <c r="HA96" s="20"/>
      <c r="HB96" s="21">
        <v>749.31951841690704</v>
      </c>
      <c r="HC96" s="21">
        <v>918.7927522359887</v>
      </c>
    </row>
    <row r="97" spans="1:211" s="7" customFormat="1" ht="17.25" customHeight="1">
      <c r="A97" s="7">
        <f t="shared" si="9"/>
        <v>97</v>
      </c>
      <c r="B97" s="26" t="s">
        <v>80</v>
      </c>
      <c r="C97" s="9" t="s">
        <v>513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0.37004601389400799</v>
      </c>
      <c r="Q97" s="28">
        <v>0</v>
      </c>
      <c r="R97" s="28">
        <v>0</v>
      </c>
      <c r="S97" s="28">
        <v>0.28763419562520598</v>
      </c>
      <c r="T97" s="28">
        <v>0</v>
      </c>
      <c r="U97" s="28">
        <v>0</v>
      </c>
      <c r="V97" s="28">
        <v>0</v>
      </c>
      <c r="W97" s="28">
        <v>3.4014628873038903E-2</v>
      </c>
      <c r="X97" s="28">
        <v>0.15906218955234799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4.2806998497673998E-2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0.73259502890504702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30.766713938960699</v>
      </c>
      <c r="BO97" s="28">
        <v>38.223530972967801</v>
      </c>
      <c r="BP97" s="28">
        <v>0</v>
      </c>
      <c r="BQ97" s="28">
        <v>0</v>
      </c>
      <c r="BR97" s="28">
        <v>0</v>
      </c>
      <c r="BS97" s="28">
        <v>0</v>
      </c>
      <c r="BT97" s="28">
        <v>55.755452380600502</v>
      </c>
      <c r="BU97" s="28">
        <v>0</v>
      </c>
      <c r="BV97" s="28">
        <v>50.751669646612797</v>
      </c>
      <c r="BW97" s="28">
        <v>0</v>
      </c>
      <c r="BX97" s="28">
        <v>0</v>
      </c>
      <c r="BY97" s="28">
        <v>0</v>
      </c>
      <c r="BZ97" s="28">
        <v>0</v>
      </c>
      <c r="CA97" s="28">
        <v>13.905972823707399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12.7174243964454</v>
      </c>
      <c r="CI97" s="28">
        <v>4.5197482109069798</v>
      </c>
      <c r="CJ97" s="28">
        <v>14.2900018247714</v>
      </c>
      <c r="CK97" s="28">
        <v>0</v>
      </c>
      <c r="CL97" s="28">
        <v>8.4358066921137596</v>
      </c>
      <c r="CM97" s="28">
        <v>0</v>
      </c>
      <c r="CN97" s="28">
        <v>0.64552551507949796</v>
      </c>
      <c r="CO97" s="28">
        <v>34.192586018363698</v>
      </c>
      <c r="CP97" s="28">
        <v>433.53635091446301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0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0</v>
      </c>
      <c r="DJ97" s="28">
        <v>0</v>
      </c>
      <c r="DK97" s="28">
        <v>0</v>
      </c>
      <c r="DL97" s="28">
        <v>0</v>
      </c>
      <c r="DM97" s="28">
        <v>0</v>
      </c>
      <c r="DN97" s="28">
        <v>0</v>
      </c>
      <c r="DO97" s="28">
        <v>0</v>
      </c>
      <c r="DP97" s="28">
        <v>0</v>
      </c>
      <c r="DQ97" s="28">
        <v>0</v>
      </c>
      <c r="DR97" s="28">
        <v>5.4017797331175004</v>
      </c>
      <c r="DS97" s="28">
        <v>0</v>
      </c>
      <c r="DT97" s="28">
        <v>0</v>
      </c>
      <c r="DU97" s="28">
        <v>0</v>
      </c>
      <c r="DV97" s="28">
        <v>0</v>
      </c>
      <c r="DW97" s="28">
        <v>0</v>
      </c>
      <c r="DX97" s="28">
        <v>0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0</v>
      </c>
      <c r="EE97" s="28">
        <v>0</v>
      </c>
      <c r="EF97" s="28">
        <v>0</v>
      </c>
      <c r="EG97" s="28">
        <v>0</v>
      </c>
      <c r="EH97" s="28">
        <v>0</v>
      </c>
      <c r="EI97" s="28">
        <v>0</v>
      </c>
      <c r="EJ97" s="28">
        <v>0</v>
      </c>
      <c r="EK97" s="28">
        <v>0</v>
      </c>
      <c r="EL97" s="28">
        <v>0</v>
      </c>
      <c r="EM97" s="28">
        <v>0</v>
      </c>
      <c r="EN97" s="28">
        <v>0</v>
      </c>
      <c r="EO97" s="28">
        <v>0</v>
      </c>
      <c r="EP97" s="28">
        <v>0</v>
      </c>
      <c r="EQ97" s="28">
        <v>0</v>
      </c>
      <c r="ER97" s="28">
        <v>0</v>
      </c>
      <c r="ES97" s="28">
        <v>0</v>
      </c>
      <c r="ET97" s="28">
        <v>0</v>
      </c>
      <c r="EU97" s="28">
        <v>0</v>
      </c>
      <c r="EV97" s="28">
        <v>0</v>
      </c>
      <c r="EW97" s="28">
        <v>0</v>
      </c>
      <c r="EX97" s="28">
        <v>0</v>
      </c>
      <c r="EY97" s="28">
        <v>0</v>
      </c>
      <c r="EZ97" s="28">
        <v>0</v>
      </c>
      <c r="FA97" s="28">
        <v>0</v>
      </c>
      <c r="FB97" s="28">
        <v>0</v>
      </c>
      <c r="FC97" s="28">
        <v>0</v>
      </c>
      <c r="FD97" s="28">
        <v>0</v>
      </c>
      <c r="FE97" s="28">
        <v>0</v>
      </c>
      <c r="FF97" s="28">
        <v>0</v>
      </c>
      <c r="FG97" s="28">
        <v>0</v>
      </c>
      <c r="FH97" s="28">
        <v>0</v>
      </c>
      <c r="FI97" s="28">
        <v>0</v>
      </c>
      <c r="FJ97" s="28">
        <v>0</v>
      </c>
      <c r="FK97" s="28">
        <v>0</v>
      </c>
      <c r="FL97" s="28">
        <v>0</v>
      </c>
      <c r="FM97" s="28">
        <v>0</v>
      </c>
      <c r="FN97" s="28">
        <v>0</v>
      </c>
      <c r="FO97" s="28">
        <v>0</v>
      </c>
      <c r="FP97" s="28">
        <v>0</v>
      </c>
      <c r="FQ97" s="28">
        <v>0</v>
      </c>
      <c r="FR97" s="28">
        <v>0</v>
      </c>
      <c r="FS97" s="28">
        <v>0.88984890852063003</v>
      </c>
      <c r="FT97" s="28">
        <v>70.719256220668299</v>
      </c>
      <c r="FU97" s="28">
        <v>0</v>
      </c>
      <c r="FV97" s="28">
        <v>0</v>
      </c>
      <c r="FW97" s="28">
        <v>0</v>
      </c>
      <c r="FX97" s="28">
        <v>0</v>
      </c>
      <c r="FY97" s="28">
        <v>0.24646569775695601</v>
      </c>
      <c r="FZ97" s="28">
        <v>0</v>
      </c>
      <c r="GA97" s="28">
        <v>0</v>
      </c>
      <c r="GB97" s="28">
        <v>0</v>
      </c>
      <c r="GC97" s="28">
        <v>0</v>
      </c>
      <c r="GD97" s="28">
        <v>0</v>
      </c>
      <c r="GE97" s="28">
        <v>0</v>
      </c>
      <c r="GF97" s="28">
        <v>0</v>
      </c>
      <c r="GG97" s="28">
        <v>24.546156999745602</v>
      </c>
      <c r="GH97" s="28">
        <v>0</v>
      </c>
      <c r="GI97" s="28">
        <v>7.5886152252456401E-2</v>
      </c>
      <c r="GJ97" s="28">
        <v>2.4414583637132701</v>
      </c>
      <c r="GK97" s="28">
        <v>0.82782232804813305</v>
      </c>
      <c r="GL97" s="28">
        <v>0</v>
      </c>
      <c r="GM97" s="28">
        <v>0</v>
      </c>
      <c r="GN97" s="28">
        <v>0</v>
      </c>
      <c r="GO97" s="28">
        <v>0</v>
      </c>
      <c r="GP97" s="28">
        <v>0</v>
      </c>
      <c r="GQ97" s="21">
        <v>804.51561679416272</v>
      </c>
      <c r="GR97" s="21">
        <v>1327.1213687397401</v>
      </c>
      <c r="GS97" s="20">
        <v>1317.3810086582589</v>
      </c>
      <c r="GT97" s="20">
        <v>0</v>
      </c>
      <c r="GU97" s="20">
        <v>9.7403600814811817</v>
      </c>
      <c r="GV97" s="20">
        <v>9.7403600814811817</v>
      </c>
      <c r="GW97" s="20">
        <v>0</v>
      </c>
      <c r="GX97" s="21">
        <v>378.08553127511522</v>
      </c>
      <c r="GY97" s="20">
        <v>0</v>
      </c>
      <c r="GZ97" s="20">
        <v>378.08553127511522</v>
      </c>
      <c r="HA97" s="20"/>
      <c r="HB97" s="21">
        <v>54.2405433188571</v>
      </c>
      <c r="HC97" s="21">
        <v>2563.9630601278745</v>
      </c>
    </row>
    <row r="98" spans="1:211" s="7" customFormat="1" ht="17.25" customHeight="1">
      <c r="A98" s="7">
        <f t="shared" si="9"/>
        <v>98</v>
      </c>
      <c r="B98" s="26" t="s">
        <v>81</v>
      </c>
      <c r="C98" s="9" t="s">
        <v>514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0.15212158429226599</v>
      </c>
      <c r="Q98" s="28">
        <v>0</v>
      </c>
      <c r="R98" s="28">
        <v>0</v>
      </c>
      <c r="S98" s="28">
        <v>1.3033956966906299E-4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1.79846222691288E-3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3.85924737966661</v>
      </c>
      <c r="CM98" s="28">
        <v>0</v>
      </c>
      <c r="CN98" s="28">
        <v>14.377248169797401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15.501145320263999</v>
      </c>
      <c r="DO98" s="28">
        <v>0</v>
      </c>
      <c r="DP98" s="28">
        <v>0</v>
      </c>
      <c r="DQ98" s="28">
        <v>0</v>
      </c>
      <c r="DR98" s="28">
        <v>1.3442212188091101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  <c r="EU98" s="28">
        <v>0</v>
      </c>
      <c r="EV98" s="28">
        <v>0</v>
      </c>
      <c r="EW98" s="28">
        <v>0</v>
      </c>
      <c r="EX98" s="28">
        <v>0</v>
      </c>
      <c r="EY98" s="28">
        <v>0</v>
      </c>
      <c r="EZ98" s="28">
        <v>0</v>
      </c>
      <c r="FA98" s="28">
        <v>0</v>
      </c>
      <c r="FB98" s="28">
        <v>0</v>
      </c>
      <c r="FC98" s="28">
        <v>0</v>
      </c>
      <c r="FD98" s="28">
        <v>0</v>
      </c>
      <c r="FE98" s="28">
        <v>0</v>
      </c>
      <c r="FF98" s="28">
        <v>0</v>
      </c>
      <c r="FG98" s="28">
        <v>0</v>
      </c>
      <c r="FH98" s="28">
        <v>0</v>
      </c>
      <c r="FI98" s="28">
        <v>0</v>
      </c>
      <c r="FJ98" s="28">
        <v>0</v>
      </c>
      <c r="FK98" s="28">
        <v>0</v>
      </c>
      <c r="FL98" s="28">
        <v>0</v>
      </c>
      <c r="FM98" s="28">
        <v>0</v>
      </c>
      <c r="FN98" s="28">
        <v>0</v>
      </c>
      <c r="FO98" s="28">
        <v>0</v>
      </c>
      <c r="FP98" s="28">
        <v>0</v>
      </c>
      <c r="FQ98" s="28">
        <v>0</v>
      </c>
      <c r="FR98" s="28">
        <v>0</v>
      </c>
      <c r="FS98" s="28">
        <v>8.47246374908249E-3</v>
      </c>
      <c r="FT98" s="28">
        <v>0.67333490995431999</v>
      </c>
      <c r="FU98" s="28">
        <v>0</v>
      </c>
      <c r="FV98" s="28">
        <v>0</v>
      </c>
      <c r="FW98" s="28">
        <v>0</v>
      </c>
      <c r="FX98" s="28">
        <v>0</v>
      </c>
      <c r="FY98" s="28">
        <v>0</v>
      </c>
      <c r="FZ98" s="28">
        <v>0</v>
      </c>
      <c r="GA98" s="28">
        <v>0</v>
      </c>
      <c r="GB98" s="28">
        <v>0</v>
      </c>
      <c r="GC98" s="28">
        <v>0</v>
      </c>
      <c r="GD98" s="28">
        <v>0</v>
      </c>
      <c r="GE98" s="28">
        <v>0</v>
      </c>
      <c r="GF98" s="28">
        <v>0</v>
      </c>
      <c r="GG98" s="28">
        <v>0</v>
      </c>
      <c r="GH98" s="28">
        <v>0</v>
      </c>
      <c r="GI98" s="28">
        <v>0</v>
      </c>
      <c r="GJ98" s="28">
        <v>0</v>
      </c>
      <c r="GK98" s="28">
        <v>0</v>
      </c>
      <c r="GL98" s="28">
        <v>0</v>
      </c>
      <c r="GM98" s="28">
        <v>0</v>
      </c>
      <c r="GN98" s="28">
        <v>0</v>
      </c>
      <c r="GO98" s="28">
        <v>0</v>
      </c>
      <c r="GP98" s="28">
        <v>0</v>
      </c>
      <c r="GQ98" s="21">
        <v>35.917719848329362</v>
      </c>
      <c r="GR98" s="21">
        <v>2.5602005330929498</v>
      </c>
      <c r="GS98" s="20">
        <v>2.5602005330929498</v>
      </c>
      <c r="GT98" s="20">
        <v>0</v>
      </c>
      <c r="GU98" s="20">
        <v>0</v>
      </c>
      <c r="GV98" s="20">
        <v>0</v>
      </c>
      <c r="GW98" s="20">
        <v>0</v>
      </c>
      <c r="GX98" s="21">
        <v>-0.32750679324195886</v>
      </c>
      <c r="GY98" s="20">
        <v>0</v>
      </c>
      <c r="GZ98" s="20">
        <v>-0.32750679324195886</v>
      </c>
      <c r="HA98" s="20"/>
      <c r="HB98" s="21">
        <v>6.8629922160000003</v>
      </c>
      <c r="HC98" s="21">
        <v>45.013405804180358</v>
      </c>
    </row>
    <row r="99" spans="1:211" s="7" customFormat="1" ht="17.25" customHeight="1">
      <c r="A99" s="7">
        <f t="shared" si="9"/>
        <v>99</v>
      </c>
      <c r="B99" s="26" t="s">
        <v>85</v>
      </c>
      <c r="C99" s="9" t="s">
        <v>515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0</v>
      </c>
      <c r="EK99" s="28">
        <v>0</v>
      </c>
      <c r="EL99" s="28">
        <v>0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  <c r="EU99" s="28">
        <v>0</v>
      </c>
      <c r="EV99" s="28">
        <v>0</v>
      </c>
      <c r="EW99" s="28">
        <v>0</v>
      </c>
      <c r="EX99" s="28">
        <v>0</v>
      </c>
      <c r="EY99" s="28">
        <v>0</v>
      </c>
      <c r="EZ99" s="28">
        <v>0</v>
      </c>
      <c r="FA99" s="28">
        <v>0</v>
      </c>
      <c r="FB99" s="28">
        <v>0</v>
      </c>
      <c r="FC99" s="28">
        <v>0</v>
      </c>
      <c r="FD99" s="28">
        <v>0</v>
      </c>
      <c r="FE99" s="28">
        <v>0</v>
      </c>
      <c r="FF99" s="28">
        <v>0</v>
      </c>
      <c r="FG99" s="28">
        <v>0</v>
      </c>
      <c r="FH99" s="28">
        <v>0</v>
      </c>
      <c r="FI99" s="28">
        <v>0</v>
      </c>
      <c r="FJ99" s="28">
        <v>0</v>
      </c>
      <c r="FK99" s="28">
        <v>0</v>
      </c>
      <c r="FL99" s="28">
        <v>0</v>
      </c>
      <c r="FM99" s="28">
        <v>0</v>
      </c>
      <c r="FN99" s="28">
        <v>0</v>
      </c>
      <c r="FO99" s="28">
        <v>0</v>
      </c>
      <c r="FP99" s="28">
        <v>0</v>
      </c>
      <c r="FQ99" s="28">
        <v>0</v>
      </c>
      <c r="FR99" s="28">
        <v>0</v>
      </c>
      <c r="FS99" s="28">
        <v>0</v>
      </c>
      <c r="FT99" s="28">
        <v>0</v>
      </c>
      <c r="FU99" s="28">
        <v>0</v>
      </c>
      <c r="FV99" s="28">
        <v>0</v>
      </c>
      <c r="FW99" s="28">
        <v>0</v>
      </c>
      <c r="FX99" s="28">
        <v>0</v>
      </c>
      <c r="FY99" s="28">
        <v>0</v>
      </c>
      <c r="FZ99" s="28">
        <v>0</v>
      </c>
      <c r="GA99" s="28">
        <v>0</v>
      </c>
      <c r="GB99" s="28">
        <v>0</v>
      </c>
      <c r="GC99" s="28">
        <v>0</v>
      </c>
      <c r="GD99" s="28">
        <v>0</v>
      </c>
      <c r="GE99" s="28">
        <v>0</v>
      </c>
      <c r="GF99" s="28">
        <v>0</v>
      </c>
      <c r="GG99" s="28">
        <v>0</v>
      </c>
      <c r="GH99" s="28">
        <v>0</v>
      </c>
      <c r="GI99" s="28">
        <v>0</v>
      </c>
      <c r="GJ99" s="28">
        <v>0</v>
      </c>
      <c r="GK99" s="28">
        <v>0</v>
      </c>
      <c r="GL99" s="28">
        <v>0</v>
      </c>
      <c r="GM99" s="28">
        <v>0</v>
      </c>
      <c r="GN99" s="28">
        <v>0</v>
      </c>
      <c r="GO99" s="28">
        <v>0</v>
      </c>
      <c r="GP99" s="28">
        <v>0</v>
      </c>
      <c r="GQ99" s="21">
        <v>0</v>
      </c>
      <c r="GR99" s="21">
        <v>0</v>
      </c>
      <c r="GS99" s="20">
        <v>0</v>
      </c>
      <c r="GT99" s="20">
        <v>0</v>
      </c>
      <c r="GU99" s="20">
        <v>0</v>
      </c>
      <c r="GV99" s="20">
        <v>0</v>
      </c>
      <c r="GW99" s="20">
        <v>0</v>
      </c>
      <c r="GX99" s="21">
        <v>41.684023912621441</v>
      </c>
      <c r="GY99" s="20">
        <v>0</v>
      </c>
      <c r="GZ99" s="20">
        <v>41.684023912621441</v>
      </c>
      <c r="HA99" s="20"/>
      <c r="HB99" s="21">
        <v>1491.5099574528001</v>
      </c>
      <c r="HC99" s="21">
        <v>1533.1939813654215</v>
      </c>
    </row>
    <row r="100" spans="1:211" s="7" customFormat="1" ht="17.25" customHeight="1">
      <c r="A100" s="7">
        <f t="shared" si="9"/>
        <v>100</v>
      </c>
      <c r="B100" s="26" t="s">
        <v>516</v>
      </c>
      <c r="C100" s="9" t="s">
        <v>517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0</v>
      </c>
      <c r="CR100" s="28">
        <v>0</v>
      </c>
      <c r="CS100" s="28">
        <v>0</v>
      </c>
      <c r="CT100" s="28">
        <v>0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0</v>
      </c>
      <c r="DJ100" s="28">
        <v>0</v>
      </c>
      <c r="DK100" s="28">
        <v>0</v>
      </c>
      <c r="DL100" s="28">
        <v>0</v>
      </c>
      <c r="DM100" s="28">
        <v>0</v>
      </c>
      <c r="DN100" s="28">
        <v>0</v>
      </c>
      <c r="DO100" s="28">
        <v>0</v>
      </c>
      <c r="DP100" s="28">
        <v>0</v>
      </c>
      <c r="DQ100" s="28">
        <v>0</v>
      </c>
      <c r="DR100" s="28">
        <v>0</v>
      </c>
      <c r="DS100" s="28">
        <v>0</v>
      </c>
      <c r="DT100" s="28">
        <v>0</v>
      </c>
      <c r="DU100" s="28">
        <v>0</v>
      </c>
      <c r="DV100" s="28">
        <v>0</v>
      </c>
      <c r="DW100" s="28">
        <v>0</v>
      </c>
      <c r="DX100" s="28">
        <v>0</v>
      </c>
      <c r="DY100" s="28">
        <v>0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0</v>
      </c>
      <c r="EF100" s="28">
        <v>0</v>
      </c>
      <c r="EG100" s="28">
        <v>0</v>
      </c>
      <c r="EH100" s="28">
        <v>0</v>
      </c>
      <c r="EI100" s="28">
        <v>0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28">
        <v>0</v>
      </c>
      <c r="ER100" s="28">
        <v>0</v>
      </c>
      <c r="ES100" s="28">
        <v>0</v>
      </c>
      <c r="ET100" s="28">
        <v>0</v>
      </c>
      <c r="EU100" s="28">
        <v>0</v>
      </c>
      <c r="EV100" s="28">
        <v>0</v>
      </c>
      <c r="EW100" s="28">
        <v>0</v>
      </c>
      <c r="EX100" s="28">
        <v>0</v>
      </c>
      <c r="EY100" s="28">
        <v>0</v>
      </c>
      <c r="EZ100" s="28">
        <v>0</v>
      </c>
      <c r="FA100" s="28">
        <v>0</v>
      </c>
      <c r="FB100" s="28">
        <v>0</v>
      </c>
      <c r="FC100" s="28">
        <v>0</v>
      </c>
      <c r="FD100" s="28">
        <v>0</v>
      </c>
      <c r="FE100" s="28">
        <v>0</v>
      </c>
      <c r="FF100" s="28">
        <v>0</v>
      </c>
      <c r="FG100" s="28">
        <v>0</v>
      </c>
      <c r="FH100" s="28">
        <v>0</v>
      </c>
      <c r="FI100" s="28">
        <v>0</v>
      </c>
      <c r="FJ100" s="28">
        <v>0</v>
      </c>
      <c r="FK100" s="28">
        <v>0</v>
      </c>
      <c r="FL100" s="28">
        <v>0</v>
      </c>
      <c r="FM100" s="28">
        <v>0</v>
      </c>
      <c r="FN100" s="28">
        <v>0</v>
      </c>
      <c r="FO100" s="28">
        <v>0</v>
      </c>
      <c r="FP100" s="28">
        <v>0</v>
      </c>
      <c r="FQ100" s="28">
        <v>0</v>
      </c>
      <c r="FR100" s="28">
        <v>0</v>
      </c>
      <c r="FS100" s="28">
        <v>0</v>
      </c>
      <c r="FT100" s="28">
        <v>0</v>
      </c>
      <c r="FU100" s="28">
        <v>0</v>
      </c>
      <c r="FV100" s="28">
        <v>0</v>
      </c>
      <c r="FW100" s="28">
        <v>0</v>
      </c>
      <c r="FX100" s="28">
        <v>0</v>
      </c>
      <c r="FY100" s="28">
        <v>0</v>
      </c>
      <c r="FZ100" s="28">
        <v>0</v>
      </c>
      <c r="GA100" s="28">
        <v>0</v>
      </c>
      <c r="GB100" s="28">
        <v>0</v>
      </c>
      <c r="GC100" s="28">
        <v>0</v>
      </c>
      <c r="GD100" s="28">
        <v>0</v>
      </c>
      <c r="GE100" s="28">
        <v>0</v>
      </c>
      <c r="GF100" s="28">
        <v>0</v>
      </c>
      <c r="GG100" s="28">
        <v>0</v>
      </c>
      <c r="GH100" s="28">
        <v>0</v>
      </c>
      <c r="GI100" s="28">
        <v>0</v>
      </c>
      <c r="GJ100" s="28">
        <v>0</v>
      </c>
      <c r="GK100" s="28">
        <v>0</v>
      </c>
      <c r="GL100" s="28">
        <v>0</v>
      </c>
      <c r="GM100" s="28">
        <v>0</v>
      </c>
      <c r="GN100" s="28">
        <v>0</v>
      </c>
      <c r="GO100" s="28">
        <v>0</v>
      </c>
      <c r="GP100" s="28">
        <v>0</v>
      </c>
      <c r="GQ100" s="21">
        <v>0</v>
      </c>
      <c r="GR100" s="21">
        <v>0</v>
      </c>
      <c r="GS100" s="20">
        <v>0</v>
      </c>
      <c r="GT100" s="20">
        <v>0</v>
      </c>
      <c r="GU100" s="20">
        <v>0</v>
      </c>
      <c r="GV100" s="20">
        <v>0</v>
      </c>
      <c r="GW100" s="20">
        <v>0</v>
      </c>
      <c r="GX100" s="21">
        <v>9.0631169375111703E-2</v>
      </c>
      <c r="GY100" s="20">
        <v>0</v>
      </c>
      <c r="GZ100" s="20">
        <v>9.0631169375111703E-2</v>
      </c>
      <c r="HA100" s="20"/>
      <c r="HB100" s="21">
        <v>165.36567288960001</v>
      </c>
      <c r="HC100" s="21">
        <v>165.45630405897512</v>
      </c>
    </row>
    <row r="101" spans="1:211" s="7" customFormat="1" ht="17.25" customHeight="1">
      <c r="A101" s="7">
        <f t="shared" si="9"/>
        <v>101</v>
      </c>
      <c r="B101" s="26" t="s">
        <v>518</v>
      </c>
      <c r="C101" s="9" t="s">
        <v>519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9.2761539021175299</v>
      </c>
      <c r="DR101" s="28">
        <v>0</v>
      </c>
      <c r="DS101" s="28">
        <v>2.6573000000000002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28">
        <v>0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  <c r="EU101" s="28">
        <v>0</v>
      </c>
      <c r="EV101" s="28">
        <v>0</v>
      </c>
      <c r="EW101" s="28">
        <v>0</v>
      </c>
      <c r="EX101" s="28">
        <v>0</v>
      </c>
      <c r="EY101" s="28">
        <v>0</v>
      </c>
      <c r="EZ101" s="28">
        <v>0</v>
      </c>
      <c r="FA101" s="28">
        <v>0</v>
      </c>
      <c r="FB101" s="28">
        <v>0</v>
      </c>
      <c r="FC101" s="28">
        <v>0</v>
      </c>
      <c r="FD101" s="28">
        <v>0</v>
      </c>
      <c r="FE101" s="28">
        <v>0</v>
      </c>
      <c r="FF101" s="28">
        <v>0</v>
      </c>
      <c r="FG101" s="28">
        <v>0</v>
      </c>
      <c r="FH101" s="28">
        <v>0</v>
      </c>
      <c r="FI101" s="28">
        <v>0</v>
      </c>
      <c r="FJ101" s="28">
        <v>0</v>
      </c>
      <c r="FK101" s="28">
        <v>0</v>
      </c>
      <c r="FL101" s="28">
        <v>0</v>
      </c>
      <c r="FM101" s="28">
        <v>0</v>
      </c>
      <c r="FN101" s="28">
        <v>0</v>
      </c>
      <c r="FO101" s="28">
        <v>0</v>
      </c>
      <c r="FP101" s="28">
        <v>0</v>
      </c>
      <c r="FQ101" s="28">
        <v>0</v>
      </c>
      <c r="FR101" s="28">
        <v>0</v>
      </c>
      <c r="FS101" s="28">
        <v>0</v>
      </c>
      <c r="FT101" s="28">
        <v>0</v>
      </c>
      <c r="FU101" s="28">
        <v>0</v>
      </c>
      <c r="FV101" s="28">
        <v>0</v>
      </c>
      <c r="FW101" s="28">
        <v>0</v>
      </c>
      <c r="FX101" s="28">
        <v>0</v>
      </c>
      <c r="FY101" s="28">
        <v>0</v>
      </c>
      <c r="FZ101" s="28">
        <v>0</v>
      </c>
      <c r="GA101" s="28">
        <v>0</v>
      </c>
      <c r="GB101" s="28">
        <v>0</v>
      </c>
      <c r="GC101" s="28">
        <v>0</v>
      </c>
      <c r="GD101" s="28">
        <v>0</v>
      </c>
      <c r="GE101" s="28">
        <v>0</v>
      </c>
      <c r="GF101" s="28">
        <v>0</v>
      </c>
      <c r="GG101" s="28">
        <v>0</v>
      </c>
      <c r="GH101" s="28">
        <v>0</v>
      </c>
      <c r="GI101" s="28">
        <v>0</v>
      </c>
      <c r="GJ101" s="28">
        <v>0</v>
      </c>
      <c r="GK101" s="28">
        <v>0</v>
      </c>
      <c r="GL101" s="28">
        <v>0</v>
      </c>
      <c r="GM101" s="28">
        <v>0</v>
      </c>
      <c r="GN101" s="28">
        <v>0</v>
      </c>
      <c r="GO101" s="28">
        <v>0</v>
      </c>
      <c r="GP101" s="28">
        <v>0</v>
      </c>
      <c r="GQ101" s="21">
        <v>11.933453902117501</v>
      </c>
      <c r="GR101" s="21">
        <v>0</v>
      </c>
      <c r="GS101" s="20">
        <v>0</v>
      </c>
      <c r="GT101" s="20">
        <v>0</v>
      </c>
      <c r="GU101" s="20">
        <v>0</v>
      </c>
      <c r="GV101" s="20">
        <v>0</v>
      </c>
      <c r="GW101" s="20">
        <v>0</v>
      </c>
      <c r="GX101" s="21">
        <v>5.026549942504893</v>
      </c>
      <c r="GY101" s="20">
        <v>0</v>
      </c>
      <c r="GZ101" s="20">
        <v>5.026549942504893</v>
      </c>
      <c r="HA101" s="20"/>
      <c r="HB101" s="21">
        <v>0.67612768325591999</v>
      </c>
      <c r="HC101" s="21">
        <v>17.636131527878312</v>
      </c>
    </row>
    <row r="102" spans="1:211" s="7" customFormat="1" ht="17.25" customHeight="1">
      <c r="A102" s="7">
        <f t="shared" si="9"/>
        <v>102</v>
      </c>
      <c r="B102" s="26" t="s">
        <v>86</v>
      </c>
      <c r="C102" s="9" t="s">
        <v>520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6.3266641850519501E-2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4.2337091469710599E-3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1.96300707285058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2.0279700756072998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5.1999999999999998E-2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0</v>
      </c>
      <c r="EU102" s="28">
        <v>0</v>
      </c>
      <c r="EV102" s="28">
        <v>0</v>
      </c>
      <c r="EW102" s="28">
        <v>0</v>
      </c>
      <c r="EX102" s="28">
        <v>0</v>
      </c>
      <c r="EY102" s="28">
        <v>0</v>
      </c>
      <c r="EZ102" s="28">
        <v>0</v>
      </c>
      <c r="FA102" s="28">
        <v>0</v>
      </c>
      <c r="FB102" s="28">
        <v>0</v>
      </c>
      <c r="FC102" s="28">
        <v>0</v>
      </c>
      <c r="FD102" s="28">
        <v>0</v>
      </c>
      <c r="FE102" s="28">
        <v>0</v>
      </c>
      <c r="FF102" s="28">
        <v>0</v>
      </c>
      <c r="FG102" s="28">
        <v>0</v>
      </c>
      <c r="FH102" s="28">
        <v>0</v>
      </c>
      <c r="FI102" s="28">
        <v>0</v>
      </c>
      <c r="FJ102" s="28">
        <v>0</v>
      </c>
      <c r="FK102" s="28">
        <v>0</v>
      </c>
      <c r="FL102" s="28">
        <v>0</v>
      </c>
      <c r="FM102" s="28">
        <v>0</v>
      </c>
      <c r="FN102" s="28">
        <v>0</v>
      </c>
      <c r="FO102" s="28">
        <v>0</v>
      </c>
      <c r="FP102" s="28">
        <v>0</v>
      </c>
      <c r="FQ102" s="28">
        <v>0</v>
      </c>
      <c r="FR102" s="28">
        <v>0</v>
      </c>
      <c r="FS102" s="28">
        <v>3.7290028896207601</v>
      </c>
      <c r="FT102" s="28">
        <v>296.35627832271399</v>
      </c>
      <c r="FU102" s="28">
        <v>0</v>
      </c>
      <c r="FV102" s="28">
        <v>0</v>
      </c>
      <c r="FW102" s="28">
        <v>0</v>
      </c>
      <c r="FX102" s="28">
        <v>0</v>
      </c>
      <c r="FY102" s="28">
        <v>0</v>
      </c>
      <c r="FZ102" s="28">
        <v>0</v>
      </c>
      <c r="GA102" s="28">
        <v>0</v>
      </c>
      <c r="GB102" s="28">
        <v>0</v>
      </c>
      <c r="GC102" s="28">
        <v>0</v>
      </c>
      <c r="GD102" s="28">
        <v>0</v>
      </c>
      <c r="GE102" s="28">
        <v>0</v>
      </c>
      <c r="GF102" s="28">
        <v>0</v>
      </c>
      <c r="GG102" s="28">
        <v>14.8220085997709</v>
      </c>
      <c r="GH102" s="28">
        <v>0</v>
      </c>
      <c r="GI102" s="28">
        <v>0</v>
      </c>
      <c r="GJ102" s="28">
        <v>0.224246936702028</v>
      </c>
      <c r="GK102" s="28">
        <v>0</v>
      </c>
      <c r="GL102" s="28">
        <v>0</v>
      </c>
      <c r="GM102" s="28">
        <v>0</v>
      </c>
      <c r="GN102" s="28">
        <v>0</v>
      </c>
      <c r="GO102" s="28">
        <v>0</v>
      </c>
      <c r="GP102" s="28">
        <v>0</v>
      </c>
      <c r="GQ102" s="21">
        <v>319.24201424826333</v>
      </c>
      <c r="GR102" s="21">
        <v>1324.5630865932701</v>
      </c>
      <c r="GS102" s="20">
        <v>1324.3623265250301</v>
      </c>
      <c r="GT102" s="20">
        <v>0</v>
      </c>
      <c r="GU102" s="20">
        <v>0.20076006824011092</v>
      </c>
      <c r="GV102" s="20">
        <v>0.20076006824011092</v>
      </c>
      <c r="GW102" s="20">
        <v>0</v>
      </c>
      <c r="GX102" s="21">
        <v>24.100155984632664</v>
      </c>
      <c r="GY102" s="20">
        <v>0</v>
      </c>
      <c r="GZ102" s="20">
        <v>24.100155984632664</v>
      </c>
      <c r="HA102" s="20"/>
      <c r="HB102" s="21">
        <v>300.368258557182</v>
      </c>
      <c r="HC102" s="21">
        <v>1968.2735153833482</v>
      </c>
    </row>
    <row r="103" spans="1:211" s="7" customFormat="1" ht="17.25" customHeight="1">
      <c r="A103" s="7">
        <f t="shared" si="9"/>
        <v>103</v>
      </c>
      <c r="B103" s="26" t="s">
        <v>521</v>
      </c>
      <c r="C103" s="9" t="s">
        <v>522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6.6976190561081599E-3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4.4857655797497396E-3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0</v>
      </c>
      <c r="CG103" s="28">
        <v>0</v>
      </c>
      <c r="CH103" s="28">
        <v>0</v>
      </c>
      <c r="CI103" s="28">
        <v>0</v>
      </c>
      <c r="CJ103" s="28">
        <v>0</v>
      </c>
      <c r="CK103" s="28">
        <v>0</v>
      </c>
      <c r="CL103" s="28">
        <v>12.750975510568001</v>
      </c>
      <c r="CM103" s="28">
        <v>0</v>
      </c>
      <c r="CN103" s="28">
        <v>0</v>
      </c>
      <c r="CO103" s="28">
        <v>0</v>
      </c>
      <c r="CP103" s="28">
        <v>0</v>
      </c>
      <c r="CQ103" s="28">
        <v>0</v>
      </c>
      <c r="CR103" s="28">
        <v>0</v>
      </c>
      <c r="CS103" s="28">
        <v>0</v>
      </c>
      <c r="CT103" s="28">
        <v>0</v>
      </c>
      <c r="CU103" s="28">
        <v>0</v>
      </c>
      <c r="CV103" s="28">
        <v>0</v>
      </c>
      <c r="CW103" s="28">
        <v>0</v>
      </c>
      <c r="CX103" s="28">
        <v>0</v>
      </c>
      <c r="CY103" s="28">
        <v>0</v>
      </c>
      <c r="CZ103" s="28">
        <v>0</v>
      </c>
      <c r="DA103" s="28">
        <v>0</v>
      </c>
      <c r="DB103" s="28">
        <v>0</v>
      </c>
      <c r="DC103" s="28">
        <v>0</v>
      </c>
      <c r="DD103" s="28">
        <v>0</v>
      </c>
      <c r="DE103" s="28">
        <v>0</v>
      </c>
      <c r="DF103" s="28">
        <v>0</v>
      </c>
      <c r="DG103" s="28">
        <v>0</v>
      </c>
      <c r="DH103" s="28">
        <v>0</v>
      </c>
      <c r="DI103" s="28">
        <v>0</v>
      </c>
      <c r="DJ103" s="28">
        <v>0</v>
      </c>
      <c r="DK103" s="28">
        <v>0</v>
      </c>
      <c r="DL103" s="28">
        <v>0</v>
      </c>
      <c r="DM103" s="28">
        <v>0</v>
      </c>
      <c r="DN103" s="28">
        <v>0</v>
      </c>
      <c r="DO103" s="28">
        <v>0</v>
      </c>
      <c r="DP103" s="28">
        <v>0</v>
      </c>
      <c r="DQ103" s="28">
        <v>0</v>
      </c>
      <c r="DR103" s="28">
        <v>0</v>
      </c>
      <c r="DS103" s="28">
        <v>0</v>
      </c>
      <c r="DT103" s="28">
        <v>0</v>
      </c>
      <c r="DU103" s="28">
        <v>0</v>
      </c>
      <c r="DV103" s="28">
        <v>0</v>
      </c>
      <c r="DW103" s="28">
        <v>0</v>
      </c>
      <c r="DX103" s="28">
        <v>0</v>
      </c>
      <c r="DY103" s="28">
        <v>0</v>
      </c>
      <c r="DZ103" s="28">
        <v>0</v>
      </c>
      <c r="EA103" s="28">
        <v>0</v>
      </c>
      <c r="EB103" s="28">
        <v>0</v>
      </c>
      <c r="EC103" s="28">
        <v>0</v>
      </c>
      <c r="ED103" s="28">
        <v>0</v>
      </c>
      <c r="EE103" s="28">
        <v>0</v>
      </c>
      <c r="EF103" s="28">
        <v>0</v>
      </c>
      <c r="EG103" s="28">
        <v>0</v>
      </c>
      <c r="EH103" s="28">
        <v>0</v>
      </c>
      <c r="EI103" s="28">
        <v>0</v>
      </c>
      <c r="EJ103" s="28">
        <v>0</v>
      </c>
      <c r="EK103" s="28">
        <v>0</v>
      </c>
      <c r="EL103" s="28">
        <v>0</v>
      </c>
      <c r="EM103" s="28">
        <v>0</v>
      </c>
      <c r="EN103" s="28">
        <v>0</v>
      </c>
      <c r="EO103" s="28">
        <v>0</v>
      </c>
      <c r="EP103" s="28">
        <v>0</v>
      </c>
      <c r="EQ103" s="28">
        <v>0</v>
      </c>
      <c r="ER103" s="28">
        <v>0</v>
      </c>
      <c r="ES103" s="28">
        <v>0</v>
      </c>
      <c r="ET103" s="28">
        <v>0</v>
      </c>
      <c r="EU103" s="28">
        <v>0</v>
      </c>
      <c r="EV103" s="28">
        <v>0</v>
      </c>
      <c r="EW103" s="28">
        <v>0</v>
      </c>
      <c r="EX103" s="28">
        <v>0</v>
      </c>
      <c r="EY103" s="28">
        <v>0</v>
      </c>
      <c r="EZ103" s="28">
        <v>0</v>
      </c>
      <c r="FA103" s="28">
        <v>0</v>
      </c>
      <c r="FB103" s="28">
        <v>0</v>
      </c>
      <c r="FC103" s="28">
        <v>0</v>
      </c>
      <c r="FD103" s="28">
        <v>0</v>
      </c>
      <c r="FE103" s="28">
        <v>0</v>
      </c>
      <c r="FF103" s="28">
        <v>0</v>
      </c>
      <c r="FG103" s="28">
        <v>0</v>
      </c>
      <c r="FH103" s="28">
        <v>0</v>
      </c>
      <c r="FI103" s="28">
        <v>0</v>
      </c>
      <c r="FJ103" s="28">
        <v>0</v>
      </c>
      <c r="FK103" s="28">
        <v>0</v>
      </c>
      <c r="FL103" s="28">
        <v>0</v>
      </c>
      <c r="FM103" s="28">
        <v>0</v>
      </c>
      <c r="FN103" s="28">
        <v>0</v>
      </c>
      <c r="FO103" s="28">
        <v>0</v>
      </c>
      <c r="FP103" s="28">
        <v>0</v>
      </c>
      <c r="FQ103" s="28">
        <v>0</v>
      </c>
      <c r="FR103" s="28">
        <v>0</v>
      </c>
      <c r="FS103" s="28">
        <v>2.9013362547457199E-2</v>
      </c>
      <c r="FT103" s="28">
        <v>2.3057885447405702</v>
      </c>
      <c r="FU103" s="28">
        <v>0</v>
      </c>
      <c r="FV103" s="28">
        <v>0</v>
      </c>
      <c r="FW103" s="28">
        <v>0</v>
      </c>
      <c r="FX103" s="28">
        <v>0</v>
      </c>
      <c r="FY103" s="28">
        <v>0</v>
      </c>
      <c r="FZ103" s="28">
        <v>0</v>
      </c>
      <c r="GA103" s="28">
        <v>0</v>
      </c>
      <c r="GB103" s="28">
        <v>0</v>
      </c>
      <c r="GC103" s="28">
        <v>0</v>
      </c>
      <c r="GD103" s="28">
        <v>0</v>
      </c>
      <c r="GE103" s="28">
        <v>0</v>
      </c>
      <c r="GF103" s="28">
        <v>0</v>
      </c>
      <c r="GG103" s="28">
        <v>0</v>
      </c>
      <c r="GH103" s="28">
        <v>0</v>
      </c>
      <c r="GI103" s="28">
        <v>0</v>
      </c>
      <c r="GJ103" s="28">
        <v>0</v>
      </c>
      <c r="GK103" s="28">
        <v>0</v>
      </c>
      <c r="GL103" s="28">
        <v>0</v>
      </c>
      <c r="GM103" s="28">
        <v>0</v>
      </c>
      <c r="GN103" s="28">
        <v>0</v>
      </c>
      <c r="GO103" s="28">
        <v>0</v>
      </c>
      <c r="GP103" s="28">
        <v>0</v>
      </c>
      <c r="GQ103" s="21">
        <v>15.096960802491878</v>
      </c>
      <c r="GR103" s="21">
        <v>191.38848509128499</v>
      </c>
      <c r="GS103" s="20">
        <v>181.94686529069045</v>
      </c>
      <c r="GT103" s="20">
        <v>0</v>
      </c>
      <c r="GU103" s="20">
        <v>9.4416198005945269</v>
      </c>
      <c r="GV103" s="20">
        <v>9.4416198005945269</v>
      </c>
      <c r="GW103" s="20">
        <v>0</v>
      </c>
      <c r="GX103" s="21">
        <v>5.7276411134891179</v>
      </c>
      <c r="GY103" s="20">
        <v>0</v>
      </c>
      <c r="GZ103" s="20">
        <v>5.7276411134891179</v>
      </c>
      <c r="HA103" s="20"/>
      <c r="HB103" s="21">
        <v>50.188205270949702</v>
      </c>
      <c r="HC103" s="21">
        <v>262.40129227821569</v>
      </c>
    </row>
    <row r="104" spans="1:211" s="7" customFormat="1" ht="17.25" customHeight="1">
      <c r="A104" s="7">
        <f t="shared" si="9"/>
        <v>104</v>
      </c>
      <c r="B104" s="26" t="s">
        <v>523</v>
      </c>
      <c r="C104" s="9" t="s">
        <v>524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1.7878278602316399E-2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1.20946255009339E-2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13.201908532513199</v>
      </c>
      <c r="BP104" s="28">
        <v>1.0687737725322699</v>
      </c>
      <c r="BQ104" s="28">
        <v>0</v>
      </c>
      <c r="BR104" s="28">
        <v>0</v>
      </c>
      <c r="BS104" s="28">
        <v>0</v>
      </c>
      <c r="BT104" s="28">
        <v>101.832512271826</v>
      </c>
      <c r="BU104" s="28">
        <v>0</v>
      </c>
      <c r="BV104" s="28">
        <v>82.796089584806296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0</v>
      </c>
      <c r="CG104" s="28">
        <v>0</v>
      </c>
      <c r="CH104" s="28">
        <v>0.18210997867612999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1.369</v>
      </c>
      <c r="CX104" s="28">
        <v>0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3.2587942400688998E-2</v>
      </c>
      <c r="DT104" s="28">
        <v>0</v>
      </c>
      <c r="DU104" s="28">
        <v>0</v>
      </c>
      <c r="DV104" s="28">
        <v>0</v>
      </c>
      <c r="DW104" s="28">
        <v>0</v>
      </c>
      <c r="DX104" s="28">
        <v>0</v>
      </c>
      <c r="DY104" s="28">
        <v>0</v>
      </c>
      <c r="DZ104" s="28">
        <v>0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  <c r="EU104" s="28">
        <v>0</v>
      </c>
      <c r="EV104" s="28">
        <v>0</v>
      </c>
      <c r="EW104" s="28">
        <v>0</v>
      </c>
      <c r="EX104" s="28">
        <v>0</v>
      </c>
      <c r="EY104" s="28">
        <v>0</v>
      </c>
      <c r="EZ104" s="28">
        <v>0</v>
      </c>
      <c r="FA104" s="28">
        <v>0</v>
      </c>
      <c r="FB104" s="28">
        <v>0</v>
      </c>
      <c r="FC104" s="28">
        <v>0</v>
      </c>
      <c r="FD104" s="28">
        <v>0</v>
      </c>
      <c r="FE104" s="28">
        <v>0</v>
      </c>
      <c r="FF104" s="28">
        <v>0</v>
      </c>
      <c r="FG104" s="28">
        <v>0</v>
      </c>
      <c r="FH104" s="28">
        <v>0</v>
      </c>
      <c r="FI104" s="28">
        <v>0</v>
      </c>
      <c r="FJ104" s="28">
        <v>0</v>
      </c>
      <c r="FK104" s="28">
        <v>0</v>
      </c>
      <c r="FL104" s="28">
        <v>0</v>
      </c>
      <c r="FM104" s="28">
        <v>0</v>
      </c>
      <c r="FN104" s="28">
        <v>0</v>
      </c>
      <c r="FO104" s="28">
        <v>0</v>
      </c>
      <c r="FP104" s="28">
        <v>0</v>
      </c>
      <c r="FQ104" s="28">
        <v>0</v>
      </c>
      <c r="FR104" s="28">
        <v>0</v>
      </c>
      <c r="FS104" s="28">
        <v>0.759350844480841</v>
      </c>
      <c r="FT104" s="28">
        <v>60.3481404742056</v>
      </c>
      <c r="FU104" s="28">
        <v>0</v>
      </c>
      <c r="FV104" s="28">
        <v>0</v>
      </c>
      <c r="FW104" s="28">
        <v>0</v>
      </c>
      <c r="FX104" s="28">
        <v>0</v>
      </c>
      <c r="FY104" s="28">
        <v>0</v>
      </c>
      <c r="FZ104" s="28">
        <v>0</v>
      </c>
      <c r="GA104" s="28">
        <v>0</v>
      </c>
      <c r="GB104" s="28">
        <v>0</v>
      </c>
      <c r="GC104" s="28">
        <v>0</v>
      </c>
      <c r="GD104" s="28">
        <v>0</v>
      </c>
      <c r="GE104" s="28">
        <v>0</v>
      </c>
      <c r="GF104" s="28">
        <v>0</v>
      </c>
      <c r="GG104" s="28">
        <v>0.83008758170771202</v>
      </c>
      <c r="GH104" s="28">
        <v>0</v>
      </c>
      <c r="GI104" s="28">
        <v>0</v>
      </c>
      <c r="GJ104" s="28">
        <v>0</v>
      </c>
      <c r="GK104" s="28">
        <v>0</v>
      </c>
      <c r="GL104" s="28">
        <v>0</v>
      </c>
      <c r="GM104" s="28">
        <v>0</v>
      </c>
      <c r="GN104" s="28">
        <v>0</v>
      </c>
      <c r="GO104" s="28">
        <v>0</v>
      </c>
      <c r="GP104" s="28">
        <v>0</v>
      </c>
      <c r="GQ104" s="21">
        <v>262.45053388725165</v>
      </c>
      <c r="GR104" s="21">
        <v>80.177265243009202</v>
      </c>
      <c r="GS104" s="20">
        <v>79.991617960465206</v>
      </c>
      <c r="GT104" s="20">
        <v>0</v>
      </c>
      <c r="GU104" s="20">
        <v>0.18564728254399282</v>
      </c>
      <c r="GV104" s="20">
        <v>0.18564728254399282</v>
      </c>
      <c r="GW104" s="20">
        <v>0</v>
      </c>
      <c r="GX104" s="21">
        <v>23.182508205447437</v>
      </c>
      <c r="GY104" s="20">
        <v>0</v>
      </c>
      <c r="GZ104" s="20">
        <v>23.182508205447437</v>
      </c>
      <c r="HA104" s="20"/>
      <c r="HB104" s="21">
        <v>0</v>
      </c>
      <c r="HC104" s="21">
        <v>365.81030733570833</v>
      </c>
    </row>
    <row r="105" spans="1:211" s="7" customFormat="1" ht="17.25" customHeight="1">
      <c r="A105" s="7">
        <f t="shared" si="9"/>
        <v>105</v>
      </c>
      <c r="B105" s="26" t="s">
        <v>525</v>
      </c>
      <c r="C105" s="9" t="s">
        <v>526</v>
      </c>
      <c r="D105" s="28">
        <v>0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4.6591523962641601E-2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2.5371944571316599E-2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2.0111309999999998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15.8292845889479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4.8838928341865496E-3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0</v>
      </c>
      <c r="DN105" s="28">
        <v>0</v>
      </c>
      <c r="DO105" s="28">
        <v>0</v>
      </c>
      <c r="DP105" s="28">
        <v>0</v>
      </c>
      <c r="DQ105" s="28">
        <v>0.16110810123012201</v>
      </c>
      <c r="DR105" s="28">
        <v>1.0819595842069101</v>
      </c>
      <c r="DS105" s="28">
        <v>0</v>
      </c>
      <c r="DT105" s="28">
        <v>0</v>
      </c>
      <c r="DU105" s="28">
        <v>0</v>
      </c>
      <c r="DV105" s="28">
        <v>0</v>
      </c>
      <c r="DW105" s="28">
        <v>0</v>
      </c>
      <c r="DX105" s="28">
        <v>0</v>
      </c>
      <c r="DY105" s="28">
        <v>0</v>
      </c>
      <c r="DZ105" s="28">
        <v>0</v>
      </c>
      <c r="EA105" s="28">
        <v>0</v>
      </c>
      <c r="EB105" s="28">
        <v>0</v>
      </c>
      <c r="EC105" s="28">
        <v>0</v>
      </c>
      <c r="ED105" s="28">
        <v>0</v>
      </c>
      <c r="EE105" s="28">
        <v>0</v>
      </c>
      <c r="EF105" s="28">
        <v>0</v>
      </c>
      <c r="EG105" s="28">
        <v>0</v>
      </c>
      <c r="EH105" s="28">
        <v>0</v>
      </c>
      <c r="EI105" s="28">
        <v>0</v>
      </c>
      <c r="EJ105" s="28">
        <v>0</v>
      </c>
      <c r="EK105" s="28">
        <v>0</v>
      </c>
      <c r="EL105" s="28">
        <v>0</v>
      </c>
      <c r="EM105" s="28">
        <v>0</v>
      </c>
      <c r="EN105" s="28">
        <v>0</v>
      </c>
      <c r="EO105" s="28">
        <v>0</v>
      </c>
      <c r="EP105" s="28">
        <v>0</v>
      </c>
      <c r="EQ105" s="28">
        <v>0</v>
      </c>
      <c r="ER105" s="28">
        <v>0</v>
      </c>
      <c r="ES105" s="28">
        <v>0</v>
      </c>
      <c r="ET105" s="28">
        <v>0</v>
      </c>
      <c r="EU105" s="28">
        <v>0</v>
      </c>
      <c r="EV105" s="28">
        <v>0</v>
      </c>
      <c r="EW105" s="28">
        <v>0</v>
      </c>
      <c r="EX105" s="28">
        <v>0</v>
      </c>
      <c r="EY105" s="28">
        <v>0</v>
      </c>
      <c r="EZ105" s="28">
        <v>0</v>
      </c>
      <c r="FA105" s="28">
        <v>0</v>
      </c>
      <c r="FB105" s="28">
        <v>0</v>
      </c>
      <c r="FC105" s="28">
        <v>0</v>
      </c>
      <c r="FD105" s="28">
        <v>0</v>
      </c>
      <c r="FE105" s="28">
        <v>0</v>
      </c>
      <c r="FF105" s="28">
        <v>0</v>
      </c>
      <c r="FG105" s="28">
        <v>0</v>
      </c>
      <c r="FH105" s="28">
        <v>0</v>
      </c>
      <c r="FI105" s="28">
        <v>0</v>
      </c>
      <c r="FJ105" s="28">
        <v>0</v>
      </c>
      <c r="FK105" s="28">
        <v>0</v>
      </c>
      <c r="FL105" s="28">
        <v>0</v>
      </c>
      <c r="FM105" s="28">
        <v>0</v>
      </c>
      <c r="FN105" s="28">
        <v>0</v>
      </c>
      <c r="FO105" s="28">
        <v>0</v>
      </c>
      <c r="FP105" s="28">
        <v>0</v>
      </c>
      <c r="FQ105" s="28">
        <v>0</v>
      </c>
      <c r="FR105" s="28">
        <v>0</v>
      </c>
      <c r="FS105" s="28">
        <v>0.66726232479765601</v>
      </c>
      <c r="FT105" s="28">
        <v>53.029559132925897</v>
      </c>
      <c r="FU105" s="28">
        <v>0</v>
      </c>
      <c r="FV105" s="28">
        <v>0</v>
      </c>
      <c r="FW105" s="28">
        <v>0</v>
      </c>
      <c r="FX105" s="28">
        <v>0</v>
      </c>
      <c r="FY105" s="28">
        <v>0</v>
      </c>
      <c r="FZ105" s="28">
        <v>0</v>
      </c>
      <c r="GA105" s="28">
        <v>0</v>
      </c>
      <c r="GB105" s="28">
        <v>0</v>
      </c>
      <c r="GC105" s="28">
        <v>0</v>
      </c>
      <c r="GD105" s="28">
        <v>0</v>
      </c>
      <c r="GE105" s="28">
        <v>0</v>
      </c>
      <c r="GF105" s="28">
        <v>0</v>
      </c>
      <c r="GG105" s="28">
        <v>0.57597506820204503</v>
      </c>
      <c r="GH105" s="28">
        <v>0</v>
      </c>
      <c r="GI105" s="28">
        <v>0</v>
      </c>
      <c r="GJ105" s="28">
        <v>0</v>
      </c>
      <c r="GK105" s="28">
        <v>0</v>
      </c>
      <c r="GL105" s="28">
        <v>0</v>
      </c>
      <c r="GM105" s="28">
        <v>0</v>
      </c>
      <c r="GN105" s="28">
        <v>0</v>
      </c>
      <c r="GO105" s="28">
        <v>0</v>
      </c>
      <c r="GP105" s="28">
        <v>0</v>
      </c>
      <c r="GQ105" s="21">
        <v>73.433127161678613</v>
      </c>
      <c r="GR105" s="21">
        <v>439.174686493438</v>
      </c>
      <c r="GS105" s="20">
        <v>439.174686493438</v>
      </c>
      <c r="GT105" s="20">
        <v>0</v>
      </c>
      <c r="GU105" s="20">
        <v>0</v>
      </c>
      <c r="GV105" s="20">
        <v>0</v>
      </c>
      <c r="GW105" s="20">
        <v>0</v>
      </c>
      <c r="GX105" s="21">
        <v>8.019562016648063</v>
      </c>
      <c r="GY105" s="20">
        <v>0</v>
      </c>
      <c r="GZ105" s="20">
        <v>8.019562016648063</v>
      </c>
      <c r="HA105" s="20"/>
      <c r="HB105" s="21">
        <v>32.751395757600001</v>
      </c>
      <c r="HC105" s="21">
        <v>553.37877142936463</v>
      </c>
    </row>
    <row r="106" spans="1:211" s="7" customFormat="1" ht="17.25" customHeight="1">
      <c r="A106" s="7">
        <f t="shared" si="9"/>
        <v>106</v>
      </c>
      <c r="B106" s="26" t="s">
        <v>87</v>
      </c>
      <c r="C106" s="9" t="s">
        <v>527</v>
      </c>
      <c r="D106" s="28">
        <v>2.0963723561414298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0.90474258849183498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0.31210182177151302</v>
      </c>
      <c r="AF106" s="28">
        <v>266.61257086343397</v>
      </c>
      <c r="AG106" s="28">
        <v>79.439389147280593</v>
      </c>
      <c r="AH106" s="28">
        <v>0</v>
      </c>
      <c r="AI106" s="28">
        <v>0</v>
      </c>
      <c r="AJ106" s="28">
        <v>0</v>
      </c>
      <c r="AK106" s="28">
        <v>0.20862535887553599</v>
      </c>
      <c r="AL106" s="28">
        <v>691.74007013565904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0.80829810000000002</v>
      </c>
      <c r="CC106" s="28">
        <v>0</v>
      </c>
      <c r="CD106" s="28">
        <v>0</v>
      </c>
      <c r="CE106" s="28">
        <v>0</v>
      </c>
      <c r="CF106" s="28">
        <v>0</v>
      </c>
      <c r="CG106" s="28">
        <v>82.736510716899403</v>
      </c>
      <c r="CH106" s="28">
        <v>0</v>
      </c>
      <c r="CI106" s="28">
        <v>0</v>
      </c>
      <c r="CJ106" s="28">
        <v>0</v>
      </c>
      <c r="CK106" s="28">
        <v>0</v>
      </c>
      <c r="CL106" s="28">
        <v>0</v>
      </c>
      <c r="CM106" s="28">
        <v>0</v>
      </c>
      <c r="CN106" s="28">
        <v>0</v>
      </c>
      <c r="CO106" s="28">
        <v>0</v>
      </c>
      <c r="CP106" s="28">
        <v>0</v>
      </c>
      <c r="CQ106" s="28">
        <v>0</v>
      </c>
      <c r="CR106" s="28">
        <v>0</v>
      </c>
      <c r="CS106" s="28">
        <v>0</v>
      </c>
      <c r="CT106" s="28">
        <v>0</v>
      </c>
      <c r="CU106" s="28">
        <v>0</v>
      </c>
      <c r="CV106" s="28">
        <v>0</v>
      </c>
      <c r="CW106" s="28">
        <v>0</v>
      </c>
      <c r="CX106" s="28">
        <v>0</v>
      </c>
      <c r="CY106" s="28">
        <v>0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0</v>
      </c>
      <c r="DK106" s="28">
        <v>0</v>
      </c>
      <c r="DL106" s="28">
        <v>0</v>
      </c>
      <c r="DM106" s="28">
        <v>0</v>
      </c>
      <c r="DN106" s="28">
        <v>0</v>
      </c>
      <c r="DO106" s="28">
        <v>0</v>
      </c>
      <c r="DP106" s="28">
        <v>0</v>
      </c>
      <c r="DQ106" s="28">
        <v>0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28">
        <v>0</v>
      </c>
      <c r="ED106" s="28">
        <v>0</v>
      </c>
      <c r="EE106" s="28">
        <v>0</v>
      </c>
      <c r="EF106" s="28">
        <v>0</v>
      </c>
      <c r="EG106" s="28">
        <v>0</v>
      </c>
      <c r="EH106" s="28">
        <v>0</v>
      </c>
      <c r="EI106" s="28">
        <v>0</v>
      </c>
      <c r="EJ106" s="28">
        <v>0</v>
      </c>
      <c r="EK106" s="28">
        <v>0</v>
      </c>
      <c r="EL106" s="28">
        <v>0</v>
      </c>
      <c r="EM106" s="28">
        <v>0</v>
      </c>
      <c r="EN106" s="28">
        <v>0</v>
      </c>
      <c r="EO106" s="28">
        <v>0</v>
      </c>
      <c r="EP106" s="28">
        <v>0</v>
      </c>
      <c r="EQ106" s="28">
        <v>0</v>
      </c>
      <c r="ER106" s="28">
        <v>0</v>
      </c>
      <c r="ES106" s="28">
        <v>0</v>
      </c>
      <c r="ET106" s="28">
        <v>0</v>
      </c>
      <c r="EU106" s="28">
        <v>0</v>
      </c>
      <c r="EV106" s="28">
        <v>0</v>
      </c>
      <c r="EW106" s="28">
        <v>0</v>
      </c>
      <c r="EX106" s="28">
        <v>0</v>
      </c>
      <c r="EY106" s="28">
        <v>0</v>
      </c>
      <c r="EZ106" s="28">
        <v>0</v>
      </c>
      <c r="FA106" s="28">
        <v>0</v>
      </c>
      <c r="FB106" s="28">
        <v>0</v>
      </c>
      <c r="FC106" s="28">
        <v>0</v>
      </c>
      <c r="FD106" s="28">
        <v>0</v>
      </c>
      <c r="FE106" s="28">
        <v>0</v>
      </c>
      <c r="FF106" s="28">
        <v>0</v>
      </c>
      <c r="FG106" s="28">
        <v>0</v>
      </c>
      <c r="FH106" s="28">
        <v>0</v>
      </c>
      <c r="FI106" s="28">
        <v>0</v>
      </c>
      <c r="FJ106" s="28">
        <v>0</v>
      </c>
      <c r="FK106" s="28">
        <v>0</v>
      </c>
      <c r="FL106" s="28">
        <v>0</v>
      </c>
      <c r="FM106" s="28">
        <v>0</v>
      </c>
      <c r="FN106" s="28">
        <v>0</v>
      </c>
      <c r="FO106" s="28">
        <v>0</v>
      </c>
      <c r="FP106" s="28">
        <v>0</v>
      </c>
      <c r="FQ106" s="28">
        <v>0</v>
      </c>
      <c r="FR106" s="28">
        <v>0</v>
      </c>
      <c r="FS106" s="28">
        <v>0.22638544331798599</v>
      </c>
      <c r="FT106" s="28">
        <v>17.991605111086201</v>
      </c>
      <c r="FU106" s="28">
        <v>0</v>
      </c>
      <c r="FV106" s="28">
        <v>0</v>
      </c>
      <c r="FW106" s="28">
        <v>0</v>
      </c>
      <c r="FX106" s="28">
        <v>0</v>
      </c>
      <c r="FY106" s="28">
        <v>0</v>
      </c>
      <c r="FZ106" s="28">
        <v>0</v>
      </c>
      <c r="GA106" s="28">
        <v>0</v>
      </c>
      <c r="GB106" s="28">
        <v>0</v>
      </c>
      <c r="GC106" s="28">
        <v>0</v>
      </c>
      <c r="GD106" s="28">
        <v>0</v>
      </c>
      <c r="GE106" s="28">
        <v>0</v>
      </c>
      <c r="GF106" s="28">
        <v>0</v>
      </c>
      <c r="GG106" s="28">
        <v>0</v>
      </c>
      <c r="GH106" s="28">
        <v>0</v>
      </c>
      <c r="GI106" s="28">
        <v>0</v>
      </c>
      <c r="GJ106" s="28">
        <v>0</v>
      </c>
      <c r="GK106" s="28">
        <v>0</v>
      </c>
      <c r="GL106" s="28">
        <v>0</v>
      </c>
      <c r="GM106" s="28">
        <v>0</v>
      </c>
      <c r="GN106" s="28">
        <v>0</v>
      </c>
      <c r="GO106" s="28">
        <v>0</v>
      </c>
      <c r="GP106" s="28">
        <v>0</v>
      </c>
      <c r="GQ106" s="21">
        <v>1143.0766716429584</v>
      </c>
      <c r="GR106" s="21">
        <v>0.62863583756566399</v>
      </c>
      <c r="GS106" s="20">
        <v>0.62863583756566399</v>
      </c>
      <c r="GT106" s="20">
        <v>0</v>
      </c>
      <c r="GU106" s="20">
        <v>0</v>
      </c>
      <c r="GV106" s="20">
        <v>0</v>
      </c>
      <c r="GW106" s="20">
        <v>0</v>
      </c>
      <c r="GX106" s="21">
        <v>14.254613183846171</v>
      </c>
      <c r="GY106" s="20">
        <v>0</v>
      </c>
      <c r="GZ106" s="20">
        <v>14.254613183846171</v>
      </c>
      <c r="HA106" s="20"/>
      <c r="HB106" s="21">
        <v>3046.19843819782</v>
      </c>
      <c r="HC106" s="21">
        <v>4204.1583588621907</v>
      </c>
    </row>
    <row r="107" spans="1:211" s="7" customFormat="1" ht="17.25" customHeight="1">
      <c r="A107" s="7">
        <f t="shared" si="9"/>
        <v>107</v>
      </c>
      <c r="B107" s="26" t="s">
        <v>528</v>
      </c>
      <c r="C107" s="9" t="s">
        <v>529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  <c r="EU107" s="28">
        <v>0</v>
      </c>
      <c r="EV107" s="28">
        <v>0</v>
      </c>
      <c r="EW107" s="28">
        <v>0</v>
      </c>
      <c r="EX107" s="28">
        <v>0</v>
      </c>
      <c r="EY107" s="28">
        <v>0</v>
      </c>
      <c r="EZ107" s="28">
        <v>0</v>
      </c>
      <c r="FA107" s="28">
        <v>0</v>
      </c>
      <c r="FB107" s="28">
        <v>0</v>
      </c>
      <c r="FC107" s="28">
        <v>0</v>
      </c>
      <c r="FD107" s="28">
        <v>0</v>
      </c>
      <c r="FE107" s="28">
        <v>0</v>
      </c>
      <c r="FF107" s="28">
        <v>0</v>
      </c>
      <c r="FG107" s="28">
        <v>0</v>
      </c>
      <c r="FH107" s="28">
        <v>0</v>
      </c>
      <c r="FI107" s="28">
        <v>0</v>
      </c>
      <c r="FJ107" s="28">
        <v>0</v>
      </c>
      <c r="FK107" s="28">
        <v>0</v>
      </c>
      <c r="FL107" s="28">
        <v>0</v>
      </c>
      <c r="FM107" s="28">
        <v>0</v>
      </c>
      <c r="FN107" s="28">
        <v>0</v>
      </c>
      <c r="FO107" s="28">
        <v>0</v>
      </c>
      <c r="FP107" s="28">
        <v>0</v>
      </c>
      <c r="FQ107" s="28">
        <v>0</v>
      </c>
      <c r="FR107" s="28">
        <v>0</v>
      </c>
      <c r="FS107" s="28">
        <v>0</v>
      </c>
      <c r="FT107" s="28">
        <v>0</v>
      </c>
      <c r="FU107" s="28">
        <v>0</v>
      </c>
      <c r="FV107" s="28">
        <v>0</v>
      </c>
      <c r="FW107" s="28">
        <v>0</v>
      </c>
      <c r="FX107" s="28">
        <v>0</v>
      </c>
      <c r="FY107" s="28">
        <v>0</v>
      </c>
      <c r="FZ107" s="28">
        <v>0</v>
      </c>
      <c r="GA107" s="28">
        <v>0</v>
      </c>
      <c r="GB107" s="28">
        <v>0</v>
      </c>
      <c r="GC107" s="28">
        <v>0</v>
      </c>
      <c r="GD107" s="28">
        <v>0</v>
      </c>
      <c r="GE107" s="28">
        <v>0</v>
      </c>
      <c r="GF107" s="28">
        <v>0</v>
      </c>
      <c r="GG107" s="28">
        <v>0</v>
      </c>
      <c r="GH107" s="28">
        <v>0.453231396975527</v>
      </c>
      <c r="GI107" s="28">
        <v>0</v>
      </c>
      <c r="GJ107" s="28">
        <v>0</v>
      </c>
      <c r="GK107" s="28">
        <v>0</v>
      </c>
      <c r="GL107" s="28">
        <v>0</v>
      </c>
      <c r="GM107" s="28">
        <v>0</v>
      </c>
      <c r="GN107" s="28">
        <v>0</v>
      </c>
      <c r="GO107" s="28">
        <v>0</v>
      </c>
      <c r="GP107" s="28">
        <v>0</v>
      </c>
      <c r="GQ107" s="21">
        <v>0.453231396975527</v>
      </c>
      <c r="GR107" s="21">
        <v>1.4579259280565301E-2</v>
      </c>
      <c r="GS107" s="20">
        <v>1.4579259280565301E-2</v>
      </c>
      <c r="GT107" s="20">
        <v>0</v>
      </c>
      <c r="GU107" s="20">
        <v>0</v>
      </c>
      <c r="GV107" s="20">
        <v>0</v>
      </c>
      <c r="GW107" s="20">
        <v>0</v>
      </c>
      <c r="GX107" s="21">
        <v>-3.3138771354945193</v>
      </c>
      <c r="GY107" s="20">
        <v>0</v>
      </c>
      <c r="GZ107" s="20">
        <v>-3.3138771354945193</v>
      </c>
      <c r="HA107" s="20"/>
      <c r="HB107" s="21">
        <v>89.352817843721596</v>
      </c>
      <c r="HC107" s="21">
        <v>86.506751364483165</v>
      </c>
    </row>
    <row r="108" spans="1:211" s="7" customFormat="1" ht="17.25" customHeight="1">
      <c r="A108" s="7">
        <f t="shared" si="9"/>
        <v>108</v>
      </c>
      <c r="B108" s="26" t="s">
        <v>88</v>
      </c>
      <c r="C108" s="9" t="s">
        <v>530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1.2388231240000601E-2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36.104833325932297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0.4561429583064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  <c r="EU108" s="28">
        <v>0</v>
      </c>
      <c r="EV108" s="28">
        <v>0</v>
      </c>
      <c r="EW108" s="28">
        <v>0</v>
      </c>
      <c r="EX108" s="28">
        <v>0</v>
      </c>
      <c r="EY108" s="28">
        <v>0</v>
      </c>
      <c r="EZ108" s="28">
        <v>0</v>
      </c>
      <c r="FA108" s="28">
        <v>0</v>
      </c>
      <c r="FB108" s="28">
        <v>0</v>
      </c>
      <c r="FC108" s="28">
        <v>0</v>
      </c>
      <c r="FD108" s="28">
        <v>0</v>
      </c>
      <c r="FE108" s="28">
        <v>0</v>
      </c>
      <c r="FF108" s="28">
        <v>0</v>
      </c>
      <c r="FG108" s="28">
        <v>0</v>
      </c>
      <c r="FH108" s="28">
        <v>0</v>
      </c>
      <c r="FI108" s="28">
        <v>0</v>
      </c>
      <c r="FJ108" s="28">
        <v>0</v>
      </c>
      <c r="FK108" s="28">
        <v>0</v>
      </c>
      <c r="FL108" s="28">
        <v>0</v>
      </c>
      <c r="FM108" s="28">
        <v>0</v>
      </c>
      <c r="FN108" s="28">
        <v>0</v>
      </c>
      <c r="FO108" s="28">
        <v>0</v>
      </c>
      <c r="FP108" s="28">
        <v>0</v>
      </c>
      <c r="FQ108" s="28">
        <v>0</v>
      </c>
      <c r="FR108" s="28">
        <v>0</v>
      </c>
      <c r="FS108" s="28">
        <v>0.13520294435869901</v>
      </c>
      <c r="FT108" s="28">
        <v>10.7450282540521</v>
      </c>
      <c r="FU108" s="28">
        <v>0</v>
      </c>
      <c r="FV108" s="28">
        <v>0</v>
      </c>
      <c r="FW108" s="28">
        <v>0</v>
      </c>
      <c r="FX108" s="28">
        <v>0</v>
      </c>
      <c r="FY108" s="28">
        <v>0</v>
      </c>
      <c r="FZ108" s="28">
        <v>0</v>
      </c>
      <c r="GA108" s="28">
        <v>0</v>
      </c>
      <c r="GB108" s="28">
        <v>0</v>
      </c>
      <c r="GC108" s="28">
        <v>0</v>
      </c>
      <c r="GD108" s="28">
        <v>0</v>
      </c>
      <c r="GE108" s="28">
        <v>0</v>
      </c>
      <c r="GF108" s="28">
        <v>0</v>
      </c>
      <c r="GG108" s="28">
        <v>0.191798493507256</v>
      </c>
      <c r="GH108" s="28">
        <v>0</v>
      </c>
      <c r="GI108" s="28">
        <v>0</v>
      </c>
      <c r="GJ108" s="28">
        <v>0</v>
      </c>
      <c r="GK108" s="28">
        <v>0</v>
      </c>
      <c r="GL108" s="28">
        <v>0</v>
      </c>
      <c r="GM108" s="28">
        <v>0</v>
      </c>
      <c r="GN108" s="28">
        <v>0</v>
      </c>
      <c r="GO108" s="28">
        <v>0</v>
      </c>
      <c r="GP108" s="28">
        <v>0</v>
      </c>
      <c r="GQ108" s="21">
        <v>47.645394207396755</v>
      </c>
      <c r="GR108" s="21">
        <v>0.33096207853439302</v>
      </c>
      <c r="GS108" s="20">
        <v>0.33096207853439302</v>
      </c>
      <c r="GT108" s="20">
        <v>0</v>
      </c>
      <c r="GU108" s="20">
        <v>0</v>
      </c>
      <c r="GV108" s="20">
        <v>0</v>
      </c>
      <c r="GW108" s="20">
        <v>0</v>
      </c>
      <c r="GX108" s="21">
        <v>-0.49015227749460877</v>
      </c>
      <c r="GY108" s="20">
        <v>0</v>
      </c>
      <c r="GZ108" s="20">
        <v>-0.49015227749460877</v>
      </c>
      <c r="HA108" s="20"/>
      <c r="HB108" s="21">
        <v>0.33379394400000001</v>
      </c>
      <c r="HC108" s="21">
        <v>47.819997952436538</v>
      </c>
    </row>
    <row r="109" spans="1:211" s="7" customFormat="1" ht="17.25" customHeight="1">
      <c r="A109" s="7">
        <f t="shared" si="9"/>
        <v>109</v>
      </c>
      <c r="B109" s="26" t="s">
        <v>91</v>
      </c>
      <c r="C109" s="9" t="s">
        <v>531</v>
      </c>
      <c r="D109" s="28">
        <v>3.5904887149094402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4.6798811032979497</v>
      </c>
      <c r="AF109" s="28">
        <v>340.48046489379601</v>
      </c>
      <c r="AG109" s="28">
        <v>166.85429561576399</v>
      </c>
      <c r="AH109" s="28">
        <v>65.282061981001803</v>
      </c>
      <c r="AI109" s="28">
        <v>82.724374646311901</v>
      </c>
      <c r="AJ109" s="28">
        <v>39.284469055250298</v>
      </c>
      <c r="AK109" s="28">
        <v>3.94289122617531</v>
      </c>
      <c r="AL109" s="28">
        <v>126.802017800298</v>
      </c>
      <c r="AM109" s="28">
        <v>0</v>
      </c>
      <c r="AN109" s="28">
        <v>0</v>
      </c>
      <c r="AO109" s="28">
        <v>0</v>
      </c>
      <c r="AP109" s="28">
        <v>0</v>
      </c>
      <c r="AQ109" s="28">
        <v>116.692869040849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8">
        <v>0</v>
      </c>
      <c r="BE109" s="28">
        <v>0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0.56809819935357797</v>
      </c>
      <c r="CC109" s="28">
        <v>3.11405163257026E-2</v>
      </c>
      <c r="CD109" s="28">
        <v>0.40912821712388597</v>
      </c>
      <c r="CE109" s="28">
        <v>0.139113936410239</v>
      </c>
      <c r="CF109" s="28">
        <v>0</v>
      </c>
      <c r="CG109" s="28">
        <v>24.932479627374999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0</v>
      </c>
      <c r="CT109" s="28">
        <v>0</v>
      </c>
      <c r="CU109" s="28">
        <v>0</v>
      </c>
      <c r="CV109" s="28">
        <v>0</v>
      </c>
      <c r="CW109" s="28">
        <v>0</v>
      </c>
      <c r="CX109" s="28">
        <v>0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28">
        <v>0</v>
      </c>
      <c r="DE109" s="28">
        <v>0</v>
      </c>
      <c r="DF109" s="28">
        <v>0</v>
      </c>
      <c r="DG109" s="28">
        <v>0</v>
      </c>
      <c r="DH109" s="28">
        <v>0</v>
      </c>
      <c r="DI109" s="28">
        <v>0</v>
      </c>
      <c r="DJ109" s="28">
        <v>0</v>
      </c>
      <c r="DK109" s="28">
        <v>0</v>
      </c>
      <c r="DL109" s="28">
        <v>0</v>
      </c>
      <c r="DM109" s="28">
        <v>0</v>
      </c>
      <c r="DN109" s="28">
        <v>0</v>
      </c>
      <c r="DO109" s="28">
        <v>0</v>
      </c>
      <c r="DP109" s="28">
        <v>0</v>
      </c>
      <c r="DQ109" s="28">
        <v>0</v>
      </c>
      <c r="DR109" s="28">
        <v>0</v>
      </c>
      <c r="DS109" s="28">
        <v>0</v>
      </c>
      <c r="DT109" s="28">
        <v>0</v>
      </c>
      <c r="DU109" s="28">
        <v>0</v>
      </c>
      <c r="DV109" s="28">
        <v>0</v>
      </c>
      <c r="DW109" s="28">
        <v>0</v>
      </c>
      <c r="DX109" s="28">
        <v>0</v>
      </c>
      <c r="DY109" s="28">
        <v>0</v>
      </c>
      <c r="DZ109" s="28">
        <v>0</v>
      </c>
      <c r="EA109" s="28">
        <v>0</v>
      </c>
      <c r="EB109" s="28">
        <v>0</v>
      </c>
      <c r="EC109" s="28">
        <v>0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0</v>
      </c>
      <c r="EL109" s="28">
        <v>0</v>
      </c>
      <c r="EM109" s="28">
        <v>0</v>
      </c>
      <c r="EN109" s="28">
        <v>0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  <c r="EU109" s="28">
        <v>0</v>
      </c>
      <c r="EV109" s="28">
        <v>0</v>
      </c>
      <c r="EW109" s="28">
        <v>0</v>
      </c>
      <c r="EX109" s="28">
        <v>0</v>
      </c>
      <c r="EY109" s="28">
        <v>0</v>
      </c>
      <c r="EZ109" s="28">
        <v>0</v>
      </c>
      <c r="FA109" s="28">
        <v>3.3220956881855599E-3</v>
      </c>
      <c r="FB109" s="28">
        <v>5.6019634957181204E-4</v>
      </c>
      <c r="FC109" s="28">
        <v>0</v>
      </c>
      <c r="FD109" s="28">
        <v>0</v>
      </c>
      <c r="FE109" s="28">
        <v>0</v>
      </c>
      <c r="FF109" s="28">
        <v>0</v>
      </c>
      <c r="FG109" s="28">
        <v>0</v>
      </c>
      <c r="FH109" s="28">
        <v>0</v>
      </c>
      <c r="FI109" s="28">
        <v>0</v>
      </c>
      <c r="FJ109" s="28">
        <v>0</v>
      </c>
      <c r="FK109" s="28">
        <v>0</v>
      </c>
      <c r="FL109" s="28">
        <v>0</v>
      </c>
      <c r="FM109" s="28">
        <v>0</v>
      </c>
      <c r="FN109" s="28">
        <v>0</v>
      </c>
      <c r="FO109" s="28">
        <v>0</v>
      </c>
      <c r="FP109" s="28">
        <v>0</v>
      </c>
      <c r="FQ109" s="28">
        <v>2.8423390513459299E-2</v>
      </c>
      <c r="FR109" s="28">
        <v>0</v>
      </c>
      <c r="FS109" s="28">
        <v>0</v>
      </c>
      <c r="FT109" s="28">
        <v>0</v>
      </c>
      <c r="FU109" s="28">
        <v>0</v>
      </c>
      <c r="FV109" s="28">
        <v>0</v>
      </c>
      <c r="FW109" s="28">
        <v>0</v>
      </c>
      <c r="FX109" s="28">
        <v>0</v>
      </c>
      <c r="FY109" s="28">
        <v>0</v>
      </c>
      <c r="FZ109" s="28">
        <v>0</v>
      </c>
      <c r="GA109" s="28">
        <v>0</v>
      </c>
      <c r="GB109" s="28">
        <v>0</v>
      </c>
      <c r="GC109" s="28">
        <v>0</v>
      </c>
      <c r="GD109" s="28">
        <v>0</v>
      </c>
      <c r="GE109" s="28">
        <v>0</v>
      </c>
      <c r="GF109" s="28">
        <v>0</v>
      </c>
      <c r="GG109" s="28">
        <v>27.803941504198399</v>
      </c>
      <c r="GH109" s="28">
        <v>3.5603391743915398</v>
      </c>
      <c r="GI109" s="28">
        <v>5.1263399914274004</v>
      </c>
      <c r="GJ109" s="28">
        <v>0</v>
      </c>
      <c r="GK109" s="28">
        <v>0.65604500932407095</v>
      </c>
      <c r="GL109" s="28">
        <v>0</v>
      </c>
      <c r="GM109" s="28">
        <v>0</v>
      </c>
      <c r="GN109" s="28">
        <v>0</v>
      </c>
      <c r="GO109" s="28">
        <v>0</v>
      </c>
      <c r="GP109" s="28">
        <v>0</v>
      </c>
      <c r="GQ109" s="21">
        <v>1013.5927459361343</v>
      </c>
      <c r="GR109" s="21">
        <v>143.804090458481</v>
      </c>
      <c r="GS109" s="20">
        <v>143.804090458481</v>
      </c>
      <c r="GT109" s="20">
        <v>0</v>
      </c>
      <c r="GU109" s="20">
        <v>0</v>
      </c>
      <c r="GV109" s="20">
        <v>0</v>
      </c>
      <c r="GW109" s="20">
        <v>0</v>
      </c>
      <c r="GX109" s="21">
        <v>50.787157659438165</v>
      </c>
      <c r="GY109" s="20">
        <v>0</v>
      </c>
      <c r="GZ109" s="20">
        <v>50.787157659438165</v>
      </c>
      <c r="HA109" s="20"/>
      <c r="HB109" s="21">
        <v>3.3803976845881302E-2</v>
      </c>
      <c r="HC109" s="21">
        <v>1208.2177980308993</v>
      </c>
    </row>
    <row r="110" spans="1:211" s="7" customFormat="1" ht="17.25" customHeight="1">
      <c r="A110" s="7">
        <f t="shared" si="9"/>
        <v>110</v>
      </c>
      <c r="B110" s="26" t="s">
        <v>93</v>
      </c>
      <c r="C110" s="10" t="s">
        <v>532</v>
      </c>
      <c r="D110" s="28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5.5302867006719603E-3</v>
      </c>
      <c r="T110" s="28">
        <v>0</v>
      </c>
      <c r="U110" s="28">
        <v>0</v>
      </c>
      <c r="V110" s="28">
        <v>0</v>
      </c>
      <c r="W110" s="28">
        <v>0</v>
      </c>
      <c r="X110" s="28">
        <v>0.47674326457903199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9.5522644828035207E-3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18.0877550598947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10.082321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38.116829906978303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9.3438026899499593E-2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  <c r="EU110" s="28">
        <v>0</v>
      </c>
      <c r="EV110" s="28">
        <v>0</v>
      </c>
      <c r="EW110" s="28">
        <v>0</v>
      </c>
      <c r="EX110" s="28">
        <v>0</v>
      </c>
      <c r="EY110" s="28">
        <v>0</v>
      </c>
      <c r="EZ110" s="28">
        <v>0</v>
      </c>
      <c r="FA110" s="28">
        <v>0</v>
      </c>
      <c r="FB110" s="28">
        <v>0</v>
      </c>
      <c r="FC110" s="28">
        <v>0</v>
      </c>
      <c r="FD110" s="28">
        <v>0</v>
      </c>
      <c r="FE110" s="28">
        <v>0</v>
      </c>
      <c r="FF110" s="28">
        <v>0</v>
      </c>
      <c r="FG110" s="28">
        <v>0</v>
      </c>
      <c r="FH110" s="28">
        <v>0</v>
      </c>
      <c r="FI110" s="28">
        <v>0</v>
      </c>
      <c r="FJ110" s="28">
        <v>0</v>
      </c>
      <c r="FK110" s="28">
        <v>0</v>
      </c>
      <c r="FL110" s="28">
        <v>0</v>
      </c>
      <c r="FM110" s="28">
        <v>0</v>
      </c>
      <c r="FN110" s="28">
        <v>0</v>
      </c>
      <c r="FO110" s="28">
        <v>0</v>
      </c>
      <c r="FP110" s="28">
        <v>0</v>
      </c>
      <c r="FQ110" s="28">
        <v>0</v>
      </c>
      <c r="FR110" s="28">
        <v>0</v>
      </c>
      <c r="FS110" s="28">
        <v>0.38671834071586098</v>
      </c>
      <c r="FT110" s="28">
        <v>30.733794423351402</v>
      </c>
      <c r="FU110" s="28">
        <v>0</v>
      </c>
      <c r="FV110" s="28">
        <v>0</v>
      </c>
      <c r="FW110" s="28">
        <v>0</v>
      </c>
      <c r="FX110" s="28">
        <v>0</v>
      </c>
      <c r="FY110" s="28">
        <v>0</v>
      </c>
      <c r="FZ110" s="28">
        <v>0</v>
      </c>
      <c r="GA110" s="28">
        <v>0</v>
      </c>
      <c r="GB110" s="28">
        <v>0</v>
      </c>
      <c r="GC110" s="28">
        <v>0</v>
      </c>
      <c r="GD110" s="28">
        <v>0</v>
      </c>
      <c r="GE110" s="28">
        <v>0</v>
      </c>
      <c r="GF110" s="28">
        <v>0</v>
      </c>
      <c r="GG110" s="28">
        <v>3.6527047260134098</v>
      </c>
      <c r="GH110" s="28">
        <v>0</v>
      </c>
      <c r="GI110" s="28">
        <v>0</v>
      </c>
      <c r="GJ110" s="28">
        <v>0</v>
      </c>
      <c r="GK110" s="28">
        <v>0</v>
      </c>
      <c r="GL110" s="28">
        <v>0</v>
      </c>
      <c r="GM110" s="28">
        <v>0</v>
      </c>
      <c r="GN110" s="28">
        <v>0</v>
      </c>
      <c r="GO110" s="28">
        <v>0</v>
      </c>
      <c r="GP110" s="28">
        <v>0</v>
      </c>
      <c r="GQ110" s="21">
        <v>101.64538729961572</v>
      </c>
      <c r="GR110" s="21">
        <v>1305.6045611358199</v>
      </c>
      <c r="GS110" s="20">
        <v>1305.0257280530932</v>
      </c>
      <c r="GT110" s="20">
        <v>0</v>
      </c>
      <c r="GU110" s="20">
        <v>0.57883308272671152</v>
      </c>
      <c r="GV110" s="20">
        <v>0.57883308272671152</v>
      </c>
      <c r="GW110" s="20">
        <v>0</v>
      </c>
      <c r="GX110" s="21">
        <v>23.306656617152886</v>
      </c>
      <c r="GY110" s="20">
        <v>0</v>
      </c>
      <c r="GZ110" s="20">
        <v>23.306656617152886</v>
      </c>
      <c r="HA110" s="20"/>
      <c r="HB110" s="21">
        <v>14.4424577592</v>
      </c>
      <c r="HC110" s="21">
        <v>1444.9990628117885</v>
      </c>
    </row>
    <row r="111" spans="1:211" s="7" customFormat="1" ht="17.25" customHeight="1">
      <c r="A111" s="7">
        <f t="shared" si="9"/>
        <v>111</v>
      </c>
      <c r="B111" s="26" t="s">
        <v>94</v>
      </c>
      <c r="C111" s="9" t="s">
        <v>533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1.7634011824306101E-2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2.1954273475372699E-2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3.55859263027416</v>
      </c>
      <c r="CP111" s="28">
        <v>25.884177747381901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  <c r="EU111" s="28">
        <v>0</v>
      </c>
      <c r="EV111" s="28">
        <v>0</v>
      </c>
      <c r="EW111" s="28">
        <v>0</v>
      </c>
      <c r="EX111" s="28">
        <v>0</v>
      </c>
      <c r="EY111" s="28">
        <v>0</v>
      </c>
      <c r="EZ111" s="28">
        <v>0</v>
      </c>
      <c r="FA111" s="28">
        <v>0</v>
      </c>
      <c r="FB111" s="28">
        <v>0</v>
      </c>
      <c r="FC111" s="28">
        <v>0</v>
      </c>
      <c r="FD111" s="28">
        <v>0</v>
      </c>
      <c r="FE111" s="28">
        <v>0</v>
      </c>
      <c r="FF111" s="28">
        <v>0</v>
      </c>
      <c r="FG111" s="28">
        <v>0</v>
      </c>
      <c r="FH111" s="28">
        <v>0</v>
      </c>
      <c r="FI111" s="28">
        <v>0</v>
      </c>
      <c r="FJ111" s="28">
        <v>0</v>
      </c>
      <c r="FK111" s="28">
        <v>0</v>
      </c>
      <c r="FL111" s="28">
        <v>0</v>
      </c>
      <c r="FM111" s="28">
        <v>0</v>
      </c>
      <c r="FN111" s="28">
        <v>0</v>
      </c>
      <c r="FO111" s="28">
        <v>0</v>
      </c>
      <c r="FP111" s="28">
        <v>0</v>
      </c>
      <c r="FQ111" s="28">
        <v>0</v>
      </c>
      <c r="FR111" s="28">
        <v>0</v>
      </c>
      <c r="FS111" s="28">
        <v>1.2333631061775301</v>
      </c>
      <c r="FT111" s="28">
        <v>98.019473512526403</v>
      </c>
      <c r="FU111" s="28">
        <v>0</v>
      </c>
      <c r="FV111" s="28">
        <v>0</v>
      </c>
      <c r="FW111" s="28">
        <v>0</v>
      </c>
      <c r="FX111" s="28">
        <v>0</v>
      </c>
      <c r="FY111" s="28">
        <v>0</v>
      </c>
      <c r="FZ111" s="28">
        <v>0</v>
      </c>
      <c r="GA111" s="28">
        <v>0</v>
      </c>
      <c r="GB111" s="28">
        <v>0</v>
      </c>
      <c r="GC111" s="28">
        <v>0</v>
      </c>
      <c r="GD111" s="28">
        <v>0</v>
      </c>
      <c r="GE111" s="28">
        <v>0</v>
      </c>
      <c r="GF111" s="28">
        <v>0</v>
      </c>
      <c r="GG111" s="28">
        <v>0.45354613968945401</v>
      </c>
      <c r="GH111" s="28">
        <v>0</v>
      </c>
      <c r="GI111" s="28">
        <v>3.52207346849168E-3</v>
      </c>
      <c r="GJ111" s="28">
        <v>0</v>
      </c>
      <c r="GK111" s="28">
        <v>3.8421384820561497E-2</v>
      </c>
      <c r="GL111" s="28">
        <v>0</v>
      </c>
      <c r="GM111" s="28">
        <v>0</v>
      </c>
      <c r="GN111" s="28">
        <v>0</v>
      </c>
      <c r="GO111" s="28">
        <v>0</v>
      </c>
      <c r="GP111" s="28">
        <v>0</v>
      </c>
      <c r="GQ111" s="21">
        <v>129.23068487963829</v>
      </c>
      <c r="GR111" s="21">
        <v>1140.4547959347799</v>
      </c>
      <c r="GS111" s="20">
        <v>1132.3698101969196</v>
      </c>
      <c r="GT111" s="20">
        <v>0</v>
      </c>
      <c r="GU111" s="20">
        <v>8.0849857378602028</v>
      </c>
      <c r="GV111" s="20">
        <v>8.0849857378602028</v>
      </c>
      <c r="GW111" s="20">
        <v>0</v>
      </c>
      <c r="GX111" s="21">
        <v>16.819324597302973</v>
      </c>
      <c r="GY111" s="20">
        <v>0</v>
      </c>
      <c r="GZ111" s="20">
        <v>16.819324597302973</v>
      </c>
      <c r="HA111" s="20"/>
      <c r="HB111" s="21">
        <v>212.36846118240001</v>
      </c>
      <c r="HC111" s="21">
        <v>1498.8732665941213</v>
      </c>
    </row>
    <row r="112" spans="1:211" s="7" customFormat="1" ht="17.25" customHeight="1">
      <c r="A112" s="7">
        <f t="shared" si="9"/>
        <v>112</v>
      </c>
      <c r="B112" s="26" t="s">
        <v>95</v>
      </c>
      <c r="C112" s="9" t="s">
        <v>534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5.11838140664393E-2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3.9166952569664799E-2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  <c r="EU112" s="28">
        <v>0</v>
      </c>
      <c r="EV112" s="28">
        <v>0</v>
      </c>
      <c r="EW112" s="28">
        <v>0</v>
      </c>
      <c r="EX112" s="28">
        <v>0</v>
      </c>
      <c r="EY112" s="28">
        <v>0</v>
      </c>
      <c r="EZ112" s="28">
        <v>0</v>
      </c>
      <c r="FA112" s="28">
        <v>0</v>
      </c>
      <c r="FB112" s="28">
        <v>0</v>
      </c>
      <c r="FC112" s="28">
        <v>0</v>
      </c>
      <c r="FD112" s="28">
        <v>0</v>
      </c>
      <c r="FE112" s="28">
        <v>0</v>
      </c>
      <c r="FF112" s="28">
        <v>0</v>
      </c>
      <c r="FG112" s="28">
        <v>0</v>
      </c>
      <c r="FH112" s="28">
        <v>0</v>
      </c>
      <c r="FI112" s="28">
        <v>0</v>
      </c>
      <c r="FJ112" s="28">
        <v>0</v>
      </c>
      <c r="FK112" s="28">
        <v>0</v>
      </c>
      <c r="FL112" s="28">
        <v>0</v>
      </c>
      <c r="FM112" s="28">
        <v>0</v>
      </c>
      <c r="FN112" s="28">
        <v>0</v>
      </c>
      <c r="FO112" s="28">
        <v>0</v>
      </c>
      <c r="FP112" s="28">
        <v>0</v>
      </c>
      <c r="FQ112" s="28">
        <v>0</v>
      </c>
      <c r="FR112" s="28">
        <v>0</v>
      </c>
      <c r="FS112" s="28">
        <v>3.6532201573892502</v>
      </c>
      <c r="FT112" s="28">
        <v>282.41270534241499</v>
      </c>
      <c r="FU112" s="28">
        <v>0</v>
      </c>
      <c r="FV112" s="28">
        <v>0</v>
      </c>
      <c r="FW112" s="28">
        <v>0</v>
      </c>
      <c r="FX112" s="28">
        <v>0</v>
      </c>
      <c r="FY112" s="28">
        <v>0</v>
      </c>
      <c r="FZ112" s="28">
        <v>0</v>
      </c>
      <c r="GA112" s="28">
        <v>0</v>
      </c>
      <c r="GB112" s="28">
        <v>0</v>
      </c>
      <c r="GC112" s="28">
        <v>0</v>
      </c>
      <c r="GD112" s="28">
        <v>0</v>
      </c>
      <c r="GE112" s="28">
        <v>0</v>
      </c>
      <c r="GF112" s="28">
        <v>0</v>
      </c>
      <c r="GG112" s="28">
        <v>1.69294810342395</v>
      </c>
      <c r="GH112" s="28">
        <v>0</v>
      </c>
      <c r="GI112" s="28">
        <v>1.36480346904053E-2</v>
      </c>
      <c r="GJ112" s="28">
        <v>0.120360336297106</v>
      </c>
      <c r="GK112" s="28">
        <v>0.148882866179676</v>
      </c>
      <c r="GL112" s="28">
        <v>0</v>
      </c>
      <c r="GM112" s="28">
        <v>0</v>
      </c>
      <c r="GN112" s="28">
        <v>0</v>
      </c>
      <c r="GO112" s="28">
        <v>0</v>
      </c>
      <c r="GP112" s="28">
        <v>0</v>
      </c>
      <c r="GQ112" s="21">
        <v>288.13211560703121</v>
      </c>
      <c r="GR112" s="21">
        <v>886.29568788219296</v>
      </c>
      <c r="GS112" s="20">
        <v>872.80445445542591</v>
      </c>
      <c r="GT112" s="20">
        <v>0</v>
      </c>
      <c r="GU112" s="20">
        <v>13.491233426767005</v>
      </c>
      <c r="GV112" s="20">
        <v>13.491233426767005</v>
      </c>
      <c r="GW112" s="20">
        <v>0</v>
      </c>
      <c r="GX112" s="21">
        <v>21.555396720450354</v>
      </c>
      <c r="GY112" s="20">
        <v>0</v>
      </c>
      <c r="GZ112" s="20">
        <v>21.555396720450354</v>
      </c>
      <c r="HA112" s="20"/>
      <c r="HB112" s="21">
        <v>10.2540585006297</v>
      </c>
      <c r="HC112" s="21">
        <v>1206.2372587103041</v>
      </c>
    </row>
    <row r="113" spans="1:211" s="7" customFormat="1" ht="17.25" customHeight="1">
      <c r="A113" s="7">
        <f t="shared" si="9"/>
        <v>113</v>
      </c>
      <c r="B113" s="26" t="s">
        <v>535</v>
      </c>
      <c r="C113" s="9" t="s">
        <v>536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0.185696048591557</v>
      </c>
      <c r="Q113" s="28">
        <v>0</v>
      </c>
      <c r="R113" s="28">
        <v>0</v>
      </c>
      <c r="S113" s="28">
        <v>6.01262754974311E-3</v>
      </c>
      <c r="T113" s="28">
        <v>0</v>
      </c>
      <c r="U113" s="28">
        <v>0</v>
      </c>
      <c r="V113" s="28">
        <v>0</v>
      </c>
      <c r="W113" s="28">
        <v>0</v>
      </c>
      <c r="X113" s="28">
        <v>0.147152415215584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1.2876061347330501E-2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0.16607340717204599</v>
      </c>
      <c r="AR113" s="28">
        <v>0.205311449996914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87.140587213599503</v>
      </c>
      <c r="BK113" s="28">
        <v>0</v>
      </c>
      <c r="BL113" s="28">
        <v>0.37791212278333502</v>
      </c>
      <c r="BM113" s="28">
        <v>8.8744009792770093</v>
      </c>
      <c r="BN113" s="28">
        <v>0</v>
      </c>
      <c r="BO113" s="28">
        <v>0</v>
      </c>
      <c r="BP113" s="28">
        <v>9.0580327680279495</v>
      </c>
      <c r="BQ113" s="28">
        <v>0</v>
      </c>
      <c r="BR113" s="28">
        <v>0</v>
      </c>
      <c r="BS113" s="28">
        <v>0</v>
      </c>
      <c r="BT113" s="28">
        <v>10.0297663737504</v>
      </c>
      <c r="BU113" s="28">
        <v>0.87709292332156397</v>
      </c>
      <c r="BV113" s="28">
        <v>19.605421624708601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1.57234668041688</v>
      </c>
      <c r="CH113" s="28">
        <v>11.7652078129017</v>
      </c>
      <c r="CI113" s="28">
        <v>0.64269870519638095</v>
      </c>
      <c r="CJ113" s="28">
        <v>0</v>
      </c>
      <c r="CK113" s="28">
        <v>0</v>
      </c>
      <c r="CL113" s="28">
        <v>15.9438648834143</v>
      </c>
      <c r="CM113" s="28">
        <v>96.285977405237901</v>
      </c>
      <c r="CN113" s="28">
        <v>3.0660741329193102</v>
      </c>
      <c r="CO113" s="28">
        <v>5.6861097063397601</v>
      </c>
      <c r="CP113" s="28">
        <v>211.18359200947199</v>
      </c>
      <c r="CQ113" s="28">
        <v>15.8224089428304</v>
      </c>
      <c r="CR113" s="28">
        <v>0</v>
      </c>
      <c r="CS113" s="28">
        <v>0.11483682726462401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0.71495119824389097</v>
      </c>
      <c r="DG113" s="28">
        <v>1.1276952959877999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24.771258978296402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  <c r="EU113" s="28">
        <v>0</v>
      </c>
      <c r="EV113" s="28">
        <v>0</v>
      </c>
      <c r="EW113" s="28">
        <v>0</v>
      </c>
      <c r="EX113" s="28">
        <v>0.87628727296743403</v>
      </c>
      <c r="EY113" s="28">
        <v>0</v>
      </c>
      <c r="EZ113" s="28">
        <v>0</v>
      </c>
      <c r="FA113" s="28">
        <v>0</v>
      </c>
      <c r="FB113" s="28">
        <v>0</v>
      </c>
      <c r="FC113" s="28">
        <v>0</v>
      </c>
      <c r="FD113" s="28">
        <v>0</v>
      </c>
      <c r="FE113" s="28">
        <v>0</v>
      </c>
      <c r="FF113" s="28">
        <v>0</v>
      </c>
      <c r="FG113" s="28">
        <v>0</v>
      </c>
      <c r="FH113" s="28">
        <v>0</v>
      </c>
      <c r="FI113" s="28">
        <v>0</v>
      </c>
      <c r="FJ113" s="28">
        <v>0</v>
      </c>
      <c r="FK113" s="28">
        <v>0</v>
      </c>
      <c r="FL113" s="28">
        <v>0</v>
      </c>
      <c r="FM113" s="28">
        <v>0</v>
      </c>
      <c r="FN113" s="28">
        <v>0</v>
      </c>
      <c r="FO113" s="28">
        <v>0</v>
      </c>
      <c r="FP113" s="28">
        <v>0</v>
      </c>
      <c r="FQ113" s="28">
        <v>0</v>
      </c>
      <c r="FR113" s="28">
        <v>0</v>
      </c>
      <c r="FS113" s="28">
        <v>0.39083886099421999</v>
      </c>
      <c r="FT113" s="28">
        <v>31.061265892426</v>
      </c>
      <c r="FU113" s="28">
        <v>0</v>
      </c>
      <c r="FV113" s="28">
        <v>0</v>
      </c>
      <c r="FW113" s="28">
        <v>0</v>
      </c>
      <c r="FX113" s="28">
        <v>0</v>
      </c>
      <c r="FY113" s="28">
        <v>0</v>
      </c>
      <c r="FZ113" s="28">
        <v>0</v>
      </c>
      <c r="GA113" s="28">
        <v>0</v>
      </c>
      <c r="GB113" s="28">
        <v>0</v>
      </c>
      <c r="GC113" s="28">
        <v>0</v>
      </c>
      <c r="GD113" s="28">
        <v>0</v>
      </c>
      <c r="GE113" s="28">
        <v>0</v>
      </c>
      <c r="GF113" s="28">
        <v>0</v>
      </c>
      <c r="GG113" s="28">
        <v>6.3893335203018502</v>
      </c>
      <c r="GH113" s="28">
        <v>0</v>
      </c>
      <c r="GI113" s="28">
        <v>7.4844061205448197E-3</v>
      </c>
      <c r="GJ113" s="28">
        <v>1.7215697558127501</v>
      </c>
      <c r="GK113" s="28">
        <v>48.882507596103402</v>
      </c>
      <c r="GL113" s="28">
        <v>0</v>
      </c>
      <c r="GM113" s="28">
        <v>0</v>
      </c>
      <c r="GN113" s="28">
        <v>0</v>
      </c>
      <c r="GO113" s="28">
        <v>0</v>
      </c>
      <c r="GP113" s="28">
        <v>0</v>
      </c>
      <c r="GQ113" s="21">
        <v>614.71264589858993</v>
      </c>
      <c r="GR113" s="21">
        <v>1729.86734730434</v>
      </c>
      <c r="GS113" s="20">
        <v>1557.7044094992154</v>
      </c>
      <c r="GT113" s="20">
        <v>0</v>
      </c>
      <c r="GU113" s="20">
        <v>172.16293780512459</v>
      </c>
      <c r="GV113" s="20">
        <v>172.16293780512459</v>
      </c>
      <c r="GW113" s="20">
        <v>0</v>
      </c>
      <c r="GX113" s="21">
        <v>-19.510650025468003</v>
      </c>
      <c r="GY113" s="20">
        <v>0</v>
      </c>
      <c r="GZ113" s="20">
        <v>-19.510650025468003</v>
      </c>
      <c r="HA113" s="20"/>
      <c r="HB113" s="21">
        <v>12.594243926412201</v>
      </c>
      <c r="HC113" s="21">
        <v>2337.6635871038743</v>
      </c>
    </row>
    <row r="114" spans="1:211" s="7" customFormat="1" ht="17.25" customHeight="1">
      <c r="A114" s="7">
        <f t="shared" si="9"/>
        <v>114</v>
      </c>
      <c r="B114" s="26" t="s">
        <v>96</v>
      </c>
      <c r="C114" s="9" t="s">
        <v>537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0.562086219739239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  <c r="EU114" s="28">
        <v>0</v>
      </c>
      <c r="EV114" s="28">
        <v>0</v>
      </c>
      <c r="EW114" s="28">
        <v>0</v>
      </c>
      <c r="EX114" s="28">
        <v>0</v>
      </c>
      <c r="EY114" s="28">
        <v>0</v>
      </c>
      <c r="EZ114" s="28">
        <v>0</v>
      </c>
      <c r="FA114" s="28">
        <v>0</v>
      </c>
      <c r="FB114" s="28">
        <v>0</v>
      </c>
      <c r="FC114" s="28">
        <v>0</v>
      </c>
      <c r="FD114" s="28">
        <v>0</v>
      </c>
      <c r="FE114" s="28">
        <v>0</v>
      </c>
      <c r="FF114" s="28">
        <v>0</v>
      </c>
      <c r="FG114" s="28">
        <v>0</v>
      </c>
      <c r="FH114" s="28">
        <v>0</v>
      </c>
      <c r="FI114" s="28">
        <v>0</v>
      </c>
      <c r="FJ114" s="28">
        <v>0</v>
      </c>
      <c r="FK114" s="28">
        <v>0</v>
      </c>
      <c r="FL114" s="28">
        <v>0</v>
      </c>
      <c r="FM114" s="28">
        <v>0</v>
      </c>
      <c r="FN114" s="28">
        <v>0</v>
      </c>
      <c r="FO114" s="28">
        <v>0</v>
      </c>
      <c r="FP114" s="28">
        <v>0</v>
      </c>
      <c r="FQ114" s="28">
        <v>0</v>
      </c>
      <c r="FR114" s="28">
        <v>0</v>
      </c>
      <c r="FS114" s="28">
        <v>39.009874463447602</v>
      </c>
      <c r="FT114" s="28">
        <v>3068.1979504685</v>
      </c>
      <c r="FU114" s="28">
        <v>0</v>
      </c>
      <c r="FV114" s="28">
        <v>0</v>
      </c>
      <c r="FW114" s="28">
        <v>0</v>
      </c>
      <c r="FX114" s="28">
        <v>0</v>
      </c>
      <c r="FY114" s="28">
        <v>0</v>
      </c>
      <c r="FZ114" s="28">
        <v>0</v>
      </c>
      <c r="GA114" s="28">
        <v>0</v>
      </c>
      <c r="GB114" s="28">
        <v>0</v>
      </c>
      <c r="GC114" s="28">
        <v>0</v>
      </c>
      <c r="GD114" s="28">
        <v>0</v>
      </c>
      <c r="GE114" s="28">
        <v>0</v>
      </c>
      <c r="GF114" s="28">
        <v>0</v>
      </c>
      <c r="GG114" s="28">
        <v>0</v>
      </c>
      <c r="GH114" s="28">
        <v>0</v>
      </c>
      <c r="GI114" s="28">
        <v>0</v>
      </c>
      <c r="GJ114" s="28">
        <v>0</v>
      </c>
      <c r="GK114" s="28">
        <v>0</v>
      </c>
      <c r="GL114" s="28">
        <v>0</v>
      </c>
      <c r="GM114" s="28">
        <v>576.69357546274296</v>
      </c>
      <c r="GN114" s="28">
        <v>0</v>
      </c>
      <c r="GO114" s="28">
        <v>0</v>
      </c>
      <c r="GP114" s="28">
        <v>0</v>
      </c>
      <c r="GQ114" s="21">
        <v>3684.4634866144324</v>
      </c>
      <c r="GR114" s="21">
        <v>1661.4983032406601</v>
      </c>
      <c r="GS114" s="20">
        <v>1661.4983032406601</v>
      </c>
      <c r="GT114" s="20">
        <v>0</v>
      </c>
      <c r="GU114" s="20">
        <v>0</v>
      </c>
      <c r="GV114" s="20">
        <v>0</v>
      </c>
      <c r="GW114" s="20">
        <v>0</v>
      </c>
      <c r="GX114" s="21">
        <v>40.551898680416983</v>
      </c>
      <c r="GY114" s="20">
        <v>0</v>
      </c>
      <c r="GZ114" s="20">
        <v>40.551898680416983</v>
      </c>
      <c r="HA114" s="20"/>
      <c r="HB114" s="21">
        <v>2.3062412399999999</v>
      </c>
      <c r="HC114" s="21">
        <v>5388.81992977551</v>
      </c>
    </row>
    <row r="115" spans="1:211" s="7" customFormat="1" ht="17.25" customHeight="1">
      <c r="A115" s="7">
        <f t="shared" si="9"/>
        <v>115</v>
      </c>
      <c r="B115" s="26" t="s">
        <v>538</v>
      </c>
      <c r="C115" s="9" t="s">
        <v>539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185.611076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  <c r="EU115" s="28">
        <v>0</v>
      </c>
      <c r="EV115" s="28">
        <v>0</v>
      </c>
      <c r="EW115" s="28">
        <v>0</v>
      </c>
      <c r="EX115" s="28">
        <v>0</v>
      </c>
      <c r="EY115" s="28">
        <v>0</v>
      </c>
      <c r="EZ115" s="28">
        <v>0</v>
      </c>
      <c r="FA115" s="28">
        <v>0</v>
      </c>
      <c r="FB115" s="28">
        <v>0</v>
      </c>
      <c r="FC115" s="28">
        <v>0</v>
      </c>
      <c r="FD115" s="28">
        <v>0</v>
      </c>
      <c r="FE115" s="28">
        <v>0</v>
      </c>
      <c r="FF115" s="28">
        <v>0</v>
      </c>
      <c r="FG115" s="28">
        <v>0</v>
      </c>
      <c r="FH115" s="28">
        <v>0</v>
      </c>
      <c r="FI115" s="28">
        <v>0</v>
      </c>
      <c r="FJ115" s="28">
        <v>0</v>
      </c>
      <c r="FK115" s="28">
        <v>0</v>
      </c>
      <c r="FL115" s="28">
        <v>0</v>
      </c>
      <c r="FM115" s="28">
        <v>0</v>
      </c>
      <c r="FN115" s="28">
        <v>0</v>
      </c>
      <c r="FO115" s="28">
        <v>0</v>
      </c>
      <c r="FP115" s="28">
        <v>0</v>
      </c>
      <c r="FQ115" s="28">
        <v>0</v>
      </c>
      <c r="FR115" s="28">
        <v>0</v>
      </c>
      <c r="FS115" s="28">
        <v>0</v>
      </c>
      <c r="FT115" s="28">
        <v>0</v>
      </c>
      <c r="FU115" s="28">
        <v>0</v>
      </c>
      <c r="FV115" s="28">
        <v>0</v>
      </c>
      <c r="FW115" s="28">
        <v>0</v>
      </c>
      <c r="FX115" s="28">
        <v>0</v>
      </c>
      <c r="FY115" s="28">
        <v>0</v>
      </c>
      <c r="FZ115" s="28">
        <v>0</v>
      </c>
      <c r="GA115" s="28">
        <v>0</v>
      </c>
      <c r="GB115" s="28">
        <v>0</v>
      </c>
      <c r="GC115" s="28">
        <v>0</v>
      </c>
      <c r="GD115" s="28">
        <v>0</v>
      </c>
      <c r="GE115" s="28">
        <v>0</v>
      </c>
      <c r="GF115" s="28">
        <v>0</v>
      </c>
      <c r="GG115" s="28">
        <v>0</v>
      </c>
      <c r="GH115" s="28">
        <v>0</v>
      </c>
      <c r="GI115" s="28">
        <v>0</v>
      </c>
      <c r="GJ115" s="28">
        <v>0</v>
      </c>
      <c r="GK115" s="28">
        <v>0</v>
      </c>
      <c r="GL115" s="28">
        <v>0</v>
      </c>
      <c r="GM115" s="28">
        <v>0</v>
      </c>
      <c r="GN115" s="28">
        <v>0</v>
      </c>
      <c r="GO115" s="28">
        <v>0</v>
      </c>
      <c r="GP115" s="28">
        <v>0</v>
      </c>
      <c r="GQ115" s="21">
        <v>185.611076</v>
      </c>
      <c r="GR115" s="21">
        <v>0</v>
      </c>
      <c r="GS115" s="20">
        <v>0</v>
      </c>
      <c r="GT115" s="20">
        <v>0</v>
      </c>
      <c r="GU115" s="20">
        <v>0</v>
      </c>
      <c r="GV115" s="20">
        <v>0</v>
      </c>
      <c r="GW115" s="20">
        <v>0</v>
      </c>
      <c r="GX115" s="21">
        <v>0</v>
      </c>
      <c r="GY115" s="20">
        <v>0</v>
      </c>
      <c r="GZ115" s="20">
        <v>0</v>
      </c>
      <c r="HA115" s="20"/>
      <c r="HB115" s="21">
        <v>0</v>
      </c>
      <c r="HC115" s="21">
        <v>185.611076</v>
      </c>
    </row>
    <row r="116" spans="1:211" s="7" customFormat="1" ht="17.25" customHeight="1">
      <c r="A116" s="7">
        <f t="shared" si="9"/>
        <v>116</v>
      </c>
      <c r="B116" s="26" t="s">
        <v>540</v>
      </c>
      <c r="C116" s="9" t="s">
        <v>541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3.4666415139936103E-2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  <c r="EU116" s="28">
        <v>0</v>
      </c>
      <c r="EV116" s="28">
        <v>0</v>
      </c>
      <c r="EW116" s="28">
        <v>0</v>
      </c>
      <c r="EX116" s="28">
        <v>0</v>
      </c>
      <c r="EY116" s="28">
        <v>0</v>
      </c>
      <c r="EZ116" s="28">
        <v>0</v>
      </c>
      <c r="FA116" s="28">
        <v>0</v>
      </c>
      <c r="FB116" s="28">
        <v>0</v>
      </c>
      <c r="FC116" s="28">
        <v>0</v>
      </c>
      <c r="FD116" s="28">
        <v>0</v>
      </c>
      <c r="FE116" s="28">
        <v>0</v>
      </c>
      <c r="FF116" s="28">
        <v>0</v>
      </c>
      <c r="FG116" s="28">
        <v>0</v>
      </c>
      <c r="FH116" s="28">
        <v>0</v>
      </c>
      <c r="FI116" s="28">
        <v>0</v>
      </c>
      <c r="FJ116" s="28">
        <v>0</v>
      </c>
      <c r="FK116" s="28">
        <v>0</v>
      </c>
      <c r="FL116" s="28">
        <v>0</v>
      </c>
      <c r="FM116" s="28">
        <v>0</v>
      </c>
      <c r="FN116" s="28">
        <v>0</v>
      </c>
      <c r="FO116" s="28">
        <v>0</v>
      </c>
      <c r="FP116" s="28">
        <v>0</v>
      </c>
      <c r="FQ116" s="28">
        <v>0</v>
      </c>
      <c r="FR116" s="28">
        <v>0</v>
      </c>
      <c r="FS116" s="28">
        <v>2.3365813856273299</v>
      </c>
      <c r="FT116" s="28">
        <v>185.695904224163</v>
      </c>
      <c r="FU116" s="28">
        <v>0</v>
      </c>
      <c r="FV116" s="28">
        <v>0</v>
      </c>
      <c r="FW116" s="28">
        <v>0</v>
      </c>
      <c r="FX116" s="28">
        <v>0</v>
      </c>
      <c r="FY116" s="28">
        <v>0</v>
      </c>
      <c r="FZ116" s="28">
        <v>0</v>
      </c>
      <c r="GA116" s="28">
        <v>0</v>
      </c>
      <c r="GB116" s="28">
        <v>0</v>
      </c>
      <c r="GC116" s="28">
        <v>0</v>
      </c>
      <c r="GD116" s="28">
        <v>0</v>
      </c>
      <c r="GE116" s="28">
        <v>0</v>
      </c>
      <c r="GF116" s="28">
        <v>0</v>
      </c>
      <c r="GG116" s="28">
        <v>0</v>
      </c>
      <c r="GH116" s="28">
        <v>0</v>
      </c>
      <c r="GI116" s="28">
        <v>0</v>
      </c>
      <c r="GJ116" s="28">
        <v>0</v>
      </c>
      <c r="GK116" s="28">
        <v>0</v>
      </c>
      <c r="GL116" s="28">
        <v>0</v>
      </c>
      <c r="GM116" s="28">
        <v>26.444170594498399</v>
      </c>
      <c r="GN116" s="28">
        <v>0</v>
      </c>
      <c r="GO116" s="28">
        <v>0</v>
      </c>
      <c r="GP116" s="28">
        <v>0</v>
      </c>
      <c r="GQ116" s="21">
        <v>214.51132261942931</v>
      </c>
      <c r="GR116" s="21">
        <v>153.106984187112</v>
      </c>
      <c r="GS116" s="20">
        <v>153.106984187112</v>
      </c>
      <c r="GT116" s="20">
        <v>0</v>
      </c>
      <c r="GU116" s="20">
        <v>0</v>
      </c>
      <c r="GV116" s="20">
        <v>0</v>
      </c>
      <c r="GW116" s="20">
        <v>0</v>
      </c>
      <c r="GX116" s="21">
        <v>6.0893555306826963</v>
      </c>
      <c r="GY116" s="20">
        <v>0</v>
      </c>
      <c r="GZ116" s="20">
        <v>6.0893555306826963</v>
      </c>
      <c r="HA116" s="20"/>
      <c r="HB116" s="21">
        <v>0.76292207040000004</v>
      </c>
      <c r="HC116" s="21">
        <v>374.47058440762407</v>
      </c>
    </row>
    <row r="117" spans="1:211" s="7" customFormat="1" ht="17.25" customHeight="1">
      <c r="A117" s="7">
        <f t="shared" si="9"/>
        <v>117</v>
      </c>
      <c r="B117" s="26" t="s">
        <v>97</v>
      </c>
      <c r="C117" s="9" t="s">
        <v>542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0.106429473620934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  <c r="EU117" s="28">
        <v>0</v>
      </c>
      <c r="EV117" s="28">
        <v>0</v>
      </c>
      <c r="EW117" s="28">
        <v>0</v>
      </c>
      <c r="EX117" s="28">
        <v>0</v>
      </c>
      <c r="EY117" s="28">
        <v>0</v>
      </c>
      <c r="EZ117" s="28">
        <v>0</v>
      </c>
      <c r="FA117" s="28">
        <v>0</v>
      </c>
      <c r="FB117" s="28">
        <v>0</v>
      </c>
      <c r="FC117" s="28">
        <v>0</v>
      </c>
      <c r="FD117" s="28">
        <v>0</v>
      </c>
      <c r="FE117" s="28">
        <v>0</v>
      </c>
      <c r="FF117" s="28">
        <v>0</v>
      </c>
      <c r="FG117" s="28">
        <v>0</v>
      </c>
      <c r="FH117" s="28">
        <v>0</v>
      </c>
      <c r="FI117" s="28">
        <v>0</v>
      </c>
      <c r="FJ117" s="28">
        <v>0</v>
      </c>
      <c r="FK117" s="28">
        <v>0</v>
      </c>
      <c r="FL117" s="28">
        <v>0</v>
      </c>
      <c r="FM117" s="28">
        <v>0</v>
      </c>
      <c r="FN117" s="28">
        <v>0</v>
      </c>
      <c r="FO117" s="28">
        <v>0</v>
      </c>
      <c r="FP117" s="28">
        <v>0</v>
      </c>
      <c r="FQ117" s="28">
        <v>0</v>
      </c>
      <c r="FR117" s="28">
        <v>0</v>
      </c>
      <c r="FS117" s="28">
        <v>7.3701474821587398</v>
      </c>
      <c r="FT117" s="28">
        <v>589.06943527468104</v>
      </c>
      <c r="FU117" s="28">
        <v>0</v>
      </c>
      <c r="FV117" s="28">
        <v>0</v>
      </c>
      <c r="FW117" s="28">
        <v>0</v>
      </c>
      <c r="FX117" s="28">
        <v>0</v>
      </c>
      <c r="FY117" s="28">
        <v>0</v>
      </c>
      <c r="FZ117" s="28">
        <v>0</v>
      </c>
      <c r="GA117" s="28">
        <v>0</v>
      </c>
      <c r="GB117" s="28">
        <v>0</v>
      </c>
      <c r="GC117" s="28">
        <v>0</v>
      </c>
      <c r="GD117" s="28">
        <v>0</v>
      </c>
      <c r="GE117" s="28">
        <v>0</v>
      </c>
      <c r="GF117" s="28">
        <v>0</v>
      </c>
      <c r="GG117" s="28">
        <v>0</v>
      </c>
      <c r="GH117" s="28">
        <v>0</v>
      </c>
      <c r="GI117" s="28">
        <v>0</v>
      </c>
      <c r="GJ117" s="28">
        <v>0</v>
      </c>
      <c r="GK117" s="28">
        <v>0</v>
      </c>
      <c r="GL117" s="28">
        <v>0</v>
      </c>
      <c r="GM117" s="28">
        <v>104.90292314355899</v>
      </c>
      <c r="GN117" s="28">
        <v>0</v>
      </c>
      <c r="GO117" s="28">
        <v>0</v>
      </c>
      <c r="GP117" s="28">
        <v>0</v>
      </c>
      <c r="GQ117" s="21">
        <v>701.44893537401981</v>
      </c>
      <c r="GR117" s="21">
        <v>198.81853696037501</v>
      </c>
      <c r="GS117" s="20">
        <v>198.81853696037501</v>
      </c>
      <c r="GT117" s="20">
        <v>0</v>
      </c>
      <c r="GU117" s="20">
        <v>0</v>
      </c>
      <c r="GV117" s="20">
        <v>0</v>
      </c>
      <c r="GW117" s="20">
        <v>0</v>
      </c>
      <c r="GX117" s="21">
        <v>9.1169065531369533</v>
      </c>
      <c r="GY117" s="20">
        <v>0</v>
      </c>
      <c r="GZ117" s="20">
        <v>9.1169065531369533</v>
      </c>
      <c r="HA117" s="20"/>
      <c r="HB117" s="21">
        <v>1.09011174</v>
      </c>
      <c r="HC117" s="21">
        <v>910.47449062753174</v>
      </c>
    </row>
    <row r="118" spans="1:211" s="7" customFormat="1" ht="17.25" customHeight="1">
      <c r="A118" s="7">
        <f t="shared" si="9"/>
        <v>118</v>
      </c>
      <c r="B118" s="26" t="s">
        <v>543</v>
      </c>
      <c r="C118" s="9" t="s">
        <v>544</v>
      </c>
      <c r="D118" s="28">
        <v>0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26.3420616316129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1.51859365797458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  <c r="EU118" s="28">
        <v>0</v>
      </c>
      <c r="EV118" s="28">
        <v>0</v>
      </c>
      <c r="EW118" s="28">
        <v>0</v>
      </c>
      <c r="EX118" s="28">
        <v>0</v>
      </c>
      <c r="EY118" s="28">
        <v>0</v>
      </c>
      <c r="EZ118" s="28">
        <v>0</v>
      </c>
      <c r="FA118" s="28">
        <v>0</v>
      </c>
      <c r="FB118" s="28">
        <v>0</v>
      </c>
      <c r="FC118" s="28">
        <v>0</v>
      </c>
      <c r="FD118" s="28">
        <v>0</v>
      </c>
      <c r="FE118" s="28">
        <v>0</v>
      </c>
      <c r="FF118" s="28">
        <v>0</v>
      </c>
      <c r="FG118" s="28">
        <v>0</v>
      </c>
      <c r="FH118" s="28">
        <v>0</v>
      </c>
      <c r="FI118" s="28">
        <v>0</v>
      </c>
      <c r="FJ118" s="28">
        <v>0</v>
      </c>
      <c r="FK118" s="28">
        <v>0</v>
      </c>
      <c r="FL118" s="28">
        <v>0</v>
      </c>
      <c r="FM118" s="28">
        <v>0</v>
      </c>
      <c r="FN118" s="28">
        <v>0</v>
      </c>
      <c r="FO118" s="28">
        <v>0</v>
      </c>
      <c r="FP118" s="28">
        <v>0</v>
      </c>
      <c r="FQ118" s="28">
        <v>0</v>
      </c>
      <c r="FR118" s="28">
        <v>0</v>
      </c>
      <c r="FS118" s="28">
        <v>0</v>
      </c>
      <c r="FT118" s="28">
        <v>0</v>
      </c>
      <c r="FU118" s="28">
        <v>0</v>
      </c>
      <c r="FV118" s="28">
        <v>0</v>
      </c>
      <c r="FW118" s="28">
        <v>0</v>
      </c>
      <c r="FX118" s="28">
        <v>0</v>
      </c>
      <c r="FY118" s="28">
        <v>0</v>
      </c>
      <c r="FZ118" s="28">
        <v>0</v>
      </c>
      <c r="GA118" s="28">
        <v>0</v>
      </c>
      <c r="GB118" s="28">
        <v>0</v>
      </c>
      <c r="GC118" s="28">
        <v>0</v>
      </c>
      <c r="GD118" s="28">
        <v>0</v>
      </c>
      <c r="GE118" s="28">
        <v>0</v>
      </c>
      <c r="GF118" s="28">
        <v>0</v>
      </c>
      <c r="GG118" s="28">
        <v>0</v>
      </c>
      <c r="GH118" s="28">
        <v>0</v>
      </c>
      <c r="GI118" s="28">
        <v>0</v>
      </c>
      <c r="GJ118" s="28">
        <v>0</v>
      </c>
      <c r="GK118" s="28">
        <v>0</v>
      </c>
      <c r="GL118" s="28">
        <v>0</v>
      </c>
      <c r="GM118" s="28">
        <v>0</v>
      </c>
      <c r="GN118" s="28">
        <v>0</v>
      </c>
      <c r="GO118" s="28">
        <v>0</v>
      </c>
      <c r="GP118" s="28">
        <v>0</v>
      </c>
      <c r="GQ118" s="21">
        <v>27.860655289587481</v>
      </c>
      <c r="GR118" s="21">
        <v>8.7790253463180097</v>
      </c>
      <c r="GS118" s="20">
        <v>8.7790253463180097</v>
      </c>
      <c r="GT118" s="20">
        <v>0</v>
      </c>
      <c r="GU118" s="20">
        <v>0</v>
      </c>
      <c r="GV118" s="20">
        <v>0</v>
      </c>
      <c r="GW118" s="20">
        <v>0</v>
      </c>
      <c r="GX118" s="21">
        <v>91.532225275324208</v>
      </c>
      <c r="GY118" s="20">
        <v>0</v>
      </c>
      <c r="GZ118" s="20">
        <v>91.532225275324208</v>
      </c>
      <c r="HA118" s="20"/>
      <c r="HB118" s="21">
        <v>264.0143762088</v>
      </c>
      <c r="HC118" s="21">
        <v>392.18628212002972</v>
      </c>
    </row>
    <row r="119" spans="1:211" s="7" customFormat="1" ht="17.25" customHeight="1">
      <c r="A119" s="7">
        <f t="shared" si="9"/>
        <v>119</v>
      </c>
      <c r="B119" s="26" t="s">
        <v>98</v>
      </c>
      <c r="C119" s="10" t="s">
        <v>545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8.1431696445857099E-2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1.39078314446138E-2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0.16629734365468599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4.0261948251126903E-3</v>
      </c>
      <c r="DL119" s="28">
        <v>7.8772363485897695E-2</v>
      </c>
      <c r="DM119" s="28">
        <v>0</v>
      </c>
      <c r="DN119" s="28">
        <v>3.7280784064540702E-3</v>
      </c>
      <c r="DO119" s="28">
        <v>0</v>
      </c>
      <c r="DP119" s="28">
        <v>0</v>
      </c>
      <c r="DQ119" s="28">
        <v>0</v>
      </c>
      <c r="DR119" s="28">
        <v>0.51911721842335701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  <c r="EU119" s="28">
        <v>0</v>
      </c>
      <c r="EV119" s="28">
        <v>0</v>
      </c>
      <c r="EW119" s="28">
        <v>0</v>
      </c>
      <c r="EX119" s="28">
        <v>0</v>
      </c>
      <c r="EY119" s="28">
        <v>0</v>
      </c>
      <c r="EZ119" s="28">
        <v>0</v>
      </c>
      <c r="FA119" s="28">
        <v>0</v>
      </c>
      <c r="FB119" s="28">
        <v>0</v>
      </c>
      <c r="FC119" s="28">
        <v>0</v>
      </c>
      <c r="FD119" s="28">
        <v>0</v>
      </c>
      <c r="FE119" s="28">
        <v>0</v>
      </c>
      <c r="FF119" s="28">
        <v>0</v>
      </c>
      <c r="FG119" s="28">
        <v>0</v>
      </c>
      <c r="FH119" s="28">
        <v>0</v>
      </c>
      <c r="FI119" s="28">
        <v>0</v>
      </c>
      <c r="FJ119" s="28">
        <v>0</v>
      </c>
      <c r="FK119" s="28">
        <v>0</v>
      </c>
      <c r="FL119" s="28">
        <v>0</v>
      </c>
      <c r="FM119" s="28">
        <v>0</v>
      </c>
      <c r="FN119" s="28">
        <v>0</v>
      </c>
      <c r="FO119" s="28">
        <v>0</v>
      </c>
      <c r="FP119" s="28">
        <v>0</v>
      </c>
      <c r="FQ119" s="28">
        <v>0</v>
      </c>
      <c r="FR119" s="28">
        <v>0</v>
      </c>
      <c r="FS119" s="28">
        <v>5.5269044844295898</v>
      </c>
      <c r="FT119" s="28">
        <v>442.58093150180798</v>
      </c>
      <c r="FU119" s="28">
        <v>0</v>
      </c>
      <c r="FV119" s="28">
        <v>0</v>
      </c>
      <c r="FW119" s="28">
        <v>0</v>
      </c>
      <c r="FX119" s="28">
        <v>0</v>
      </c>
      <c r="FY119" s="28">
        <v>0</v>
      </c>
      <c r="FZ119" s="28">
        <v>0</v>
      </c>
      <c r="GA119" s="28">
        <v>0</v>
      </c>
      <c r="GB119" s="28">
        <v>0</v>
      </c>
      <c r="GC119" s="28">
        <v>0</v>
      </c>
      <c r="GD119" s="28">
        <v>0</v>
      </c>
      <c r="GE119" s="28">
        <v>0</v>
      </c>
      <c r="GF119" s="28">
        <v>0</v>
      </c>
      <c r="GG119" s="28">
        <v>0.44352370854413198</v>
      </c>
      <c r="GH119" s="28">
        <v>0</v>
      </c>
      <c r="GI119" s="28">
        <v>4.7547714443894997E-3</v>
      </c>
      <c r="GJ119" s="28">
        <v>0</v>
      </c>
      <c r="GK119" s="28">
        <v>5.2587638299638598E-2</v>
      </c>
      <c r="GL119" s="28">
        <v>0.126236784587101</v>
      </c>
      <c r="GM119" s="28">
        <v>354.64746581372401</v>
      </c>
      <c r="GN119" s="28">
        <v>0</v>
      </c>
      <c r="GO119" s="28">
        <v>0</v>
      </c>
      <c r="GP119" s="28">
        <v>0</v>
      </c>
      <c r="GQ119" s="21">
        <v>804.24968542952206</v>
      </c>
      <c r="GR119" s="21">
        <v>3699.0958697576798</v>
      </c>
      <c r="GS119" s="20">
        <v>3662.6216027234282</v>
      </c>
      <c r="GT119" s="20">
        <v>0</v>
      </c>
      <c r="GU119" s="20">
        <v>36.474267034251632</v>
      </c>
      <c r="GV119" s="20">
        <v>36.474267034251632</v>
      </c>
      <c r="GW119" s="20">
        <v>0</v>
      </c>
      <c r="GX119" s="21">
        <v>-10.999537680370301</v>
      </c>
      <c r="GY119" s="20">
        <v>0</v>
      </c>
      <c r="GZ119" s="20">
        <v>-10.999537680370301</v>
      </c>
      <c r="HA119" s="20"/>
      <c r="HB119" s="21">
        <v>4.9833600000000005E-4</v>
      </c>
      <c r="HC119" s="21">
        <v>4492.3465158428326</v>
      </c>
    </row>
    <row r="120" spans="1:211" s="7" customFormat="1" ht="17.25" customHeight="1">
      <c r="A120" s="7">
        <f t="shared" si="9"/>
        <v>120</v>
      </c>
      <c r="B120" s="26" t="s">
        <v>100</v>
      </c>
      <c r="C120" s="9" t="s">
        <v>546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2.5027340093366299E-2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  <c r="EU120" s="28">
        <v>0</v>
      </c>
      <c r="EV120" s="28">
        <v>0</v>
      </c>
      <c r="EW120" s="28">
        <v>0</v>
      </c>
      <c r="EX120" s="28">
        <v>0</v>
      </c>
      <c r="EY120" s="28">
        <v>0</v>
      </c>
      <c r="EZ120" s="28">
        <v>0</v>
      </c>
      <c r="FA120" s="28">
        <v>0</v>
      </c>
      <c r="FB120" s="28">
        <v>0</v>
      </c>
      <c r="FC120" s="28">
        <v>0</v>
      </c>
      <c r="FD120" s="28">
        <v>0</v>
      </c>
      <c r="FE120" s="28">
        <v>0</v>
      </c>
      <c r="FF120" s="28">
        <v>0</v>
      </c>
      <c r="FG120" s="28">
        <v>0</v>
      </c>
      <c r="FH120" s="28">
        <v>0</v>
      </c>
      <c r="FI120" s="28">
        <v>0</v>
      </c>
      <c r="FJ120" s="28">
        <v>0</v>
      </c>
      <c r="FK120" s="28">
        <v>0</v>
      </c>
      <c r="FL120" s="28">
        <v>0</v>
      </c>
      <c r="FM120" s="28">
        <v>0</v>
      </c>
      <c r="FN120" s="28">
        <v>0</v>
      </c>
      <c r="FO120" s="28">
        <v>0</v>
      </c>
      <c r="FP120" s="28">
        <v>0</v>
      </c>
      <c r="FQ120" s="28">
        <v>0</v>
      </c>
      <c r="FR120" s="28">
        <v>0</v>
      </c>
      <c r="FS120" s="28">
        <v>1.7041061130513</v>
      </c>
      <c r="FT120" s="28">
        <v>133.00628988330101</v>
      </c>
      <c r="FU120" s="28">
        <v>0</v>
      </c>
      <c r="FV120" s="28">
        <v>0</v>
      </c>
      <c r="FW120" s="28">
        <v>0</v>
      </c>
      <c r="FX120" s="28">
        <v>0</v>
      </c>
      <c r="FY120" s="28">
        <v>0</v>
      </c>
      <c r="FZ120" s="28">
        <v>0</v>
      </c>
      <c r="GA120" s="28">
        <v>0</v>
      </c>
      <c r="GB120" s="28">
        <v>0</v>
      </c>
      <c r="GC120" s="28">
        <v>0</v>
      </c>
      <c r="GD120" s="28">
        <v>0</v>
      </c>
      <c r="GE120" s="28">
        <v>0</v>
      </c>
      <c r="GF120" s="28">
        <v>0</v>
      </c>
      <c r="GG120" s="28">
        <v>0</v>
      </c>
      <c r="GH120" s="28">
        <v>0</v>
      </c>
      <c r="GI120" s="28">
        <v>0</v>
      </c>
      <c r="GJ120" s="28">
        <v>0</v>
      </c>
      <c r="GK120" s="28">
        <v>0</v>
      </c>
      <c r="GL120" s="28">
        <v>0</v>
      </c>
      <c r="GM120" s="28">
        <v>11.2514652281724</v>
      </c>
      <c r="GN120" s="28">
        <v>0</v>
      </c>
      <c r="GO120" s="28">
        <v>0</v>
      </c>
      <c r="GP120" s="28">
        <v>0</v>
      </c>
      <c r="GQ120" s="21">
        <v>145.98688856461777</v>
      </c>
      <c r="GR120" s="21">
        <v>795.53710348222501</v>
      </c>
      <c r="GS120" s="20">
        <v>795.53710348222501</v>
      </c>
      <c r="GT120" s="20">
        <v>0</v>
      </c>
      <c r="GU120" s="20">
        <v>0</v>
      </c>
      <c r="GV120" s="20">
        <v>0</v>
      </c>
      <c r="GW120" s="20">
        <v>0</v>
      </c>
      <c r="GX120" s="21">
        <v>33.176244012910338</v>
      </c>
      <c r="GY120" s="20">
        <v>0</v>
      </c>
      <c r="GZ120" s="20">
        <v>33.176244012910338</v>
      </c>
      <c r="HA120" s="20"/>
      <c r="HB120" s="21">
        <v>1.383822E-2</v>
      </c>
      <c r="HC120" s="21">
        <v>974.71407427975316</v>
      </c>
    </row>
    <row r="121" spans="1:211" s="7" customFormat="1" ht="17.25" customHeight="1">
      <c r="A121" s="7">
        <f t="shared" si="9"/>
        <v>121</v>
      </c>
      <c r="B121" s="26" t="s">
        <v>105</v>
      </c>
      <c r="C121" s="10" t="s">
        <v>547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5.9880671501159703</v>
      </c>
      <c r="CR121" s="28">
        <v>208.38031295766299</v>
      </c>
      <c r="CS121" s="28">
        <v>1.24896804410471</v>
      </c>
      <c r="CT121" s="28">
        <v>15.6519855240702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2.28735815650929E-2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  <c r="EU121" s="28">
        <v>0</v>
      </c>
      <c r="EV121" s="28">
        <v>0</v>
      </c>
      <c r="EW121" s="28">
        <v>0</v>
      </c>
      <c r="EX121" s="28">
        <v>0</v>
      </c>
      <c r="EY121" s="28">
        <v>0</v>
      </c>
      <c r="EZ121" s="28">
        <v>0</v>
      </c>
      <c r="FA121" s="28">
        <v>0</v>
      </c>
      <c r="FB121" s="28">
        <v>0</v>
      </c>
      <c r="FC121" s="28">
        <v>0</v>
      </c>
      <c r="FD121" s="28">
        <v>0</v>
      </c>
      <c r="FE121" s="28">
        <v>0</v>
      </c>
      <c r="FF121" s="28">
        <v>0</v>
      </c>
      <c r="FG121" s="28">
        <v>0</v>
      </c>
      <c r="FH121" s="28">
        <v>0</v>
      </c>
      <c r="FI121" s="28">
        <v>0</v>
      </c>
      <c r="FJ121" s="28">
        <v>0</v>
      </c>
      <c r="FK121" s="28">
        <v>0</v>
      </c>
      <c r="FL121" s="28">
        <v>0</v>
      </c>
      <c r="FM121" s="28">
        <v>0</v>
      </c>
      <c r="FN121" s="28">
        <v>0</v>
      </c>
      <c r="FO121" s="28">
        <v>0</v>
      </c>
      <c r="FP121" s="28">
        <v>0</v>
      </c>
      <c r="FQ121" s="28">
        <v>0</v>
      </c>
      <c r="FR121" s="28">
        <v>0</v>
      </c>
      <c r="FS121" s="28">
        <v>0</v>
      </c>
      <c r="FT121" s="28">
        <v>0</v>
      </c>
      <c r="FU121" s="28">
        <v>0</v>
      </c>
      <c r="FV121" s="28">
        <v>0</v>
      </c>
      <c r="FW121" s="28">
        <v>0</v>
      </c>
      <c r="FX121" s="28">
        <v>0</v>
      </c>
      <c r="FY121" s="28">
        <v>0</v>
      </c>
      <c r="FZ121" s="28">
        <v>0</v>
      </c>
      <c r="GA121" s="28">
        <v>0</v>
      </c>
      <c r="GB121" s="28">
        <v>0</v>
      </c>
      <c r="GC121" s="28">
        <v>0</v>
      </c>
      <c r="GD121" s="28">
        <v>0</v>
      </c>
      <c r="GE121" s="28">
        <v>0</v>
      </c>
      <c r="GF121" s="28">
        <v>0</v>
      </c>
      <c r="GG121" s="28">
        <v>0</v>
      </c>
      <c r="GH121" s="28">
        <v>0</v>
      </c>
      <c r="GI121" s="28">
        <v>0</v>
      </c>
      <c r="GJ121" s="28">
        <v>0</v>
      </c>
      <c r="GK121" s="28">
        <v>0</v>
      </c>
      <c r="GL121" s="28">
        <v>0</v>
      </c>
      <c r="GM121" s="28">
        <v>0</v>
      </c>
      <c r="GN121" s="28">
        <v>0</v>
      </c>
      <c r="GO121" s="28">
        <v>0</v>
      </c>
      <c r="GP121" s="28">
        <v>0</v>
      </c>
      <c r="GQ121" s="21">
        <v>231.29220725751904</v>
      </c>
      <c r="GR121" s="21">
        <v>3.8685622459356699</v>
      </c>
      <c r="GS121" s="20">
        <v>3.8685622459356699</v>
      </c>
      <c r="GT121" s="20">
        <v>0</v>
      </c>
      <c r="GU121" s="20">
        <v>0</v>
      </c>
      <c r="GV121" s="20">
        <v>0</v>
      </c>
      <c r="GW121" s="20">
        <v>0</v>
      </c>
      <c r="GX121" s="21">
        <v>0.38564478892459148</v>
      </c>
      <c r="GY121" s="20">
        <v>0</v>
      </c>
      <c r="GZ121" s="20">
        <v>0.38564478892459148</v>
      </c>
      <c r="HA121" s="20"/>
      <c r="HB121" s="21">
        <v>37.318917333599998</v>
      </c>
      <c r="HC121" s="21">
        <v>272.86533162597931</v>
      </c>
    </row>
    <row r="122" spans="1:211" s="7" customFormat="1" ht="17.25" customHeight="1">
      <c r="A122" s="7">
        <f t="shared" si="9"/>
        <v>122</v>
      </c>
      <c r="B122" s="26" t="s">
        <v>106</v>
      </c>
      <c r="C122" s="9" t="s">
        <v>548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2.4871326695603999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0.263477978077578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0.93973815477391398</v>
      </c>
      <c r="CB122" s="28">
        <v>6.3497949675588597E-2</v>
      </c>
      <c r="CC122" s="28">
        <v>3.4806639781138002E-3</v>
      </c>
      <c r="CD122" s="28">
        <v>4.5729423137331297E-2</v>
      </c>
      <c r="CE122" s="28">
        <v>1.55491598871493E-2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0.239087149500847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383.01285955104998</v>
      </c>
      <c r="CT122" s="28">
        <v>50</v>
      </c>
      <c r="CU122" s="28">
        <v>19.497234777271899</v>
      </c>
      <c r="CV122" s="28">
        <v>10.3775865093112</v>
      </c>
      <c r="CW122" s="28">
        <v>0</v>
      </c>
      <c r="CX122" s="28">
        <v>1.48432131237482</v>
      </c>
      <c r="CY122" s="28">
        <v>5.8962824524892996</v>
      </c>
      <c r="CZ122" s="28">
        <v>14.8575093529713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15.539362080057501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0.72597316927006095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3.2288614171845599E-3</v>
      </c>
      <c r="ES122" s="28">
        <v>3.36300269225281</v>
      </c>
      <c r="ET122" s="28">
        <v>5.6712263541143698E-2</v>
      </c>
      <c r="EU122" s="28">
        <v>7.9635071805656196E-3</v>
      </c>
      <c r="EV122" s="28">
        <v>0.45749197744634001</v>
      </c>
      <c r="EW122" s="28">
        <v>0</v>
      </c>
      <c r="EX122" s="28">
        <v>0</v>
      </c>
      <c r="EY122" s="28">
        <v>0</v>
      </c>
      <c r="EZ122" s="28">
        <v>0</v>
      </c>
      <c r="FA122" s="28">
        <v>5.85233637362548E-3</v>
      </c>
      <c r="FB122" s="28">
        <v>9.8686425096982397E-4</v>
      </c>
      <c r="FC122" s="28">
        <v>0.13358752175435901</v>
      </c>
      <c r="FD122" s="28">
        <v>0</v>
      </c>
      <c r="FE122" s="28">
        <v>0</v>
      </c>
      <c r="FF122" s="28">
        <v>0</v>
      </c>
      <c r="FG122" s="28">
        <v>0</v>
      </c>
      <c r="FH122" s="28">
        <v>0</v>
      </c>
      <c r="FI122" s="28">
        <v>0</v>
      </c>
      <c r="FJ122" s="28">
        <v>0</v>
      </c>
      <c r="FK122" s="28">
        <v>0</v>
      </c>
      <c r="FL122" s="28">
        <v>0</v>
      </c>
      <c r="FM122" s="28">
        <v>0</v>
      </c>
      <c r="FN122" s="28">
        <v>4.3208837777664703E-2</v>
      </c>
      <c r="FO122" s="28">
        <v>0</v>
      </c>
      <c r="FP122" s="28">
        <v>0</v>
      </c>
      <c r="FQ122" s="28">
        <v>6.3940740617714504E-3</v>
      </c>
      <c r="FR122" s="28">
        <v>0</v>
      </c>
      <c r="FS122" s="28">
        <v>0</v>
      </c>
      <c r="FT122" s="28">
        <v>0</v>
      </c>
      <c r="FU122" s="28">
        <v>0</v>
      </c>
      <c r="FV122" s="28">
        <v>0</v>
      </c>
      <c r="FW122" s="28">
        <v>6.9170000000000004E-3</v>
      </c>
      <c r="FX122" s="28">
        <v>0</v>
      </c>
      <c r="FY122" s="28">
        <v>1.2960000000000001E-4</v>
      </c>
      <c r="FZ122" s="28">
        <v>0</v>
      </c>
      <c r="GA122" s="28">
        <v>0</v>
      </c>
      <c r="GB122" s="28">
        <v>0</v>
      </c>
      <c r="GC122" s="28">
        <v>0</v>
      </c>
      <c r="GD122" s="28">
        <v>0</v>
      </c>
      <c r="GE122" s="28">
        <v>0</v>
      </c>
      <c r="GF122" s="28">
        <v>0</v>
      </c>
      <c r="GG122" s="28">
        <v>21.718107839999998</v>
      </c>
      <c r="GH122" s="28">
        <v>0</v>
      </c>
      <c r="GI122" s="28">
        <v>1.0267791799999999</v>
      </c>
      <c r="GJ122" s="28">
        <v>0</v>
      </c>
      <c r="GK122" s="28">
        <v>7.9059692178492398</v>
      </c>
      <c r="GL122" s="28">
        <v>0</v>
      </c>
      <c r="GM122" s="28">
        <v>0</v>
      </c>
      <c r="GN122" s="28">
        <v>0</v>
      </c>
      <c r="GO122" s="28">
        <v>0</v>
      </c>
      <c r="GP122" s="28">
        <v>0</v>
      </c>
      <c r="GQ122" s="21">
        <v>540.18515412729209</v>
      </c>
      <c r="GR122" s="21">
        <v>53.730218524883</v>
      </c>
      <c r="GS122" s="20">
        <v>53.730218524883</v>
      </c>
      <c r="GT122" s="20">
        <v>0</v>
      </c>
      <c r="GU122" s="20">
        <v>0</v>
      </c>
      <c r="GV122" s="20">
        <v>0</v>
      </c>
      <c r="GW122" s="20">
        <v>0</v>
      </c>
      <c r="GX122" s="21">
        <v>0.31744317862397475</v>
      </c>
      <c r="GY122" s="20">
        <v>0</v>
      </c>
      <c r="GZ122" s="20">
        <v>0.31744317862397475</v>
      </c>
      <c r="HA122" s="20"/>
      <c r="HB122" s="21">
        <v>17.715672888</v>
      </c>
      <c r="HC122" s="21">
        <v>611.94848871879901</v>
      </c>
    </row>
    <row r="123" spans="1:211" s="7" customFormat="1" ht="17.25" customHeight="1">
      <c r="A123" s="7">
        <f t="shared" si="9"/>
        <v>123</v>
      </c>
      <c r="B123" s="26" t="s">
        <v>549</v>
      </c>
      <c r="C123" s="9" t="s">
        <v>550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1061.5763137817</v>
      </c>
      <c r="CU123" s="28">
        <v>3.9357953057072001E-2</v>
      </c>
      <c r="CV123" s="28">
        <v>117.244937860723</v>
      </c>
      <c r="CW123" s="28">
        <v>0</v>
      </c>
      <c r="CX123" s="28">
        <v>0.33362003710459898</v>
      </c>
      <c r="CY123" s="28">
        <v>1.18205786666732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1.0850315934027699</v>
      </c>
      <c r="DH123" s="28">
        <v>0.66542222814920804</v>
      </c>
      <c r="DI123" s="28">
        <v>1.23293100976547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2.01645299052934E-2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5.2226362311137198</v>
      </c>
      <c r="ET123" s="28">
        <v>0.22811373539285701</v>
      </c>
      <c r="EU123" s="28">
        <v>8.0586514650351493E-3</v>
      </c>
      <c r="EV123" s="28">
        <v>0.46796690433413501</v>
      </c>
      <c r="EW123" s="28">
        <v>0</v>
      </c>
      <c r="EX123" s="28">
        <v>0</v>
      </c>
      <c r="EY123" s="28">
        <v>0</v>
      </c>
      <c r="EZ123" s="28">
        <v>0</v>
      </c>
      <c r="FA123" s="28">
        <v>0</v>
      </c>
      <c r="FB123" s="28">
        <v>0</v>
      </c>
      <c r="FC123" s="28">
        <v>0.24693972546457499</v>
      </c>
      <c r="FD123" s="28">
        <v>0</v>
      </c>
      <c r="FE123" s="28">
        <v>0</v>
      </c>
      <c r="FF123" s="28">
        <v>0.51857101275567996</v>
      </c>
      <c r="FG123" s="28">
        <v>0.17133821306116701</v>
      </c>
      <c r="FH123" s="28">
        <v>0</v>
      </c>
      <c r="FI123" s="28">
        <v>0</v>
      </c>
      <c r="FJ123" s="28">
        <v>0</v>
      </c>
      <c r="FK123" s="28">
        <v>0</v>
      </c>
      <c r="FL123" s="28">
        <v>0</v>
      </c>
      <c r="FM123" s="28">
        <v>0</v>
      </c>
      <c r="FN123" s="28">
        <v>0</v>
      </c>
      <c r="FO123" s="28">
        <v>0</v>
      </c>
      <c r="FP123" s="28">
        <v>0</v>
      </c>
      <c r="FQ123" s="28">
        <v>9.8064190804434903E-2</v>
      </c>
      <c r="FR123" s="28">
        <v>0</v>
      </c>
      <c r="FS123" s="28">
        <v>0</v>
      </c>
      <c r="FT123" s="28">
        <v>0</v>
      </c>
      <c r="FU123" s="28">
        <v>0</v>
      </c>
      <c r="FV123" s="28">
        <v>0</v>
      </c>
      <c r="FW123" s="28">
        <v>0</v>
      </c>
      <c r="FX123" s="28">
        <v>0</v>
      </c>
      <c r="FY123" s="28">
        <v>0</v>
      </c>
      <c r="FZ123" s="28">
        <v>0</v>
      </c>
      <c r="GA123" s="28">
        <v>2.8569124446261398E-3</v>
      </c>
      <c r="GB123" s="28">
        <v>0</v>
      </c>
      <c r="GC123" s="28">
        <v>0</v>
      </c>
      <c r="GD123" s="28">
        <v>0</v>
      </c>
      <c r="GE123" s="28">
        <v>14.8663453589035</v>
      </c>
      <c r="GF123" s="28">
        <v>2.3542246840146599</v>
      </c>
      <c r="GG123" s="28">
        <v>0</v>
      </c>
      <c r="GH123" s="28">
        <v>0</v>
      </c>
      <c r="GI123" s="28">
        <v>0</v>
      </c>
      <c r="GJ123" s="28">
        <v>0</v>
      </c>
      <c r="GK123" s="28">
        <v>0</v>
      </c>
      <c r="GL123" s="28">
        <v>0</v>
      </c>
      <c r="GM123" s="28">
        <v>0</v>
      </c>
      <c r="GN123" s="28">
        <v>0</v>
      </c>
      <c r="GO123" s="28">
        <v>0</v>
      </c>
      <c r="GP123" s="28">
        <v>0</v>
      </c>
      <c r="GQ123" s="21">
        <v>1207.564952480227</v>
      </c>
      <c r="GR123" s="21">
        <v>551.40886840092003</v>
      </c>
      <c r="GS123" s="20">
        <v>551.40886840092003</v>
      </c>
      <c r="GT123" s="20">
        <v>0</v>
      </c>
      <c r="GU123" s="20">
        <v>0</v>
      </c>
      <c r="GV123" s="20">
        <v>0</v>
      </c>
      <c r="GW123" s="20">
        <v>0</v>
      </c>
      <c r="GX123" s="21">
        <v>100.75397461116627</v>
      </c>
      <c r="GY123" s="20">
        <v>0</v>
      </c>
      <c r="GZ123" s="20">
        <v>100.75397461116627</v>
      </c>
      <c r="HA123" s="20"/>
      <c r="HB123" s="21">
        <v>2.7741617615999998</v>
      </c>
      <c r="HC123" s="21">
        <v>1862.5019572539134</v>
      </c>
    </row>
    <row r="124" spans="1:211" s="7" customFormat="1" ht="17.25" customHeight="1">
      <c r="A124" s="7">
        <f t="shared" si="9"/>
        <v>124</v>
      </c>
      <c r="B124" s="26" t="s">
        <v>551</v>
      </c>
      <c r="C124" s="9" t="s">
        <v>552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2.15423750536163E-3</v>
      </c>
      <c r="T124" s="28">
        <v>0</v>
      </c>
      <c r="U124" s="28">
        <v>0</v>
      </c>
      <c r="V124" s="28">
        <v>0</v>
      </c>
      <c r="W124" s="28">
        <v>1.2452248111697701E-3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1.0345307720369399E-2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0.45021528817942902</v>
      </c>
      <c r="AL124" s="28">
        <v>0</v>
      </c>
      <c r="AM124" s="28">
        <v>0</v>
      </c>
      <c r="AN124" s="28">
        <v>1.32070644079857</v>
      </c>
      <c r="AO124" s="28">
        <v>0.97882815518125299</v>
      </c>
      <c r="AP124" s="28">
        <v>0.28242400669750001</v>
      </c>
      <c r="AQ124" s="28">
        <v>0.327627464237562</v>
      </c>
      <c r="AR124" s="28">
        <v>1.3444817822192201</v>
      </c>
      <c r="AS124" s="28">
        <v>7.4197521711627697E-3</v>
      </c>
      <c r="AT124" s="28">
        <v>31.909328741507998</v>
      </c>
      <c r="AU124" s="28">
        <v>0.49860297716251101</v>
      </c>
      <c r="AV124" s="28">
        <v>26.631880782883702</v>
      </c>
      <c r="AW124" s="28">
        <v>11.9383224162713</v>
      </c>
      <c r="AX124" s="28">
        <v>51.775742877737699</v>
      </c>
      <c r="AY124" s="28">
        <v>4.3318243766889301E-2</v>
      </c>
      <c r="AZ124" s="28">
        <v>3.6379873718253402</v>
      </c>
      <c r="BA124" s="28">
        <v>1.3697728719733699</v>
      </c>
      <c r="BB124" s="28">
        <v>0.42612535352258302</v>
      </c>
      <c r="BC124" s="28">
        <v>13.1503534846482</v>
      </c>
      <c r="BD124" s="28">
        <v>0</v>
      </c>
      <c r="BE124" s="28">
        <v>0</v>
      </c>
      <c r="BF124" s="28">
        <v>0</v>
      </c>
      <c r="BG124" s="28">
        <v>0.23944722729110501</v>
      </c>
      <c r="BH124" s="28">
        <v>5.4587261560378701</v>
      </c>
      <c r="BI124" s="28">
        <v>1.7711991651146199</v>
      </c>
      <c r="BJ124" s="28">
        <v>1.50425845101315</v>
      </c>
      <c r="BK124" s="28">
        <v>0</v>
      </c>
      <c r="BL124" s="28">
        <v>0.603222681880765</v>
      </c>
      <c r="BM124" s="28">
        <v>0.28209266017029599</v>
      </c>
      <c r="BN124" s="28">
        <v>0.51047254175573398</v>
      </c>
      <c r="BO124" s="28">
        <v>0.85572080333777401</v>
      </c>
      <c r="BP124" s="28">
        <v>4.5449371204736898E-3</v>
      </c>
      <c r="BQ124" s="28">
        <v>0.17020268564885799</v>
      </c>
      <c r="BR124" s="28">
        <v>0.65729295905595098</v>
      </c>
      <c r="BS124" s="28">
        <v>0</v>
      </c>
      <c r="BT124" s="28">
        <v>0</v>
      </c>
      <c r="BU124" s="28">
        <v>0.24915609795590701</v>
      </c>
      <c r="BV124" s="28">
        <v>2.42744879251762</v>
      </c>
      <c r="BW124" s="28">
        <v>0</v>
      </c>
      <c r="BX124" s="28">
        <v>2.8681384652180699E-2</v>
      </c>
      <c r="BY124" s="28">
        <v>0.29092738602922003</v>
      </c>
      <c r="BZ124" s="28">
        <v>1.4775598606698099</v>
      </c>
      <c r="CA124" s="28">
        <v>0</v>
      </c>
      <c r="CB124" s="28">
        <v>2.2108551979889302</v>
      </c>
      <c r="CC124" s="28">
        <v>0.12118885866048799</v>
      </c>
      <c r="CD124" s="28">
        <v>1.59219523403087</v>
      </c>
      <c r="CE124" s="28">
        <v>0.54138662959192996</v>
      </c>
      <c r="CF124" s="28">
        <v>0</v>
      </c>
      <c r="CG124" s="28">
        <v>0.84574291258339696</v>
      </c>
      <c r="CH124" s="28">
        <v>0.114161170308375</v>
      </c>
      <c r="CI124" s="28">
        <v>0.25573289394378701</v>
      </c>
      <c r="CJ124" s="28">
        <v>0.58286252092017699</v>
      </c>
      <c r="CK124" s="28">
        <v>0</v>
      </c>
      <c r="CL124" s="28">
        <v>0.10243781535191</v>
      </c>
      <c r="CM124" s="28">
        <v>2.1067703024085298</v>
      </c>
      <c r="CN124" s="28">
        <v>0</v>
      </c>
      <c r="CO124" s="28">
        <v>0</v>
      </c>
      <c r="CP124" s="28">
        <v>0.98848357332088799</v>
      </c>
      <c r="CQ124" s="28">
        <v>0.41772565245628401</v>
      </c>
      <c r="CR124" s="28">
        <v>0.11375925667955</v>
      </c>
      <c r="CS124" s="28">
        <v>1.5542869081183901E-2</v>
      </c>
      <c r="CT124" s="28">
        <v>0.18875166395471099</v>
      </c>
      <c r="CU124" s="28">
        <v>0.22041177611981599</v>
      </c>
      <c r="CV124" s="28">
        <v>8.3945082188378508E-3</v>
      </c>
      <c r="CW124" s="28">
        <v>0.90089333119721104</v>
      </c>
      <c r="CX124" s="28">
        <v>8.0409995606985904E-2</v>
      </c>
      <c r="CY124" s="28">
        <v>1.08372524651087E-2</v>
      </c>
      <c r="CZ124" s="28">
        <v>0</v>
      </c>
      <c r="DA124" s="28">
        <v>0.29365946449736802</v>
      </c>
      <c r="DB124" s="28">
        <v>4.0584196220340099</v>
      </c>
      <c r="DC124" s="28">
        <v>0.25485118225919501</v>
      </c>
      <c r="DD124" s="28">
        <v>6.6461790530287404E-2</v>
      </c>
      <c r="DE124" s="28">
        <v>0</v>
      </c>
      <c r="DF124" s="28">
        <v>0.22202638794069099</v>
      </c>
      <c r="DG124" s="28">
        <v>2.42103068480787</v>
      </c>
      <c r="DH124" s="28">
        <v>1.78516062995169</v>
      </c>
      <c r="DI124" s="28">
        <v>5.1125106699698601E-2</v>
      </c>
      <c r="DJ124" s="28">
        <v>1.8466225119101201</v>
      </c>
      <c r="DK124" s="28">
        <v>0</v>
      </c>
      <c r="DL124" s="28">
        <v>0.245321598482654</v>
      </c>
      <c r="DM124" s="28">
        <v>2.4453143325420201E-2</v>
      </c>
      <c r="DN124" s="28">
        <v>1.26292652585111</v>
      </c>
      <c r="DO124" s="28">
        <v>2.1112332957735801E-2</v>
      </c>
      <c r="DP124" s="28">
        <v>0</v>
      </c>
      <c r="DQ124" s="28">
        <v>0.40763103903563302</v>
      </c>
      <c r="DR124" s="28">
        <v>3.44932665070698</v>
      </c>
      <c r="DS124" s="28">
        <v>0.553871918814688</v>
      </c>
      <c r="DT124" s="28">
        <v>0.19997432973361201</v>
      </c>
      <c r="DU124" s="28">
        <v>2.1527223908464501</v>
      </c>
      <c r="DV124" s="28">
        <v>0.16324925381522901</v>
      </c>
      <c r="DW124" s="28">
        <v>0</v>
      </c>
      <c r="DX124" s="28">
        <v>3.0142463100188999</v>
      </c>
      <c r="DY124" s="28">
        <v>3.23138063140855</v>
      </c>
      <c r="DZ124" s="28">
        <v>4.6159384250607802</v>
      </c>
      <c r="EA124" s="28">
        <v>0</v>
      </c>
      <c r="EB124" s="28">
        <v>0.82492298417502097</v>
      </c>
      <c r="EC124" s="28">
        <v>1.51442551431562</v>
      </c>
      <c r="ED124" s="28">
        <v>1.8780525758623401</v>
      </c>
      <c r="EE124" s="28">
        <v>0.43114384194066802</v>
      </c>
      <c r="EF124" s="28">
        <v>1.71458544674095</v>
      </c>
      <c r="EG124" s="28">
        <v>9.4474527928702506E-2</v>
      </c>
      <c r="EH124" s="28">
        <v>3.2621520120929601E-2</v>
      </c>
      <c r="EI124" s="28">
        <v>1.5366115109471E-2</v>
      </c>
      <c r="EJ124" s="28">
        <v>2.1642902469776999</v>
      </c>
      <c r="EK124" s="28">
        <v>0</v>
      </c>
      <c r="EL124" s="28">
        <v>1.50133210552661</v>
      </c>
      <c r="EM124" s="28">
        <v>1.1210665467794301E-3</v>
      </c>
      <c r="EN124" s="28">
        <v>0</v>
      </c>
      <c r="EO124" s="28">
        <v>0.29489138876934201</v>
      </c>
      <c r="EP124" s="28">
        <v>0</v>
      </c>
      <c r="EQ124" s="28">
        <v>0</v>
      </c>
      <c r="ER124" s="28">
        <v>3.35991352387758E-2</v>
      </c>
      <c r="ES124" s="28">
        <v>0</v>
      </c>
      <c r="ET124" s="28">
        <v>0</v>
      </c>
      <c r="EU124" s="28">
        <v>0</v>
      </c>
      <c r="EV124" s="28">
        <v>0</v>
      </c>
      <c r="EW124" s="28">
        <v>0</v>
      </c>
      <c r="EX124" s="28">
        <v>0.121407417660319</v>
      </c>
      <c r="EY124" s="28">
        <v>0.37768799308443202</v>
      </c>
      <c r="EZ124" s="28">
        <v>0.32910184292248801</v>
      </c>
      <c r="FA124" s="28">
        <v>3.5904500788888698</v>
      </c>
      <c r="FB124" s="28">
        <v>5.1887906307884197</v>
      </c>
      <c r="FC124" s="28">
        <v>1.1625139619668501</v>
      </c>
      <c r="FD124" s="28">
        <v>4.3218059277081403E-2</v>
      </c>
      <c r="FE124" s="28">
        <v>0</v>
      </c>
      <c r="FF124" s="28">
        <v>0.21638700891905399</v>
      </c>
      <c r="FG124" s="28">
        <v>4.5836833889962998</v>
      </c>
      <c r="FH124" s="28">
        <v>0.15173026589418201</v>
      </c>
      <c r="FI124" s="28">
        <v>10.9262053311786</v>
      </c>
      <c r="FJ124" s="28">
        <v>2.06949706086486</v>
      </c>
      <c r="FK124" s="28">
        <v>0</v>
      </c>
      <c r="FL124" s="28">
        <v>6.5599256129536103</v>
      </c>
      <c r="FM124" s="28">
        <v>0.18577885</v>
      </c>
      <c r="FN124" s="28">
        <v>4.4944603974525998</v>
      </c>
      <c r="FO124" s="28">
        <v>7.0572155366441097E-3</v>
      </c>
      <c r="FP124" s="28">
        <v>1.83677906619565</v>
      </c>
      <c r="FQ124" s="28">
        <v>6.8933951790399002</v>
      </c>
      <c r="FR124" s="28">
        <v>0.151145443193899</v>
      </c>
      <c r="FS124" s="28">
        <v>8.6132464086939606</v>
      </c>
      <c r="FT124" s="28">
        <v>2.9227132143496002</v>
      </c>
      <c r="FU124" s="28">
        <v>1.7123642692433001</v>
      </c>
      <c r="FV124" s="28">
        <v>0.494513129629991</v>
      </c>
      <c r="FW124" s="28">
        <v>4.8332479999999997E-2</v>
      </c>
      <c r="FX124" s="28">
        <v>8.5368612954264407</v>
      </c>
      <c r="FY124" s="28">
        <v>3.9886487900000001</v>
      </c>
      <c r="FZ124" s="28">
        <v>0</v>
      </c>
      <c r="GA124" s="28">
        <v>0.25157217742481203</v>
      </c>
      <c r="GB124" s="28">
        <v>5.8225385495732001</v>
      </c>
      <c r="GC124" s="28">
        <v>3.6779940989107298</v>
      </c>
      <c r="GD124" s="28">
        <v>15.9381812050232</v>
      </c>
      <c r="GE124" s="28">
        <v>4.7651245849506401</v>
      </c>
      <c r="GF124" s="28">
        <v>17.500442346651599</v>
      </c>
      <c r="GG124" s="28">
        <v>115.49373001287</v>
      </c>
      <c r="GH124" s="28">
        <v>21.8546254508834</v>
      </c>
      <c r="GI124" s="28">
        <v>5.3341730299999996</v>
      </c>
      <c r="GJ124" s="28">
        <v>6.9676536981221098</v>
      </c>
      <c r="GK124" s="28">
        <v>16.514590516123</v>
      </c>
      <c r="GL124" s="28">
        <v>8.0007938888246206E-3</v>
      </c>
      <c r="GM124" s="28">
        <v>76.766134597012098</v>
      </c>
      <c r="GN124" s="28">
        <v>0.975283054345774</v>
      </c>
      <c r="GO124" s="28">
        <v>0.18093875274878499</v>
      </c>
      <c r="GP124" s="28">
        <v>0</v>
      </c>
      <c r="GQ124" s="21">
        <v>582.15559564658827</v>
      </c>
      <c r="GR124" s="21">
        <v>5809.4302482844896</v>
      </c>
      <c r="GS124" s="20">
        <v>5726.030520704142</v>
      </c>
      <c r="GT124" s="20">
        <v>23.948437056417717</v>
      </c>
      <c r="GU124" s="20">
        <v>59.45129052392997</v>
      </c>
      <c r="GV124" s="20">
        <v>59.45129052392997</v>
      </c>
      <c r="GW124" s="20">
        <v>0</v>
      </c>
      <c r="GX124" s="21">
        <v>20.037085178584242</v>
      </c>
      <c r="GY124" s="20">
        <v>0</v>
      </c>
      <c r="GZ124" s="20">
        <v>20.037085178584242</v>
      </c>
      <c r="HA124" s="20"/>
      <c r="HB124" s="21">
        <v>137.78840647325501</v>
      </c>
      <c r="HC124" s="21">
        <v>6549.4113355829177</v>
      </c>
    </row>
    <row r="125" spans="1:211" s="7" customFormat="1" ht="17.25" customHeight="1">
      <c r="A125" s="7">
        <f t="shared" si="9"/>
        <v>125</v>
      </c>
      <c r="B125" s="26" t="s">
        <v>553</v>
      </c>
      <c r="C125" s="9" t="s">
        <v>554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8.9603126628724403E-4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0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0.94531799999999999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0</v>
      </c>
      <c r="CJ125" s="28">
        <v>0</v>
      </c>
      <c r="CK125" s="28">
        <v>0</v>
      </c>
      <c r="CL125" s="28">
        <v>0</v>
      </c>
      <c r="CM125" s="28">
        <v>0</v>
      </c>
      <c r="CN125" s="28">
        <v>0</v>
      </c>
      <c r="CO125" s="28">
        <v>0</v>
      </c>
      <c r="CP125" s="28">
        <v>0</v>
      </c>
      <c r="CQ125" s="28">
        <v>0</v>
      </c>
      <c r="CR125" s="28">
        <v>0</v>
      </c>
      <c r="CS125" s="28">
        <v>0</v>
      </c>
      <c r="CT125" s="28">
        <v>0.427639851582653</v>
      </c>
      <c r="CU125" s="28">
        <v>0</v>
      </c>
      <c r="CV125" s="28">
        <v>0</v>
      </c>
      <c r="CW125" s="28">
        <v>0</v>
      </c>
      <c r="CX125" s="28">
        <v>0</v>
      </c>
      <c r="CY125" s="28">
        <v>0</v>
      </c>
      <c r="CZ125" s="28">
        <v>0</v>
      </c>
      <c r="DA125" s="28">
        <v>0</v>
      </c>
      <c r="DB125" s="28">
        <v>0</v>
      </c>
      <c r="DC125" s="28">
        <v>0</v>
      </c>
      <c r="DD125" s="28">
        <v>0</v>
      </c>
      <c r="DE125" s="28">
        <v>0</v>
      </c>
      <c r="DF125" s="28">
        <v>0</v>
      </c>
      <c r="DG125" s="28">
        <v>0</v>
      </c>
      <c r="DH125" s="28">
        <v>0</v>
      </c>
      <c r="DI125" s="28">
        <v>0</v>
      </c>
      <c r="DJ125" s="28">
        <v>0</v>
      </c>
      <c r="DK125" s="28">
        <v>0</v>
      </c>
      <c r="DL125" s="28">
        <v>0</v>
      </c>
      <c r="DM125" s="28">
        <v>0</v>
      </c>
      <c r="DN125" s="28">
        <v>0</v>
      </c>
      <c r="DO125" s="28">
        <v>0</v>
      </c>
      <c r="DP125" s="28">
        <v>0</v>
      </c>
      <c r="DQ125" s="28">
        <v>0</v>
      </c>
      <c r="DR125" s="28">
        <v>0</v>
      </c>
      <c r="DS125" s="28">
        <v>0</v>
      </c>
      <c r="DT125" s="28">
        <v>0</v>
      </c>
      <c r="DU125" s="28">
        <v>0</v>
      </c>
      <c r="DV125" s="28">
        <v>0</v>
      </c>
      <c r="DW125" s="28">
        <v>0</v>
      </c>
      <c r="DX125" s="28">
        <v>0</v>
      </c>
      <c r="DY125" s="28">
        <v>0</v>
      </c>
      <c r="DZ125" s="28">
        <v>0</v>
      </c>
      <c r="EA125" s="28">
        <v>8.0166775587250903E-3</v>
      </c>
      <c r="EB125" s="28">
        <v>0</v>
      </c>
      <c r="EC125" s="28">
        <v>0</v>
      </c>
      <c r="ED125" s="28">
        <v>0</v>
      </c>
      <c r="EE125" s="28">
        <v>0</v>
      </c>
      <c r="EF125" s="28">
        <v>0</v>
      </c>
      <c r="EG125" s="28">
        <v>0</v>
      </c>
      <c r="EH125" s="28">
        <v>0</v>
      </c>
      <c r="EI125" s="28">
        <v>0</v>
      </c>
      <c r="EJ125" s="28">
        <v>0</v>
      </c>
      <c r="EK125" s="28">
        <v>0</v>
      </c>
      <c r="EL125" s="28">
        <v>0</v>
      </c>
      <c r="EM125" s="28">
        <v>0</v>
      </c>
      <c r="EN125" s="28">
        <v>0</v>
      </c>
      <c r="EO125" s="28">
        <v>0</v>
      </c>
      <c r="EP125" s="28">
        <v>0</v>
      </c>
      <c r="EQ125" s="28">
        <v>0</v>
      </c>
      <c r="ER125" s="28">
        <v>0</v>
      </c>
      <c r="ES125" s="28">
        <v>0</v>
      </c>
      <c r="ET125" s="28">
        <v>0</v>
      </c>
      <c r="EU125" s="28">
        <v>0</v>
      </c>
      <c r="EV125" s="28">
        <v>0</v>
      </c>
      <c r="EW125" s="28">
        <v>0</v>
      </c>
      <c r="EX125" s="28">
        <v>0</v>
      </c>
      <c r="EY125" s="28">
        <v>0</v>
      </c>
      <c r="EZ125" s="28">
        <v>0</v>
      </c>
      <c r="FA125" s="28">
        <v>0</v>
      </c>
      <c r="FB125" s="28">
        <v>0</v>
      </c>
      <c r="FC125" s="28">
        <v>0</v>
      </c>
      <c r="FD125" s="28">
        <v>0</v>
      </c>
      <c r="FE125" s="28">
        <v>0</v>
      </c>
      <c r="FF125" s="28">
        <v>0</v>
      </c>
      <c r="FG125" s="28">
        <v>0</v>
      </c>
      <c r="FH125" s="28">
        <v>0</v>
      </c>
      <c r="FI125" s="28">
        <v>0</v>
      </c>
      <c r="FJ125" s="28">
        <v>0</v>
      </c>
      <c r="FK125" s="28">
        <v>0</v>
      </c>
      <c r="FL125" s="28">
        <v>0</v>
      </c>
      <c r="FM125" s="28">
        <v>0</v>
      </c>
      <c r="FN125" s="28">
        <v>0</v>
      </c>
      <c r="FO125" s="28">
        <v>0</v>
      </c>
      <c r="FP125" s="28">
        <v>2.1270862833121398</v>
      </c>
      <c r="FQ125" s="28">
        <v>0</v>
      </c>
      <c r="FR125" s="28">
        <v>0</v>
      </c>
      <c r="FS125" s="28">
        <v>0</v>
      </c>
      <c r="FT125" s="28">
        <v>0</v>
      </c>
      <c r="FU125" s="28">
        <v>0</v>
      </c>
      <c r="FV125" s="28">
        <v>0</v>
      </c>
      <c r="FW125" s="28">
        <v>0</v>
      </c>
      <c r="FX125" s="28">
        <v>0</v>
      </c>
      <c r="FY125" s="28">
        <v>0</v>
      </c>
      <c r="FZ125" s="28">
        <v>0</v>
      </c>
      <c r="GA125" s="28">
        <v>0</v>
      </c>
      <c r="GB125" s="28">
        <v>0</v>
      </c>
      <c r="GC125" s="28">
        <v>0</v>
      </c>
      <c r="GD125" s="28">
        <v>0</v>
      </c>
      <c r="GE125" s="28">
        <v>0</v>
      </c>
      <c r="GF125" s="28">
        <v>0</v>
      </c>
      <c r="GG125" s="28">
        <v>0</v>
      </c>
      <c r="GH125" s="28">
        <v>0</v>
      </c>
      <c r="GI125" s="28">
        <v>0.35289822999999998</v>
      </c>
      <c r="GJ125" s="28">
        <v>0</v>
      </c>
      <c r="GK125" s="28">
        <v>0.47071926494820499</v>
      </c>
      <c r="GL125" s="28">
        <v>0</v>
      </c>
      <c r="GM125" s="28">
        <v>0</v>
      </c>
      <c r="GN125" s="28">
        <v>0</v>
      </c>
      <c r="GO125" s="28">
        <v>0</v>
      </c>
      <c r="GP125" s="28">
        <v>0</v>
      </c>
      <c r="GQ125" s="21">
        <v>4.3325743386680102</v>
      </c>
      <c r="GR125" s="21">
        <v>647.25622919013301</v>
      </c>
      <c r="GS125" s="20">
        <v>647.25622919013301</v>
      </c>
      <c r="GT125" s="20">
        <v>0</v>
      </c>
      <c r="GU125" s="20">
        <v>0</v>
      </c>
      <c r="GV125" s="20">
        <v>0</v>
      </c>
      <c r="GW125" s="20">
        <v>0</v>
      </c>
      <c r="GX125" s="21">
        <v>-97.230190724420581</v>
      </c>
      <c r="GY125" s="20">
        <v>0</v>
      </c>
      <c r="GZ125" s="20">
        <v>-97.230190724420581</v>
      </c>
      <c r="HA125" s="20"/>
      <c r="HB125" s="21">
        <v>76.524153762015402</v>
      </c>
      <c r="HC125" s="21">
        <v>630.88276656639584</v>
      </c>
    </row>
    <row r="126" spans="1:211" s="7" customFormat="1" ht="17.25" customHeight="1">
      <c r="A126" s="7">
        <f t="shared" si="9"/>
        <v>126</v>
      </c>
      <c r="B126" s="26" t="s">
        <v>555</v>
      </c>
      <c r="C126" s="9" t="s">
        <v>556</v>
      </c>
      <c r="D126" s="28">
        <v>8.8791017982523299E-2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14.1485890817239</v>
      </c>
      <c r="N126" s="28">
        <v>0</v>
      </c>
      <c r="O126" s="28">
        <v>4.3655034987411003</v>
      </c>
      <c r="P126" s="28">
        <v>0</v>
      </c>
      <c r="Q126" s="28">
        <v>0</v>
      </c>
      <c r="R126" s="28">
        <v>0</v>
      </c>
      <c r="S126" s="28">
        <v>8.7463117597966801E-3</v>
      </c>
      <c r="T126" s="28">
        <v>0</v>
      </c>
      <c r="U126" s="28">
        <v>0</v>
      </c>
      <c r="V126" s="28">
        <v>0</v>
      </c>
      <c r="W126" s="28">
        <v>2.7733362616087698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8.1917614482164405E-2</v>
      </c>
      <c r="AF126" s="28">
        <v>0</v>
      </c>
      <c r="AG126" s="28">
        <v>0</v>
      </c>
      <c r="AH126" s="28">
        <v>0.82721371198677696</v>
      </c>
      <c r="AI126" s="28">
        <v>3.1916963869455901</v>
      </c>
      <c r="AJ126" s="28">
        <v>6.7381133976969002E-2</v>
      </c>
      <c r="AK126" s="28">
        <v>0</v>
      </c>
      <c r="AL126" s="28">
        <v>0</v>
      </c>
      <c r="AM126" s="28">
        <v>0</v>
      </c>
      <c r="AN126" s="28">
        <v>0</v>
      </c>
      <c r="AO126" s="28">
        <v>0.13171461606146101</v>
      </c>
      <c r="AP126" s="28">
        <v>0</v>
      </c>
      <c r="AQ126" s="28">
        <v>0.212047775464868</v>
      </c>
      <c r="AR126" s="28">
        <v>0.14835661045177601</v>
      </c>
      <c r="AS126" s="28">
        <v>0</v>
      </c>
      <c r="AT126" s="28">
        <v>0</v>
      </c>
      <c r="AU126" s="28">
        <v>0</v>
      </c>
      <c r="AV126" s="28">
        <v>0</v>
      </c>
      <c r="AW126" s="28">
        <v>16.0137399113896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2.3617354664201898E-2</v>
      </c>
      <c r="BR126" s="28">
        <v>0</v>
      </c>
      <c r="BS126" s="28">
        <v>0</v>
      </c>
      <c r="BT126" s="28">
        <v>0</v>
      </c>
      <c r="BU126" s="28">
        <v>0</v>
      </c>
      <c r="BV126" s="28">
        <v>0.209841</v>
      </c>
      <c r="BW126" s="28">
        <v>0</v>
      </c>
      <c r="BX126" s="28">
        <v>0</v>
      </c>
      <c r="BY126" s="28">
        <v>0</v>
      </c>
      <c r="BZ126" s="28">
        <v>0</v>
      </c>
      <c r="CA126" s="28">
        <v>6.8825304443813398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4.1296057701110804</v>
      </c>
      <c r="CJ126" s="28">
        <v>8.2274097297531004E-2</v>
      </c>
      <c r="CK126" s="28">
        <v>2.0619895309209799E-2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104.918018805985</v>
      </c>
      <c r="CU126" s="28">
        <v>3.1551576588017798</v>
      </c>
      <c r="CV126" s="28">
        <v>10.8038487084466</v>
      </c>
      <c r="CW126" s="28">
        <v>0</v>
      </c>
      <c r="CX126" s="28">
        <v>4.2463935540726201</v>
      </c>
      <c r="CY126" s="28">
        <v>0.23395914100791701</v>
      </c>
      <c r="CZ126" s="28">
        <v>0.34209055560426699</v>
      </c>
      <c r="DA126" s="28">
        <v>0</v>
      </c>
      <c r="DB126" s="28">
        <v>0</v>
      </c>
      <c r="DC126" s="28">
        <v>0</v>
      </c>
      <c r="DD126" s="28">
        <v>0.19472599808493499</v>
      </c>
      <c r="DE126" s="28">
        <v>0</v>
      </c>
      <c r="DF126" s="28">
        <v>0</v>
      </c>
      <c r="DG126" s="28">
        <v>0</v>
      </c>
      <c r="DH126" s="28">
        <v>0</v>
      </c>
      <c r="DI126" s="28">
        <v>0</v>
      </c>
      <c r="DJ126" s="28">
        <v>0</v>
      </c>
      <c r="DK126" s="28">
        <v>0</v>
      </c>
      <c r="DL126" s="28">
        <v>0</v>
      </c>
      <c r="DM126" s="28">
        <v>0</v>
      </c>
      <c r="DN126" s="28">
        <v>0</v>
      </c>
      <c r="DO126" s="28">
        <v>0.23178316432069099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0</v>
      </c>
      <c r="EA126" s="28">
        <v>0</v>
      </c>
      <c r="EB126" s="28">
        <v>0</v>
      </c>
      <c r="EC126" s="28">
        <v>0</v>
      </c>
      <c r="ED126" s="28">
        <v>0</v>
      </c>
      <c r="EE126" s="28">
        <v>3.1047034903614899E-2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0.92516909871256103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0.21016583820366799</v>
      </c>
      <c r="ES126" s="28">
        <v>4.6407484109557098</v>
      </c>
      <c r="ET126" s="28">
        <v>9.9223788752595894</v>
      </c>
      <c r="EU126" s="28">
        <v>0</v>
      </c>
      <c r="EV126" s="28">
        <v>27.149006551404799</v>
      </c>
      <c r="EW126" s="28">
        <v>0</v>
      </c>
      <c r="EX126" s="28">
        <v>1.2530362656011399E-2</v>
      </c>
      <c r="EY126" s="28">
        <v>3.2614113350904701E-2</v>
      </c>
      <c r="EZ126" s="28">
        <v>1.09367685807052E-2</v>
      </c>
      <c r="FA126" s="28">
        <v>8.5935800221303496E-2</v>
      </c>
      <c r="FB126" s="28">
        <v>1.7029936298513699E-2</v>
      </c>
      <c r="FC126" s="28">
        <v>21.1845137500279</v>
      </c>
      <c r="FD126" s="28">
        <v>3.0288152369510701</v>
      </c>
      <c r="FE126" s="28">
        <v>13.0474488281391</v>
      </c>
      <c r="FF126" s="28">
        <v>0</v>
      </c>
      <c r="FG126" s="28">
        <v>2.9122548075862902</v>
      </c>
      <c r="FH126" s="28">
        <v>0</v>
      </c>
      <c r="FI126" s="28">
        <v>2.4055916419202501</v>
      </c>
      <c r="FJ126" s="28">
        <v>0</v>
      </c>
      <c r="FK126" s="28">
        <v>0</v>
      </c>
      <c r="FL126" s="28">
        <v>0</v>
      </c>
      <c r="FM126" s="28">
        <v>1.3999999999999999E-4</v>
      </c>
      <c r="FN126" s="28">
        <v>0.54425601960504499</v>
      </c>
      <c r="FO126" s="28">
        <v>0</v>
      </c>
      <c r="FP126" s="28">
        <v>1.5885282079840699</v>
      </c>
      <c r="FQ126" s="28">
        <v>0.96765884167273297</v>
      </c>
      <c r="FR126" s="28">
        <v>0</v>
      </c>
      <c r="FS126" s="28">
        <v>30.342385707411701</v>
      </c>
      <c r="FT126" s="28">
        <v>16.350661794054101</v>
      </c>
      <c r="FU126" s="28">
        <v>3.8608661886179898E-3</v>
      </c>
      <c r="FV126" s="28">
        <v>0</v>
      </c>
      <c r="FW126" s="28">
        <v>0</v>
      </c>
      <c r="FX126" s="28">
        <v>0</v>
      </c>
      <c r="FY126" s="28">
        <v>1.8750961604921099</v>
      </c>
      <c r="FZ126" s="28">
        <v>0</v>
      </c>
      <c r="GA126" s="28">
        <v>0</v>
      </c>
      <c r="GB126" s="28">
        <v>0</v>
      </c>
      <c r="GC126" s="28">
        <v>0</v>
      </c>
      <c r="GD126" s="28">
        <v>0</v>
      </c>
      <c r="GE126" s="28">
        <v>0</v>
      </c>
      <c r="GF126" s="28">
        <v>0</v>
      </c>
      <c r="GG126" s="28">
        <v>18.794393583000002</v>
      </c>
      <c r="GH126" s="28">
        <v>3.1266472353712597E-2</v>
      </c>
      <c r="GI126" s="28">
        <v>11.65434467</v>
      </c>
      <c r="GJ126" s="28">
        <v>18.574467950158802</v>
      </c>
      <c r="GK126" s="28">
        <v>9.4667089790970191</v>
      </c>
      <c r="GL126" s="28">
        <v>7.0301977426803997E-2</v>
      </c>
      <c r="GM126" s="28">
        <v>0</v>
      </c>
      <c r="GN126" s="28">
        <v>0</v>
      </c>
      <c r="GO126" s="28">
        <v>0</v>
      </c>
      <c r="GP126" s="28">
        <v>0</v>
      </c>
      <c r="GQ126" s="21">
        <v>373.41375836527902</v>
      </c>
      <c r="GR126" s="21">
        <v>340.938154996874</v>
      </c>
      <c r="GS126" s="20">
        <v>327.02334657837309</v>
      </c>
      <c r="GT126" s="20">
        <v>0.14718101094536601</v>
      </c>
      <c r="GU126" s="20">
        <v>13.767627407555565</v>
      </c>
      <c r="GV126" s="20">
        <v>13.767627407555565</v>
      </c>
      <c r="GW126" s="20">
        <v>0</v>
      </c>
      <c r="GX126" s="21">
        <v>-3.5752101774782998</v>
      </c>
      <c r="GY126" s="20">
        <v>0</v>
      </c>
      <c r="GZ126" s="20">
        <v>-3.5752101774782998</v>
      </c>
      <c r="HA126" s="20"/>
      <c r="HB126" s="21">
        <v>8.2595370960000007</v>
      </c>
      <c r="HC126" s="21">
        <v>719.03624028067475</v>
      </c>
    </row>
    <row r="127" spans="1:211" s="7" customFormat="1" ht="17.25" customHeight="1">
      <c r="A127" s="7">
        <f t="shared" si="9"/>
        <v>127</v>
      </c>
      <c r="B127" s="26" t="s">
        <v>557</v>
      </c>
      <c r="C127" s="9" t="s">
        <v>558</v>
      </c>
      <c r="D127" s="28">
        <v>0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0.28811624080787002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4.0060543198890004</v>
      </c>
      <c r="CU127" s="28">
        <v>99.043723169515005</v>
      </c>
      <c r="CV127" s="28">
        <v>0</v>
      </c>
      <c r="CW127" s="28">
        <v>0</v>
      </c>
      <c r="CX127" s="28">
        <v>56.332483909808602</v>
      </c>
      <c r="CY127" s="28">
        <v>220.54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1.0915655420139201</v>
      </c>
      <c r="ET127" s="28">
        <v>4.4268620479444E-2</v>
      </c>
      <c r="EU127" s="28">
        <v>0</v>
      </c>
      <c r="EV127" s="28">
        <v>0</v>
      </c>
      <c r="EW127" s="28">
        <v>0</v>
      </c>
      <c r="EX127" s="28">
        <v>0</v>
      </c>
      <c r="EY127" s="28">
        <v>0</v>
      </c>
      <c r="EZ127" s="28">
        <v>0</v>
      </c>
      <c r="FA127" s="28">
        <v>0</v>
      </c>
      <c r="FB127" s="28">
        <v>0</v>
      </c>
      <c r="FC127" s="28">
        <v>0</v>
      </c>
      <c r="FD127" s="28">
        <v>0</v>
      </c>
      <c r="FE127" s="28">
        <v>0</v>
      </c>
      <c r="FF127" s="28">
        <v>0</v>
      </c>
      <c r="FG127" s="28">
        <v>0</v>
      </c>
      <c r="FH127" s="28">
        <v>0</v>
      </c>
      <c r="FI127" s="28">
        <v>0</v>
      </c>
      <c r="FJ127" s="28">
        <v>0</v>
      </c>
      <c r="FK127" s="28">
        <v>0</v>
      </c>
      <c r="FL127" s="28">
        <v>0</v>
      </c>
      <c r="FM127" s="28">
        <v>0</v>
      </c>
      <c r="FN127" s="28">
        <v>0</v>
      </c>
      <c r="FO127" s="28">
        <v>0</v>
      </c>
      <c r="FP127" s="28">
        <v>0</v>
      </c>
      <c r="FQ127" s="28">
        <v>0</v>
      </c>
      <c r="FR127" s="28">
        <v>0</v>
      </c>
      <c r="FS127" s="28">
        <v>0</v>
      </c>
      <c r="FT127" s="28">
        <v>0</v>
      </c>
      <c r="FU127" s="28">
        <v>0</v>
      </c>
      <c r="FV127" s="28">
        <v>0</v>
      </c>
      <c r="FW127" s="28">
        <v>0</v>
      </c>
      <c r="FX127" s="28">
        <v>8.0000000000000002E-3</v>
      </c>
      <c r="FY127" s="28">
        <v>0</v>
      </c>
      <c r="FZ127" s="28">
        <v>0</v>
      </c>
      <c r="GA127" s="28">
        <v>0</v>
      </c>
      <c r="GB127" s="28">
        <v>0</v>
      </c>
      <c r="GC127" s="28">
        <v>0</v>
      </c>
      <c r="GD127" s="28">
        <v>0</v>
      </c>
      <c r="GE127" s="28">
        <v>0</v>
      </c>
      <c r="GF127" s="28">
        <v>0</v>
      </c>
      <c r="GG127" s="28">
        <v>0</v>
      </c>
      <c r="GH127" s="28">
        <v>0</v>
      </c>
      <c r="GI127" s="28">
        <v>0</v>
      </c>
      <c r="GJ127" s="28">
        <v>0</v>
      </c>
      <c r="GK127" s="28">
        <v>0</v>
      </c>
      <c r="GL127" s="28">
        <v>0</v>
      </c>
      <c r="GM127" s="28">
        <v>0</v>
      </c>
      <c r="GN127" s="28">
        <v>0</v>
      </c>
      <c r="GO127" s="28">
        <v>0</v>
      </c>
      <c r="GP127" s="28">
        <v>0</v>
      </c>
      <c r="GQ127" s="21">
        <v>381.35421180251427</v>
      </c>
      <c r="GR127" s="21">
        <v>6.6057155988913596</v>
      </c>
      <c r="GS127" s="20">
        <v>6.6057155988913596</v>
      </c>
      <c r="GT127" s="20">
        <v>0</v>
      </c>
      <c r="GU127" s="20">
        <v>0</v>
      </c>
      <c r="GV127" s="20">
        <v>0</v>
      </c>
      <c r="GW127" s="20">
        <v>0</v>
      </c>
      <c r="GX127" s="21">
        <v>37.916247919799098</v>
      </c>
      <c r="GY127" s="20">
        <v>0</v>
      </c>
      <c r="GZ127" s="20">
        <v>37.916247919799098</v>
      </c>
      <c r="HA127" s="20"/>
      <c r="HB127" s="21">
        <v>321.83700089689597</v>
      </c>
      <c r="HC127" s="21">
        <v>747.71317621810067</v>
      </c>
    </row>
    <row r="128" spans="1:211" s="7" customFormat="1" ht="17.25" customHeight="1">
      <c r="A128" s="7">
        <f t="shared" si="9"/>
        <v>128</v>
      </c>
      <c r="B128" s="26" t="s">
        <v>559</v>
      </c>
      <c r="C128" s="9" t="s">
        <v>560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0.666305483701221</v>
      </c>
      <c r="CZ128" s="28">
        <v>0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1.1013293935772901E-2</v>
      </c>
      <c r="DI128" s="28">
        <v>0.50385520286035301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0.29429031553777601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5.28319027463586E-2</v>
      </c>
      <c r="ES128" s="28">
        <v>0</v>
      </c>
      <c r="ET128" s="28">
        <v>0</v>
      </c>
      <c r="EU128" s="28">
        <v>0</v>
      </c>
      <c r="EV128" s="28">
        <v>0</v>
      </c>
      <c r="EW128" s="28">
        <v>0</v>
      </c>
      <c r="EX128" s="28">
        <v>0</v>
      </c>
      <c r="EY128" s="28">
        <v>0</v>
      </c>
      <c r="EZ128" s="28">
        <v>0</v>
      </c>
      <c r="FA128" s="28">
        <v>0</v>
      </c>
      <c r="FB128" s="28">
        <v>0</v>
      </c>
      <c r="FC128" s="28">
        <v>0</v>
      </c>
      <c r="FD128" s="28">
        <v>0</v>
      </c>
      <c r="FE128" s="28">
        <v>0</v>
      </c>
      <c r="FF128" s="28">
        <v>0</v>
      </c>
      <c r="FG128" s="28">
        <v>0</v>
      </c>
      <c r="FH128" s="28">
        <v>0</v>
      </c>
      <c r="FI128" s="28">
        <v>0</v>
      </c>
      <c r="FJ128" s="28">
        <v>0</v>
      </c>
      <c r="FK128" s="28">
        <v>0</v>
      </c>
      <c r="FL128" s="28">
        <v>0</v>
      </c>
      <c r="FM128" s="28">
        <v>0</v>
      </c>
      <c r="FN128" s="28">
        <v>0</v>
      </c>
      <c r="FO128" s="28">
        <v>0</v>
      </c>
      <c r="FP128" s="28">
        <v>0</v>
      </c>
      <c r="FQ128" s="28">
        <v>0</v>
      </c>
      <c r="FR128" s="28">
        <v>0</v>
      </c>
      <c r="FS128" s="28">
        <v>0</v>
      </c>
      <c r="FT128" s="28">
        <v>0</v>
      </c>
      <c r="FU128" s="28">
        <v>0</v>
      </c>
      <c r="FV128" s="28">
        <v>0</v>
      </c>
      <c r="FW128" s="28">
        <v>1.9987499999999998E-2</v>
      </c>
      <c r="FX128" s="28">
        <v>0</v>
      </c>
      <c r="FY128" s="28">
        <v>0</v>
      </c>
      <c r="FZ128" s="28">
        <v>0</v>
      </c>
      <c r="GA128" s="28">
        <v>0</v>
      </c>
      <c r="GB128" s="28">
        <v>0</v>
      </c>
      <c r="GC128" s="28">
        <v>0</v>
      </c>
      <c r="GD128" s="28">
        <v>0</v>
      </c>
      <c r="GE128" s="28">
        <v>0</v>
      </c>
      <c r="GF128" s="28">
        <v>0</v>
      </c>
      <c r="GG128" s="28">
        <v>3.5337495961999998</v>
      </c>
      <c r="GH128" s="28">
        <v>0</v>
      </c>
      <c r="GI128" s="28">
        <v>0</v>
      </c>
      <c r="GJ128" s="28">
        <v>0</v>
      </c>
      <c r="GK128" s="28">
        <v>0</v>
      </c>
      <c r="GL128" s="28">
        <v>0</v>
      </c>
      <c r="GM128" s="28">
        <v>0</v>
      </c>
      <c r="GN128" s="28">
        <v>0</v>
      </c>
      <c r="GO128" s="28">
        <v>0</v>
      </c>
      <c r="GP128" s="28">
        <v>0</v>
      </c>
      <c r="GQ128" s="21">
        <v>5.0820332949814819</v>
      </c>
      <c r="GR128" s="21">
        <v>542.14447265949298</v>
      </c>
      <c r="GS128" s="20">
        <v>542.14447265949298</v>
      </c>
      <c r="GT128" s="20">
        <v>0</v>
      </c>
      <c r="GU128" s="20">
        <v>0</v>
      </c>
      <c r="GV128" s="20">
        <v>0</v>
      </c>
      <c r="GW128" s="20">
        <v>0</v>
      </c>
      <c r="GX128" s="21">
        <v>7.0948522388249824</v>
      </c>
      <c r="GY128" s="20">
        <v>0</v>
      </c>
      <c r="GZ128" s="20">
        <v>7.0948522388249824</v>
      </c>
      <c r="HA128" s="20"/>
      <c r="HB128" s="21">
        <v>13.2466553013933</v>
      </c>
      <c r="HC128" s="21">
        <v>567.56801349469265</v>
      </c>
    </row>
    <row r="129" spans="1:211" s="7" customFormat="1" ht="17.25" customHeight="1">
      <c r="A129" s="7">
        <f t="shared" si="9"/>
        <v>129</v>
      </c>
      <c r="B129" s="26" t="s">
        <v>561</v>
      </c>
      <c r="C129" s="9" t="s">
        <v>562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6.7698736489320297E-3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0.46952910097577</v>
      </c>
      <c r="AL129" s="28">
        <v>0</v>
      </c>
      <c r="AM129" s="28">
        <v>0</v>
      </c>
      <c r="AN129" s="28">
        <v>1.33864332675827</v>
      </c>
      <c r="AO129" s="28">
        <v>0.38009469027958398</v>
      </c>
      <c r="AP129" s="28">
        <v>0</v>
      </c>
      <c r="AQ129" s="28">
        <v>0.21841830949171001</v>
      </c>
      <c r="AR129" s="28">
        <v>1.1126745783883201</v>
      </c>
      <c r="AS129" s="28">
        <v>2.5335044543848498E-3</v>
      </c>
      <c r="AT129" s="28">
        <v>1.8298588168046099</v>
      </c>
      <c r="AU129" s="28">
        <v>2.8504833737770598E-2</v>
      </c>
      <c r="AV129" s="28">
        <v>0.33659938963388503</v>
      </c>
      <c r="AW129" s="28">
        <v>0</v>
      </c>
      <c r="AX129" s="28">
        <v>0</v>
      </c>
      <c r="AY129" s="28">
        <v>0</v>
      </c>
      <c r="AZ129" s="28">
        <v>6.8581618018949506E-2</v>
      </c>
      <c r="BA129" s="28">
        <v>0.10320012696259501</v>
      </c>
      <c r="BB129" s="28">
        <v>1.6669829461081202E-2</v>
      </c>
      <c r="BC129" s="28">
        <v>0</v>
      </c>
      <c r="BD129" s="28">
        <v>2.7299648586690799E-3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28">
        <v>0</v>
      </c>
      <c r="CG129" s="28">
        <v>0</v>
      </c>
      <c r="CH129" s="28">
        <v>0</v>
      </c>
      <c r="CI129" s="28">
        <v>0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  <c r="CR129" s="28">
        <v>0</v>
      </c>
      <c r="CS129" s="28">
        <v>0</v>
      </c>
      <c r="CT129" s="28">
        <v>0</v>
      </c>
      <c r="CU129" s="28">
        <v>7.9822028966579098E-2</v>
      </c>
      <c r="CV129" s="28">
        <v>0</v>
      </c>
      <c r="CW129" s="28">
        <v>0</v>
      </c>
      <c r="CX129" s="28">
        <v>0</v>
      </c>
      <c r="CY129" s="28">
        <v>97.175241491517994</v>
      </c>
      <c r="CZ129" s="28">
        <v>0</v>
      </c>
      <c r="DA129" s="28">
        <v>0</v>
      </c>
      <c r="DB129" s="28">
        <v>0</v>
      </c>
      <c r="DC129" s="28">
        <v>0</v>
      </c>
      <c r="DD129" s="28">
        <v>0</v>
      </c>
      <c r="DE129" s="28">
        <v>0</v>
      </c>
      <c r="DF129" s="28">
        <v>0</v>
      </c>
      <c r="DG129" s="28">
        <v>0</v>
      </c>
      <c r="DH129" s="28">
        <v>0</v>
      </c>
      <c r="DI129" s="28">
        <v>0</v>
      </c>
      <c r="DJ129" s="28">
        <v>1.05848120195484</v>
      </c>
      <c r="DK129" s="28">
        <v>0</v>
      </c>
      <c r="DL129" s="28">
        <v>0</v>
      </c>
      <c r="DM129" s="28">
        <v>0</v>
      </c>
      <c r="DN129" s="28">
        <v>0</v>
      </c>
      <c r="DO129" s="28">
        <v>0</v>
      </c>
      <c r="DP129" s="28">
        <v>0</v>
      </c>
      <c r="DQ129" s="28">
        <v>0</v>
      </c>
      <c r="DR129" s="28">
        <v>0</v>
      </c>
      <c r="DS129" s="28">
        <v>0</v>
      </c>
      <c r="DT129" s="28">
        <v>0</v>
      </c>
      <c r="DU129" s="28">
        <v>0</v>
      </c>
      <c r="DV129" s="28">
        <v>0</v>
      </c>
      <c r="DW129" s="28">
        <v>0</v>
      </c>
      <c r="DX129" s="28">
        <v>0</v>
      </c>
      <c r="DY129" s="28">
        <v>0</v>
      </c>
      <c r="DZ129" s="28">
        <v>0</v>
      </c>
      <c r="EA129" s="28">
        <v>0</v>
      </c>
      <c r="EB129" s="28">
        <v>0</v>
      </c>
      <c r="EC129" s="28">
        <v>0</v>
      </c>
      <c r="ED129" s="28">
        <v>1.57208272501644</v>
      </c>
      <c r="EE129" s="28">
        <v>0.122279093379421</v>
      </c>
      <c r="EF129" s="28">
        <v>0.78291267101944995</v>
      </c>
      <c r="EG129" s="28">
        <v>1.27110369751292</v>
      </c>
      <c r="EH129" s="28">
        <v>0.43890491705339302</v>
      </c>
      <c r="EI129" s="28">
        <v>0.207218636539895</v>
      </c>
      <c r="EJ129" s="28">
        <v>3.1380485281952098E-3</v>
      </c>
      <c r="EK129" s="28">
        <v>0</v>
      </c>
      <c r="EL129" s="28">
        <v>0</v>
      </c>
      <c r="EM129" s="28">
        <v>0</v>
      </c>
      <c r="EN129" s="28">
        <v>0</v>
      </c>
      <c r="EO129" s="28">
        <v>0</v>
      </c>
      <c r="EP129" s="28">
        <v>0</v>
      </c>
      <c r="EQ129" s="28">
        <v>0</v>
      </c>
      <c r="ER129" s="28">
        <v>0</v>
      </c>
      <c r="ES129" s="28">
        <v>0</v>
      </c>
      <c r="ET129" s="28">
        <v>0</v>
      </c>
      <c r="EU129" s="28">
        <v>0</v>
      </c>
      <c r="EV129" s="28">
        <v>0</v>
      </c>
      <c r="EW129" s="28">
        <v>0</v>
      </c>
      <c r="EX129" s="28">
        <v>4.85002410478165E-2</v>
      </c>
      <c r="EY129" s="28">
        <v>0.12623675806548401</v>
      </c>
      <c r="EZ129" s="28">
        <v>0.43098480792312299</v>
      </c>
      <c r="FA129" s="28">
        <v>0.32229550195191398</v>
      </c>
      <c r="FB129" s="28">
        <v>0.42951990387165201</v>
      </c>
      <c r="FC129" s="28">
        <v>0.116106207864936</v>
      </c>
      <c r="FD129" s="28">
        <v>6.3575086422040501E-4</v>
      </c>
      <c r="FE129" s="28">
        <v>0</v>
      </c>
      <c r="FF129" s="28">
        <v>0</v>
      </c>
      <c r="FG129" s="28">
        <v>2.0108993984165702</v>
      </c>
      <c r="FH129" s="28">
        <v>0.105806472523001</v>
      </c>
      <c r="FI129" s="28">
        <v>9.9760448338812697</v>
      </c>
      <c r="FJ129" s="28">
        <v>0</v>
      </c>
      <c r="FK129" s="28">
        <v>0</v>
      </c>
      <c r="FL129" s="28">
        <v>0</v>
      </c>
      <c r="FM129" s="28">
        <v>5.6522000000000003E-2</v>
      </c>
      <c r="FN129" s="28">
        <v>0.57817886860792</v>
      </c>
      <c r="FO129" s="28">
        <v>0</v>
      </c>
      <c r="FP129" s="28">
        <v>0</v>
      </c>
      <c r="FQ129" s="28">
        <v>1.1484703472876401</v>
      </c>
      <c r="FR129" s="28">
        <v>0</v>
      </c>
      <c r="FS129" s="28">
        <v>0</v>
      </c>
      <c r="FT129" s="28">
        <v>0</v>
      </c>
      <c r="FU129" s="28">
        <v>0</v>
      </c>
      <c r="FV129" s="28">
        <v>0</v>
      </c>
      <c r="FW129" s="28">
        <v>0</v>
      </c>
      <c r="FX129" s="28">
        <v>8.5067472954264396</v>
      </c>
      <c r="FY129" s="28">
        <v>0</v>
      </c>
      <c r="FZ129" s="28">
        <v>0</v>
      </c>
      <c r="GA129" s="28">
        <v>1.19038018526089E-3</v>
      </c>
      <c r="GB129" s="28">
        <v>0</v>
      </c>
      <c r="GC129" s="28">
        <v>0</v>
      </c>
      <c r="GD129" s="28">
        <v>0</v>
      </c>
      <c r="GE129" s="28">
        <v>6.1943105662097704</v>
      </c>
      <c r="GF129" s="28">
        <v>5.8334807822172001</v>
      </c>
      <c r="GG129" s="28">
        <v>15.2554363582435</v>
      </c>
      <c r="GH129" s="28">
        <v>0</v>
      </c>
      <c r="GI129" s="28">
        <v>0.87502544999999998</v>
      </c>
      <c r="GJ129" s="28">
        <v>0</v>
      </c>
      <c r="GK129" s="28">
        <v>1.7123081683847201</v>
      </c>
      <c r="GL129" s="28">
        <v>8.1822146114321898E-3</v>
      </c>
      <c r="GM129" s="28">
        <v>0</v>
      </c>
      <c r="GN129" s="28">
        <v>0</v>
      </c>
      <c r="GO129" s="28">
        <v>0</v>
      </c>
      <c r="GP129" s="28">
        <v>0</v>
      </c>
      <c r="GQ129" s="21">
        <v>162.36287478254755</v>
      </c>
      <c r="GR129" s="21">
        <v>2608.9458762683698</v>
      </c>
      <c r="GS129" s="20">
        <v>2607.7970772267454</v>
      </c>
      <c r="GT129" s="20">
        <v>1.1487990416243561</v>
      </c>
      <c r="GU129" s="20">
        <v>0</v>
      </c>
      <c r="GV129" s="20">
        <v>0</v>
      </c>
      <c r="GW129" s="20">
        <v>0</v>
      </c>
      <c r="GX129" s="21">
        <v>58.363872713621554</v>
      </c>
      <c r="GY129" s="20">
        <v>0</v>
      </c>
      <c r="GZ129" s="20">
        <v>58.363872713621554</v>
      </c>
      <c r="HA129" s="20"/>
      <c r="HB129" s="21">
        <v>12.054527622903899</v>
      </c>
      <c r="HC129" s="21">
        <v>2841.727151387443</v>
      </c>
    </row>
    <row r="130" spans="1:211" s="7" customFormat="1" ht="17.25" customHeight="1">
      <c r="A130" s="7">
        <f t="shared" si="9"/>
        <v>130</v>
      </c>
      <c r="B130" s="26" t="s">
        <v>109</v>
      </c>
      <c r="C130" s="9" t="s">
        <v>563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0.35488189291150402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0.153380937019267</v>
      </c>
      <c r="AU130" s="28">
        <v>0</v>
      </c>
      <c r="AV130" s="28">
        <v>0.36049482734067301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0.20929962640149599</v>
      </c>
      <c r="CW130" s="28">
        <v>0</v>
      </c>
      <c r="CX130" s="28">
        <v>1.8504393668146299</v>
      </c>
      <c r="CY130" s="28">
        <v>0</v>
      </c>
      <c r="CZ130" s="28">
        <v>0</v>
      </c>
      <c r="DA130" s="28">
        <v>0</v>
      </c>
      <c r="DB130" s="28">
        <v>9.1855672909840802</v>
      </c>
      <c r="DC130" s="28">
        <v>227.31722302080399</v>
      </c>
      <c r="DD130" s="28">
        <v>0.369979396361376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9.5151795994668706E-2</v>
      </c>
      <c r="EA130" s="28">
        <v>0</v>
      </c>
      <c r="EB130" s="28">
        <v>0</v>
      </c>
      <c r="EC130" s="28">
        <v>0</v>
      </c>
      <c r="ED130" s="28">
        <v>0</v>
      </c>
      <c r="EE130" s="28">
        <v>3.7603932321955899E-2</v>
      </c>
      <c r="EF130" s="28">
        <v>0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5.0283972753652701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106.652102428804</v>
      </c>
      <c r="ET130" s="28">
        <v>0</v>
      </c>
      <c r="EU130" s="28">
        <v>2.0847274259975999</v>
      </c>
      <c r="EV130" s="28">
        <v>57.478458042568398</v>
      </c>
      <c r="EW130" s="28">
        <v>18.044698462666599</v>
      </c>
      <c r="EX130" s="28">
        <v>1.7814895818122602E-2</v>
      </c>
      <c r="EY130" s="28">
        <v>4.6066516911221003E-2</v>
      </c>
      <c r="EZ130" s="28">
        <v>1.54478777134437E-2</v>
      </c>
      <c r="FA130" s="28">
        <v>7.0222440708153006E-2</v>
      </c>
      <c r="FB130" s="28">
        <v>3.7443698863665997E-2</v>
      </c>
      <c r="FC130" s="28">
        <v>188.41569612109501</v>
      </c>
      <c r="FD130" s="28">
        <v>98.481597656994396</v>
      </c>
      <c r="FE130" s="28">
        <v>18.647083410607198</v>
      </c>
      <c r="FF130" s="28">
        <v>0</v>
      </c>
      <c r="FG130" s="28">
        <v>80.392492581312993</v>
      </c>
      <c r="FH130" s="28">
        <v>1.7808168762758001</v>
      </c>
      <c r="FI130" s="28">
        <v>0</v>
      </c>
      <c r="FJ130" s="28">
        <v>0</v>
      </c>
      <c r="FK130" s="28">
        <v>0</v>
      </c>
      <c r="FL130" s="28">
        <v>0</v>
      </c>
      <c r="FM130" s="28">
        <v>0</v>
      </c>
      <c r="FN130" s="28">
        <v>0</v>
      </c>
      <c r="FO130" s="28">
        <v>0</v>
      </c>
      <c r="FP130" s="28">
        <v>0</v>
      </c>
      <c r="FQ130" s="28">
        <v>0.58795494313417096</v>
      </c>
      <c r="FR130" s="28">
        <v>0</v>
      </c>
      <c r="FS130" s="28">
        <v>0</v>
      </c>
      <c r="FT130" s="28">
        <v>0</v>
      </c>
      <c r="FU130" s="28">
        <v>0</v>
      </c>
      <c r="FV130" s="28">
        <v>0</v>
      </c>
      <c r="FW130" s="28">
        <v>0</v>
      </c>
      <c r="FX130" s="28">
        <v>0</v>
      </c>
      <c r="FY130" s="28">
        <v>0</v>
      </c>
      <c r="FZ130" s="28">
        <v>0</v>
      </c>
      <c r="GA130" s="28">
        <v>0.27203586317209699</v>
      </c>
      <c r="GB130" s="28">
        <v>0</v>
      </c>
      <c r="GC130" s="28">
        <v>0</v>
      </c>
      <c r="GD130" s="28">
        <v>0</v>
      </c>
      <c r="GE130" s="28">
        <v>0</v>
      </c>
      <c r="GF130" s="28">
        <v>0</v>
      </c>
      <c r="GG130" s="28">
        <v>39.318902590795901</v>
      </c>
      <c r="GH130" s="28">
        <v>2.9019781400793102E-2</v>
      </c>
      <c r="GI130" s="28">
        <v>0</v>
      </c>
      <c r="GJ130" s="28">
        <v>0</v>
      </c>
      <c r="GK130" s="28">
        <v>0</v>
      </c>
      <c r="GL130" s="28">
        <v>0</v>
      </c>
      <c r="GM130" s="28">
        <v>0</v>
      </c>
      <c r="GN130" s="28">
        <v>0</v>
      </c>
      <c r="GO130" s="28">
        <v>10.3175372923638</v>
      </c>
      <c r="GP130" s="28">
        <v>0</v>
      </c>
      <c r="GQ130" s="21">
        <v>867.65253826952073</v>
      </c>
      <c r="GR130" s="21">
        <v>0</v>
      </c>
      <c r="GS130" s="20">
        <v>0</v>
      </c>
      <c r="GT130" s="20">
        <v>0</v>
      </c>
      <c r="GU130" s="20">
        <v>0</v>
      </c>
      <c r="GV130" s="20">
        <v>0</v>
      </c>
      <c r="GW130" s="20">
        <v>0</v>
      </c>
      <c r="GX130" s="21">
        <v>37.181667610603647</v>
      </c>
      <c r="GY130" s="20">
        <v>0</v>
      </c>
      <c r="GZ130" s="20">
        <v>37.181667610603647</v>
      </c>
      <c r="HA130" s="20"/>
      <c r="HB130" s="21">
        <v>127.150877868276</v>
      </c>
      <c r="HC130" s="21">
        <v>1031.9850837484005</v>
      </c>
    </row>
    <row r="131" spans="1:211" s="7" customFormat="1" ht="17.25" customHeight="1">
      <c r="A131" s="7">
        <f t="shared" si="9"/>
        <v>131</v>
      </c>
      <c r="B131" s="26" t="s">
        <v>110</v>
      </c>
      <c r="C131" s="10" t="s">
        <v>564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1.14188729673765E-2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5.4964877999237098E-2</v>
      </c>
      <c r="CC131" s="28">
        <v>3.0129204468930101E-3</v>
      </c>
      <c r="CD131" s="28">
        <v>3.9584146835613697E-2</v>
      </c>
      <c r="CE131" s="28">
        <v>1.3459610594582099E-2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  <c r="CR131" s="28">
        <v>0</v>
      </c>
      <c r="CS131" s="28">
        <v>0</v>
      </c>
      <c r="CT131" s="28">
        <v>0</v>
      </c>
      <c r="CU131" s="28">
        <v>0</v>
      </c>
      <c r="CV131" s="28">
        <v>0.25032874249440901</v>
      </c>
      <c r="CW131" s="28">
        <v>0</v>
      </c>
      <c r="CX131" s="28">
        <v>0</v>
      </c>
      <c r="CY131" s="28">
        <v>7.7960835666813805E-4</v>
      </c>
      <c r="CZ131" s="28">
        <v>0</v>
      </c>
      <c r="DA131" s="28">
        <v>0</v>
      </c>
      <c r="DB131" s="28">
        <v>52.9693456515351</v>
      </c>
      <c r="DC131" s="28">
        <v>441.771531677729</v>
      </c>
      <c r="DD131" s="28">
        <v>0</v>
      </c>
      <c r="DE131" s="28">
        <v>0</v>
      </c>
      <c r="DF131" s="28">
        <v>0</v>
      </c>
      <c r="DG131" s="28">
        <v>0</v>
      </c>
      <c r="DH131" s="28">
        <v>0.88372842747597702</v>
      </c>
      <c r="DI131" s="28">
        <v>0.80934908132385297</v>
      </c>
      <c r="DJ131" s="28">
        <v>0</v>
      </c>
      <c r="DK131" s="28">
        <v>0</v>
      </c>
      <c r="DL131" s="28">
        <v>0</v>
      </c>
      <c r="DM131" s="28">
        <v>0</v>
      </c>
      <c r="DN131" s="28">
        <v>4.9017000765174501</v>
      </c>
      <c r="DO131" s="28">
        <v>0</v>
      </c>
      <c r="DP131" s="28">
        <v>0</v>
      </c>
      <c r="DQ131" s="28">
        <v>0</v>
      </c>
      <c r="DR131" s="28">
        <v>0</v>
      </c>
      <c r="DS131" s="28">
        <v>0</v>
      </c>
      <c r="DT131" s="28">
        <v>0</v>
      </c>
      <c r="DU131" s="28">
        <v>0</v>
      </c>
      <c r="DV131" s="28">
        <v>0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0</v>
      </c>
      <c r="EI131" s="28">
        <v>0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0</v>
      </c>
      <c r="EP131" s="28">
        <v>0</v>
      </c>
      <c r="EQ131" s="28">
        <v>0</v>
      </c>
      <c r="ER131" s="28">
        <v>5.2814635515030801E-2</v>
      </c>
      <c r="ES131" s="28">
        <v>701.92936354145195</v>
      </c>
      <c r="ET131" s="28">
        <v>0</v>
      </c>
      <c r="EU131" s="28">
        <v>2.79563147317788E-2</v>
      </c>
      <c r="EV131" s="28">
        <v>17.810498533524299</v>
      </c>
      <c r="EW131" s="28">
        <v>0</v>
      </c>
      <c r="EX131" s="28">
        <v>0</v>
      </c>
      <c r="EY131" s="28">
        <v>0</v>
      </c>
      <c r="EZ131" s="28">
        <v>0</v>
      </c>
      <c r="FA131" s="28">
        <v>0</v>
      </c>
      <c r="FB131" s="28">
        <v>0</v>
      </c>
      <c r="FC131" s="28">
        <v>51.638831066877799</v>
      </c>
      <c r="FD131" s="28">
        <v>36.641175111305898</v>
      </c>
      <c r="FE131" s="28">
        <v>0</v>
      </c>
      <c r="FF131" s="28">
        <v>0</v>
      </c>
      <c r="FG131" s="28">
        <v>5.3472167361629998E-2</v>
      </c>
      <c r="FH131" s="28">
        <v>0</v>
      </c>
      <c r="FI131" s="28">
        <v>0</v>
      </c>
      <c r="FJ131" s="28">
        <v>0</v>
      </c>
      <c r="FK131" s="28">
        <v>0</v>
      </c>
      <c r="FL131" s="28">
        <v>0</v>
      </c>
      <c r="FM131" s="28">
        <v>0</v>
      </c>
      <c r="FN131" s="28">
        <v>0</v>
      </c>
      <c r="FO131" s="28">
        <v>0</v>
      </c>
      <c r="FP131" s="28">
        <v>0</v>
      </c>
      <c r="FQ131" s="28">
        <v>0</v>
      </c>
      <c r="FR131" s="28">
        <v>0</v>
      </c>
      <c r="FS131" s="28">
        <v>0</v>
      </c>
      <c r="FT131" s="28">
        <v>0</v>
      </c>
      <c r="FU131" s="28">
        <v>0</v>
      </c>
      <c r="FV131" s="28">
        <v>0</v>
      </c>
      <c r="FW131" s="28">
        <v>0</v>
      </c>
      <c r="FX131" s="28">
        <v>0</v>
      </c>
      <c r="FY131" s="28">
        <v>0</v>
      </c>
      <c r="FZ131" s="28">
        <v>0</v>
      </c>
      <c r="GA131" s="28">
        <v>0</v>
      </c>
      <c r="GB131" s="28">
        <v>0</v>
      </c>
      <c r="GC131" s="28">
        <v>0</v>
      </c>
      <c r="GD131" s="28">
        <v>0</v>
      </c>
      <c r="GE131" s="28">
        <v>0</v>
      </c>
      <c r="GF131" s="28">
        <v>0</v>
      </c>
      <c r="GG131" s="28">
        <v>0</v>
      </c>
      <c r="GH131" s="28">
        <v>3.9912644895730397E-2</v>
      </c>
      <c r="GI131" s="28">
        <v>0</v>
      </c>
      <c r="GJ131" s="28">
        <v>0</v>
      </c>
      <c r="GK131" s="28">
        <v>0.66196934127987395</v>
      </c>
      <c r="GL131" s="28">
        <v>0</v>
      </c>
      <c r="GM131" s="28">
        <v>0</v>
      </c>
      <c r="GN131" s="28">
        <v>0</v>
      </c>
      <c r="GO131" s="28">
        <v>0</v>
      </c>
      <c r="GP131" s="28">
        <v>0</v>
      </c>
      <c r="GQ131" s="21">
        <v>1310.5651970512204</v>
      </c>
      <c r="GR131" s="21">
        <v>70.876062492140605</v>
      </c>
      <c r="GS131" s="20">
        <v>70.876062492140605</v>
      </c>
      <c r="GT131" s="20">
        <v>0</v>
      </c>
      <c r="GU131" s="20">
        <v>0</v>
      </c>
      <c r="GV131" s="20">
        <v>0</v>
      </c>
      <c r="GW131" s="20">
        <v>0</v>
      </c>
      <c r="GX131" s="21">
        <v>-38.718111974463611</v>
      </c>
      <c r="GY131" s="20">
        <v>0</v>
      </c>
      <c r="GZ131" s="20">
        <v>-38.718111974463611</v>
      </c>
      <c r="HA131" s="20"/>
      <c r="HB131" s="21">
        <v>65.101560599999999</v>
      </c>
      <c r="HC131" s="21">
        <v>1407.8247081688974</v>
      </c>
    </row>
    <row r="132" spans="1:211" s="7" customFormat="1" ht="17.25" customHeight="1">
      <c r="A132" s="7">
        <f t="shared" si="9"/>
        <v>132</v>
      </c>
      <c r="B132" s="26" t="s">
        <v>111</v>
      </c>
      <c r="C132" s="10" t="s">
        <v>565</v>
      </c>
      <c r="D132" s="28">
        <v>0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0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0</v>
      </c>
      <c r="CU132" s="28">
        <v>0</v>
      </c>
      <c r="CV132" s="28">
        <v>0</v>
      </c>
      <c r="CW132" s="28">
        <v>0</v>
      </c>
      <c r="CX132" s="28">
        <v>0</v>
      </c>
      <c r="CY132" s="28">
        <v>0</v>
      </c>
      <c r="CZ132" s="28">
        <v>0</v>
      </c>
      <c r="DA132" s="28">
        <v>0</v>
      </c>
      <c r="DB132" s="28">
        <v>0</v>
      </c>
      <c r="DC132" s="28">
        <v>0</v>
      </c>
      <c r="DD132" s="28">
        <v>0</v>
      </c>
      <c r="DE132" s="28">
        <v>0</v>
      </c>
      <c r="DF132" s="28">
        <v>0</v>
      </c>
      <c r="DG132" s="28">
        <v>0</v>
      </c>
      <c r="DH132" s="28">
        <v>0</v>
      </c>
      <c r="DI132" s="28">
        <v>0</v>
      </c>
      <c r="DJ132" s="28">
        <v>0</v>
      </c>
      <c r="DK132" s="28">
        <v>0</v>
      </c>
      <c r="DL132" s="28">
        <v>0</v>
      </c>
      <c r="DM132" s="28">
        <v>0</v>
      </c>
      <c r="DN132" s="28">
        <v>0</v>
      </c>
      <c r="DO132" s="28">
        <v>0</v>
      </c>
      <c r="DP132" s="28">
        <v>0</v>
      </c>
      <c r="DQ132" s="28">
        <v>0</v>
      </c>
      <c r="DR132" s="28">
        <v>0</v>
      </c>
      <c r="DS132" s="28">
        <v>0</v>
      </c>
      <c r="DT132" s="28">
        <v>0</v>
      </c>
      <c r="DU132" s="28">
        <v>0</v>
      </c>
      <c r="DV132" s="28">
        <v>0</v>
      </c>
      <c r="DW132" s="28">
        <v>0</v>
      </c>
      <c r="DX132" s="28">
        <v>0</v>
      </c>
      <c r="DY132" s="28">
        <v>0</v>
      </c>
      <c r="DZ132" s="28">
        <v>0</v>
      </c>
      <c r="EA132" s="28">
        <v>0</v>
      </c>
      <c r="EB132" s="28">
        <v>0</v>
      </c>
      <c r="EC132" s="28">
        <v>0</v>
      </c>
      <c r="ED132" s="28">
        <v>0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0</v>
      </c>
      <c r="EK132" s="28">
        <v>0</v>
      </c>
      <c r="EL132" s="28">
        <v>0</v>
      </c>
      <c r="EM132" s="28">
        <v>0</v>
      </c>
      <c r="EN132" s="28">
        <v>0</v>
      </c>
      <c r="EO132" s="28">
        <v>0</v>
      </c>
      <c r="EP132" s="28">
        <v>0</v>
      </c>
      <c r="EQ132" s="28">
        <v>0</v>
      </c>
      <c r="ER132" s="28">
        <v>0</v>
      </c>
      <c r="ES132" s="28">
        <v>0</v>
      </c>
      <c r="ET132" s="28">
        <v>0</v>
      </c>
      <c r="EU132" s="28">
        <v>0</v>
      </c>
      <c r="EV132" s="28">
        <v>0</v>
      </c>
      <c r="EW132" s="28">
        <v>0</v>
      </c>
      <c r="EX132" s="28">
        <v>9.0974808432341698E-3</v>
      </c>
      <c r="EY132" s="28">
        <v>0</v>
      </c>
      <c r="EZ132" s="28">
        <v>0</v>
      </c>
      <c r="FA132" s="28">
        <v>0</v>
      </c>
      <c r="FB132" s="28">
        <v>0</v>
      </c>
      <c r="FC132" s="28">
        <v>738.532705883311</v>
      </c>
      <c r="FD132" s="28">
        <v>246.05690558728401</v>
      </c>
      <c r="FE132" s="28">
        <v>47.889209408492299</v>
      </c>
      <c r="FF132" s="28">
        <v>0</v>
      </c>
      <c r="FG132" s="28">
        <v>76.137380745293896</v>
      </c>
      <c r="FH132" s="28">
        <v>0</v>
      </c>
      <c r="FI132" s="28">
        <v>0</v>
      </c>
      <c r="FJ132" s="28">
        <v>0</v>
      </c>
      <c r="FK132" s="28">
        <v>0</v>
      </c>
      <c r="FL132" s="28">
        <v>0</v>
      </c>
      <c r="FM132" s="28">
        <v>0</v>
      </c>
      <c r="FN132" s="28">
        <v>0</v>
      </c>
      <c r="FO132" s="28">
        <v>0</v>
      </c>
      <c r="FP132" s="28">
        <v>0</v>
      </c>
      <c r="FQ132" s="28">
        <v>0</v>
      </c>
      <c r="FR132" s="28">
        <v>0</v>
      </c>
      <c r="FS132" s="28">
        <v>0</v>
      </c>
      <c r="FT132" s="28">
        <v>0</v>
      </c>
      <c r="FU132" s="28">
        <v>0</v>
      </c>
      <c r="FV132" s="28">
        <v>0</v>
      </c>
      <c r="FW132" s="28">
        <v>0</v>
      </c>
      <c r="FX132" s="28">
        <v>0</v>
      </c>
      <c r="FY132" s="28">
        <v>0</v>
      </c>
      <c r="FZ132" s="28">
        <v>0</v>
      </c>
      <c r="GA132" s="28">
        <v>0.76113688731277995</v>
      </c>
      <c r="GB132" s="28">
        <v>0</v>
      </c>
      <c r="GC132" s="28">
        <v>0</v>
      </c>
      <c r="GD132" s="28">
        <v>0</v>
      </c>
      <c r="GE132" s="28">
        <v>0</v>
      </c>
      <c r="GF132" s="28">
        <v>0</v>
      </c>
      <c r="GG132" s="28">
        <v>20.177168105997701</v>
      </c>
      <c r="GH132" s="28">
        <v>1.12003225483178E-2</v>
      </c>
      <c r="GI132" s="28">
        <v>2.2529599940000001E-3</v>
      </c>
      <c r="GJ132" s="28">
        <v>0</v>
      </c>
      <c r="GK132" s="28">
        <v>1.23954133818109</v>
      </c>
      <c r="GL132" s="28">
        <v>0</v>
      </c>
      <c r="GM132" s="28">
        <v>0</v>
      </c>
      <c r="GN132" s="28">
        <v>0</v>
      </c>
      <c r="GO132" s="28">
        <v>0</v>
      </c>
      <c r="GP132" s="28">
        <v>0</v>
      </c>
      <c r="GQ132" s="21">
        <v>1130.8165987192613</v>
      </c>
      <c r="GR132" s="21">
        <v>0</v>
      </c>
      <c r="GS132" s="20">
        <v>0</v>
      </c>
      <c r="GT132" s="20">
        <v>0</v>
      </c>
      <c r="GU132" s="20">
        <v>0</v>
      </c>
      <c r="GV132" s="20">
        <v>0</v>
      </c>
      <c r="GW132" s="20">
        <v>0</v>
      </c>
      <c r="GX132" s="21">
        <v>1.2316325126623322</v>
      </c>
      <c r="GY132" s="20">
        <v>0</v>
      </c>
      <c r="GZ132" s="20">
        <v>1.2316325126623322</v>
      </c>
      <c r="HA132" s="20"/>
      <c r="HB132" s="21">
        <v>131.212224200252</v>
      </c>
      <c r="HC132" s="21">
        <v>1263.2604554321756</v>
      </c>
    </row>
    <row r="133" spans="1:211" s="7" customFormat="1" ht="17.25" customHeight="1">
      <c r="A133" s="7">
        <f t="shared" si="9"/>
        <v>133</v>
      </c>
      <c r="B133" s="26" t="s">
        <v>566</v>
      </c>
      <c r="C133" s="10" t="s">
        <v>567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2.38709722617566E-2</v>
      </c>
      <c r="Q133" s="28">
        <v>0</v>
      </c>
      <c r="R133" s="28">
        <v>0</v>
      </c>
      <c r="S133" s="28">
        <v>2.62367428531903E-4</v>
      </c>
      <c r="T133" s="28">
        <v>0</v>
      </c>
      <c r="U133" s="28">
        <v>0</v>
      </c>
      <c r="V133" s="28">
        <v>0</v>
      </c>
      <c r="W133" s="28">
        <v>7.8241399233914199</v>
      </c>
      <c r="X133" s="28">
        <v>5.6840664031547101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6.6850401482410103E-3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3.2810949291047699E-2</v>
      </c>
      <c r="AL133" s="28">
        <v>0</v>
      </c>
      <c r="AM133" s="28">
        <v>0</v>
      </c>
      <c r="AN133" s="28">
        <v>0</v>
      </c>
      <c r="AO133" s="28">
        <v>8.6555319126102995E-2</v>
      </c>
      <c r="AP133" s="28">
        <v>0</v>
      </c>
      <c r="AQ133" s="28">
        <v>0.163813732118782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5.5141493679344604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1.9605472087860101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0</v>
      </c>
      <c r="DK133" s="28">
        <v>0</v>
      </c>
      <c r="DL133" s="28">
        <v>0</v>
      </c>
      <c r="DM133" s="28">
        <v>0</v>
      </c>
      <c r="DN133" s="28">
        <v>0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4.68784040499916E-2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  <c r="EU133" s="28">
        <v>0</v>
      </c>
      <c r="EV133" s="28">
        <v>0</v>
      </c>
      <c r="EW133" s="28">
        <v>0</v>
      </c>
      <c r="EX133" s="28">
        <v>0</v>
      </c>
      <c r="EY133" s="28">
        <v>0</v>
      </c>
      <c r="EZ133" s="28">
        <v>0</v>
      </c>
      <c r="FA133" s="28">
        <v>0</v>
      </c>
      <c r="FB133" s="28">
        <v>0</v>
      </c>
      <c r="FC133" s="28">
        <v>0</v>
      </c>
      <c r="FD133" s="28">
        <v>0</v>
      </c>
      <c r="FE133" s="28">
        <v>0</v>
      </c>
      <c r="FF133" s="28">
        <v>0</v>
      </c>
      <c r="FG133" s="28">
        <v>0</v>
      </c>
      <c r="FH133" s="28">
        <v>0</v>
      </c>
      <c r="FI133" s="28">
        <v>0</v>
      </c>
      <c r="FJ133" s="28">
        <v>0</v>
      </c>
      <c r="FK133" s="28">
        <v>0</v>
      </c>
      <c r="FL133" s="28">
        <v>0</v>
      </c>
      <c r="FM133" s="28">
        <v>0</v>
      </c>
      <c r="FN133" s="28">
        <v>0</v>
      </c>
      <c r="FO133" s="28">
        <v>0</v>
      </c>
      <c r="FP133" s="28">
        <v>0</v>
      </c>
      <c r="FQ133" s="28">
        <v>0</v>
      </c>
      <c r="FR133" s="28">
        <v>0</v>
      </c>
      <c r="FS133" s="28">
        <v>0</v>
      </c>
      <c r="FT133" s="28">
        <v>1.37244620223042</v>
      </c>
      <c r="FU133" s="28">
        <v>0</v>
      </c>
      <c r="FV133" s="28">
        <v>0</v>
      </c>
      <c r="FW133" s="28">
        <v>0</v>
      </c>
      <c r="FX133" s="28">
        <v>0</v>
      </c>
      <c r="FY133" s="28">
        <v>0</v>
      </c>
      <c r="FZ133" s="28">
        <v>0</v>
      </c>
      <c r="GA133" s="28">
        <v>0</v>
      </c>
      <c r="GB133" s="28">
        <v>0</v>
      </c>
      <c r="GC133" s="28">
        <v>0</v>
      </c>
      <c r="GD133" s="28">
        <v>0</v>
      </c>
      <c r="GE133" s="28">
        <v>0</v>
      </c>
      <c r="GF133" s="28">
        <v>0</v>
      </c>
      <c r="GG133" s="28">
        <v>0</v>
      </c>
      <c r="GH133" s="28">
        <v>0</v>
      </c>
      <c r="GI133" s="28">
        <v>0</v>
      </c>
      <c r="GJ133" s="28">
        <v>0</v>
      </c>
      <c r="GK133" s="28">
        <v>0</v>
      </c>
      <c r="GL133" s="28">
        <v>0</v>
      </c>
      <c r="GM133" s="28">
        <v>0</v>
      </c>
      <c r="GN133" s="28">
        <v>0</v>
      </c>
      <c r="GO133" s="28">
        <v>0</v>
      </c>
      <c r="GP133" s="28">
        <v>0</v>
      </c>
      <c r="GQ133" s="21">
        <v>22.716225889921457</v>
      </c>
      <c r="GR133" s="21">
        <v>80.765310874309506</v>
      </c>
      <c r="GS133" s="20">
        <v>80.765310874309506</v>
      </c>
      <c r="GT133" s="20">
        <v>0</v>
      </c>
      <c r="GU133" s="20">
        <v>0</v>
      </c>
      <c r="GV133" s="20">
        <v>0</v>
      </c>
      <c r="GW133" s="20">
        <v>0</v>
      </c>
      <c r="GX133" s="21">
        <v>-3.1314172178862072</v>
      </c>
      <c r="GY133" s="20">
        <v>0</v>
      </c>
      <c r="GZ133" s="20">
        <v>-3.1314172178862072</v>
      </c>
      <c r="HA133" s="20"/>
      <c r="HB133" s="21">
        <v>1.7489100325785101</v>
      </c>
      <c r="HC133" s="21">
        <v>102.09902957892326</v>
      </c>
    </row>
    <row r="134" spans="1:211" s="7" customFormat="1" ht="17.25" customHeight="1">
      <c r="A134" s="7">
        <f t="shared" si="9"/>
        <v>134</v>
      </c>
      <c r="B134" s="26" t="s">
        <v>114</v>
      </c>
      <c r="C134" s="9" t="s">
        <v>568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0</v>
      </c>
      <c r="CQ134" s="28">
        <v>0</v>
      </c>
      <c r="CR134" s="28">
        <v>0</v>
      </c>
      <c r="CS134" s="28">
        <v>0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0</v>
      </c>
      <c r="DA134" s="28">
        <v>0</v>
      </c>
      <c r="DB134" s="28">
        <v>0</v>
      </c>
      <c r="DC134" s="28">
        <v>0</v>
      </c>
      <c r="DD134" s="28">
        <v>0</v>
      </c>
      <c r="DE134" s="28">
        <v>0</v>
      </c>
      <c r="DF134" s="28">
        <v>5.9761374354300099</v>
      </c>
      <c r="DG134" s="28">
        <v>68.064109564570003</v>
      </c>
      <c r="DH134" s="28">
        <v>0</v>
      </c>
      <c r="DI134" s="28">
        <v>0</v>
      </c>
      <c r="DJ134" s="28">
        <v>0</v>
      </c>
      <c r="DK134" s="28">
        <v>0</v>
      </c>
      <c r="DL134" s="28">
        <v>0</v>
      </c>
      <c r="DM134" s="28">
        <v>0</v>
      </c>
      <c r="DN134" s="28">
        <v>0</v>
      </c>
      <c r="DO134" s="28">
        <v>0</v>
      </c>
      <c r="DP134" s="28">
        <v>0</v>
      </c>
      <c r="DQ134" s="28">
        <v>0</v>
      </c>
      <c r="DR134" s="28">
        <v>0</v>
      </c>
      <c r="DS134" s="28">
        <v>0</v>
      </c>
      <c r="DT134" s="28">
        <v>0</v>
      </c>
      <c r="DU134" s="28">
        <v>0</v>
      </c>
      <c r="DV134" s="28">
        <v>0</v>
      </c>
      <c r="DW134" s="28">
        <v>0</v>
      </c>
      <c r="DX134" s="28">
        <v>0</v>
      </c>
      <c r="DY134" s="28">
        <v>0</v>
      </c>
      <c r="DZ134" s="28">
        <v>0</v>
      </c>
      <c r="EA134" s="28">
        <v>0</v>
      </c>
      <c r="EB134" s="28">
        <v>0</v>
      </c>
      <c r="EC134" s="28">
        <v>0</v>
      </c>
      <c r="ED134" s="28">
        <v>0</v>
      </c>
      <c r="EE134" s="28">
        <v>0</v>
      </c>
      <c r="EF134" s="28">
        <v>0</v>
      </c>
      <c r="EG134" s="28">
        <v>0</v>
      </c>
      <c r="EH134" s="28">
        <v>0</v>
      </c>
      <c r="EI134" s="28">
        <v>0</v>
      </c>
      <c r="EJ134" s="28">
        <v>0</v>
      </c>
      <c r="EK134" s="28">
        <v>0</v>
      </c>
      <c r="EL134" s="28">
        <v>0</v>
      </c>
      <c r="EM134" s="28">
        <v>0</v>
      </c>
      <c r="EN134" s="28">
        <v>0</v>
      </c>
      <c r="EO134" s="28">
        <v>0</v>
      </c>
      <c r="EP134" s="28">
        <v>0</v>
      </c>
      <c r="EQ134" s="28">
        <v>0</v>
      </c>
      <c r="ER134" s="28">
        <v>0</v>
      </c>
      <c r="ES134" s="28">
        <v>0</v>
      </c>
      <c r="ET134" s="28">
        <v>0</v>
      </c>
      <c r="EU134" s="28">
        <v>0</v>
      </c>
      <c r="EV134" s="28">
        <v>0</v>
      </c>
      <c r="EW134" s="28">
        <v>0</v>
      </c>
      <c r="EX134" s="28">
        <v>0</v>
      </c>
      <c r="EY134" s="28">
        <v>0</v>
      </c>
      <c r="EZ134" s="28">
        <v>0</v>
      </c>
      <c r="FA134" s="28">
        <v>0</v>
      </c>
      <c r="FB134" s="28">
        <v>0</v>
      </c>
      <c r="FC134" s="28">
        <v>0</v>
      </c>
      <c r="FD134" s="28">
        <v>0</v>
      </c>
      <c r="FE134" s="28">
        <v>0</v>
      </c>
      <c r="FF134" s="28">
        <v>0</v>
      </c>
      <c r="FG134" s="28">
        <v>0</v>
      </c>
      <c r="FH134" s="28">
        <v>0</v>
      </c>
      <c r="FI134" s="28">
        <v>0</v>
      </c>
      <c r="FJ134" s="28">
        <v>0</v>
      </c>
      <c r="FK134" s="28">
        <v>0</v>
      </c>
      <c r="FL134" s="28">
        <v>0</v>
      </c>
      <c r="FM134" s="28">
        <v>0</v>
      </c>
      <c r="FN134" s="28">
        <v>0</v>
      </c>
      <c r="FO134" s="28">
        <v>0</v>
      </c>
      <c r="FP134" s="28">
        <v>0</v>
      </c>
      <c r="FQ134" s="28">
        <v>0</v>
      </c>
      <c r="FR134" s="28">
        <v>0</v>
      </c>
      <c r="FS134" s="28">
        <v>0</v>
      </c>
      <c r="FT134" s="28">
        <v>0</v>
      </c>
      <c r="FU134" s="28">
        <v>0</v>
      </c>
      <c r="FV134" s="28">
        <v>0</v>
      </c>
      <c r="FW134" s="28">
        <v>0</v>
      </c>
      <c r="FX134" s="28">
        <v>0</v>
      </c>
      <c r="FY134" s="28">
        <v>0</v>
      </c>
      <c r="FZ134" s="28">
        <v>0</v>
      </c>
      <c r="GA134" s="28">
        <v>0</v>
      </c>
      <c r="GB134" s="28">
        <v>0</v>
      </c>
      <c r="GC134" s="28">
        <v>0</v>
      </c>
      <c r="GD134" s="28">
        <v>0</v>
      </c>
      <c r="GE134" s="28">
        <v>0</v>
      </c>
      <c r="GF134" s="28">
        <v>0</v>
      </c>
      <c r="GG134" s="28">
        <v>0</v>
      </c>
      <c r="GH134" s="28">
        <v>0</v>
      </c>
      <c r="GI134" s="28">
        <v>0</v>
      </c>
      <c r="GJ134" s="28">
        <v>0</v>
      </c>
      <c r="GK134" s="28">
        <v>0</v>
      </c>
      <c r="GL134" s="28">
        <v>0</v>
      </c>
      <c r="GM134" s="28">
        <v>0</v>
      </c>
      <c r="GN134" s="28">
        <v>0</v>
      </c>
      <c r="GO134" s="28">
        <v>0</v>
      </c>
      <c r="GP134" s="28">
        <v>0</v>
      </c>
      <c r="GQ134" s="21">
        <v>74.040246999999994</v>
      </c>
      <c r="GR134" s="21">
        <v>0</v>
      </c>
      <c r="GS134" s="20">
        <v>0</v>
      </c>
      <c r="GT134" s="20">
        <v>0</v>
      </c>
      <c r="GU134" s="20">
        <v>0</v>
      </c>
      <c r="GV134" s="20">
        <v>0</v>
      </c>
      <c r="GW134" s="20">
        <v>0</v>
      </c>
      <c r="GX134" s="21">
        <v>2.366496352702395</v>
      </c>
      <c r="GY134" s="20">
        <v>0</v>
      </c>
      <c r="GZ134" s="20">
        <v>2.366496352702395</v>
      </c>
      <c r="HA134" s="20"/>
      <c r="HB134" s="21">
        <v>0</v>
      </c>
      <c r="HC134" s="21">
        <v>76.406743352702392</v>
      </c>
    </row>
    <row r="135" spans="1:211" s="7" customFormat="1" ht="17.25" customHeight="1">
      <c r="A135" s="7">
        <f t="shared" si="9"/>
        <v>135</v>
      </c>
      <c r="B135" s="26" t="s">
        <v>569</v>
      </c>
      <c r="C135" s="9" t="s">
        <v>570</v>
      </c>
      <c r="D135" s="28">
        <v>0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1.2637659289118501E-2</v>
      </c>
      <c r="T135" s="28">
        <v>0</v>
      </c>
      <c r="U135" s="28">
        <v>0</v>
      </c>
      <c r="V135" s="28">
        <v>0</v>
      </c>
      <c r="W135" s="28">
        <v>0</v>
      </c>
      <c r="X135" s="28">
        <v>4.6641733702381699E-2</v>
      </c>
      <c r="Y135" s="28">
        <v>0</v>
      </c>
      <c r="Z135" s="28">
        <v>0</v>
      </c>
      <c r="AA135" s="28">
        <v>0</v>
      </c>
      <c r="AB135" s="28">
        <v>0.254227165578787</v>
      </c>
      <c r="AC135" s="28">
        <v>0</v>
      </c>
      <c r="AD135" s="28">
        <v>0</v>
      </c>
      <c r="AE135" s="28">
        <v>3.13194516950827E-3</v>
      </c>
      <c r="AF135" s="28">
        <v>3.3055313304288299E-2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3.7563397861230499</v>
      </c>
      <c r="AM135" s="28">
        <v>0</v>
      </c>
      <c r="AN135" s="28">
        <v>0.32350547063324803</v>
      </c>
      <c r="AO135" s="28">
        <v>0.16512137500394</v>
      </c>
      <c r="AP135" s="28">
        <v>1.3665939939445999</v>
      </c>
      <c r="AQ135" s="28">
        <v>5.4604577371940098E-2</v>
      </c>
      <c r="AR135" s="28">
        <v>6.9542161149269893E-2</v>
      </c>
      <c r="AS135" s="28">
        <v>1.79649233082475E-3</v>
      </c>
      <c r="AT135" s="28">
        <v>1.39968336463608</v>
      </c>
      <c r="AU135" s="28">
        <v>0</v>
      </c>
      <c r="AV135" s="28">
        <v>2.5032137397465299</v>
      </c>
      <c r="AW135" s="28">
        <v>1.4235579263146101</v>
      </c>
      <c r="AX135" s="28">
        <v>0.73105575071722695</v>
      </c>
      <c r="AY135" s="28">
        <v>4.59676165948192E-3</v>
      </c>
      <c r="AZ135" s="28">
        <v>0.43300780237624398</v>
      </c>
      <c r="BA135" s="28">
        <v>0.91832626393499395</v>
      </c>
      <c r="BB135" s="28">
        <v>0.148336466824082</v>
      </c>
      <c r="BC135" s="28">
        <v>11.075449106139301</v>
      </c>
      <c r="BD135" s="28">
        <v>4.1297812967794598E-2</v>
      </c>
      <c r="BE135" s="28">
        <v>0</v>
      </c>
      <c r="BF135" s="28">
        <v>0</v>
      </c>
      <c r="BG135" s="28">
        <v>0</v>
      </c>
      <c r="BH135" s="28">
        <v>0.96492745818041303</v>
      </c>
      <c r="BI135" s="28">
        <v>1.0645798841426199</v>
      </c>
      <c r="BJ135" s="28">
        <v>0.78754414371484205</v>
      </c>
      <c r="BK135" s="28">
        <v>0</v>
      </c>
      <c r="BL135" s="28">
        <v>9.9697887480638308</v>
      </c>
      <c r="BM135" s="28">
        <v>1.0986136558238701E-2</v>
      </c>
      <c r="BN135" s="28">
        <v>3.7044941472791498E-2</v>
      </c>
      <c r="BO135" s="28">
        <v>0.38563376688416201</v>
      </c>
      <c r="BP135" s="28">
        <v>1.29999216574555E-4</v>
      </c>
      <c r="BQ135" s="28">
        <v>0.24021240351477899</v>
      </c>
      <c r="BR135" s="28">
        <v>3.76936866084914E-2</v>
      </c>
      <c r="BS135" s="28">
        <v>0</v>
      </c>
      <c r="BT135" s="28">
        <v>0</v>
      </c>
      <c r="BU135" s="28">
        <v>2.9117092405200499E-2</v>
      </c>
      <c r="BV135" s="28">
        <v>43.124566802034202</v>
      </c>
      <c r="BW135" s="28">
        <v>0</v>
      </c>
      <c r="BX135" s="28">
        <v>18.280705161282</v>
      </c>
      <c r="BY135" s="28">
        <v>2.45117176035969E-2</v>
      </c>
      <c r="BZ135" s="28">
        <v>0</v>
      </c>
      <c r="CA135" s="28">
        <v>1.75911244092486</v>
      </c>
      <c r="CB135" s="28">
        <v>25.398430511725799</v>
      </c>
      <c r="CC135" s="28">
        <v>0.82326187029723097</v>
      </c>
      <c r="CD135" s="28">
        <v>18.291229588178801</v>
      </c>
      <c r="CE135" s="28">
        <v>6.2194804545208999</v>
      </c>
      <c r="CF135" s="28">
        <v>0</v>
      </c>
      <c r="CG135" s="28">
        <v>0</v>
      </c>
      <c r="CH135" s="28">
        <v>3.72912458798994</v>
      </c>
      <c r="CI135" s="28">
        <v>1.6252260208129901</v>
      </c>
      <c r="CJ135" s="28">
        <v>0</v>
      </c>
      <c r="CK135" s="28">
        <v>32.475764409423803</v>
      </c>
      <c r="CL135" s="28">
        <v>12.148047495559601</v>
      </c>
      <c r="CM135" s="28">
        <v>0.93253348454642304</v>
      </c>
      <c r="CN135" s="28">
        <v>0.98632848262786899</v>
      </c>
      <c r="CO135" s="28">
        <v>8.7644309997558594</v>
      </c>
      <c r="CP135" s="28">
        <v>7.1218580698460598E-2</v>
      </c>
      <c r="CQ135" s="28">
        <v>48.813831329345703</v>
      </c>
      <c r="CR135" s="28">
        <v>4.1503012417354199</v>
      </c>
      <c r="CS135" s="28">
        <v>0</v>
      </c>
      <c r="CT135" s="28">
        <v>3.9059695271066301</v>
      </c>
      <c r="CU135" s="28">
        <v>9.5785531357704096E-2</v>
      </c>
      <c r="CV135" s="28">
        <v>6.2463856820597803E-2</v>
      </c>
      <c r="CW135" s="28">
        <v>0</v>
      </c>
      <c r="CX135" s="28">
        <v>0</v>
      </c>
      <c r="CY135" s="28">
        <v>0.65355250464397796</v>
      </c>
      <c r="CZ135" s="28">
        <v>0.38161834121747301</v>
      </c>
      <c r="DA135" s="28">
        <v>0</v>
      </c>
      <c r="DB135" s="28">
        <v>0</v>
      </c>
      <c r="DC135" s="28">
        <v>0</v>
      </c>
      <c r="DD135" s="28">
        <v>0.45565883551874797</v>
      </c>
      <c r="DE135" s="28">
        <v>0</v>
      </c>
      <c r="DF135" s="28">
        <v>164.575387592027</v>
      </c>
      <c r="DG135" s="28">
        <v>409.20150879904901</v>
      </c>
      <c r="DH135" s="28">
        <v>758.36683607948498</v>
      </c>
      <c r="DI135" s="28">
        <v>0</v>
      </c>
      <c r="DJ135" s="28">
        <v>1.0870735987378599</v>
      </c>
      <c r="DK135" s="28">
        <v>0</v>
      </c>
      <c r="DL135" s="28">
        <v>0</v>
      </c>
      <c r="DM135" s="28">
        <v>0</v>
      </c>
      <c r="DN135" s="28">
        <v>0</v>
      </c>
      <c r="DO135" s="28">
        <v>0</v>
      </c>
      <c r="DP135" s="28">
        <v>0</v>
      </c>
      <c r="DQ135" s="28">
        <v>0</v>
      </c>
      <c r="DR135" s="28">
        <v>1.97478084844582</v>
      </c>
      <c r="DS135" s="28">
        <v>0.62626001539352805</v>
      </c>
      <c r="DT135" s="28">
        <v>0</v>
      </c>
      <c r="DU135" s="28">
        <v>2.69460588045043</v>
      </c>
      <c r="DV135" s="28">
        <v>7.71596649910395</v>
      </c>
      <c r="DW135" s="28">
        <v>0</v>
      </c>
      <c r="DX135" s="28">
        <v>5.2843606757585997</v>
      </c>
      <c r="DY135" s="28">
        <v>8.0198544213234708</v>
      </c>
      <c r="DZ135" s="28">
        <v>63.815014399072702</v>
      </c>
      <c r="EA135" s="28">
        <v>0</v>
      </c>
      <c r="EB135" s="28">
        <v>14.309510618562999</v>
      </c>
      <c r="EC135" s="28">
        <v>0</v>
      </c>
      <c r="ED135" s="28">
        <v>0.54464698598157801</v>
      </c>
      <c r="EE135" s="28">
        <v>5.9207557048783603E-2</v>
      </c>
      <c r="EF135" s="28">
        <v>0</v>
      </c>
      <c r="EG135" s="28">
        <v>0</v>
      </c>
      <c r="EH135" s="28">
        <v>0</v>
      </c>
      <c r="EI135" s="28">
        <v>0</v>
      </c>
      <c r="EJ135" s="28">
        <v>0.30020281139258997</v>
      </c>
      <c r="EK135" s="28">
        <v>0</v>
      </c>
      <c r="EL135" s="28">
        <v>0</v>
      </c>
      <c r="EM135" s="28">
        <v>0</v>
      </c>
      <c r="EN135" s="28">
        <v>2.24861998074193</v>
      </c>
      <c r="EO135" s="28">
        <v>0</v>
      </c>
      <c r="EP135" s="28">
        <v>0</v>
      </c>
      <c r="EQ135" s="28">
        <v>0</v>
      </c>
      <c r="ER135" s="28">
        <v>2.0484874678923899</v>
      </c>
      <c r="ES135" s="28">
        <v>5.2887665143078501E-2</v>
      </c>
      <c r="ET135" s="28">
        <v>0.40039112195040399</v>
      </c>
      <c r="EU135" s="28">
        <v>9.5495733533842997E-2</v>
      </c>
      <c r="EV135" s="28">
        <v>3.9762258133647599</v>
      </c>
      <c r="EW135" s="28">
        <v>0</v>
      </c>
      <c r="EX135" s="28">
        <v>2.5372822547078702E-2</v>
      </c>
      <c r="EY135" s="28">
        <v>6.6040555513037405E-2</v>
      </c>
      <c r="EZ135" s="28">
        <v>0.18590010230467599</v>
      </c>
      <c r="FA135" s="28">
        <v>0.21831090842076201</v>
      </c>
      <c r="FB135" s="28">
        <v>6.7732683501550706E-2</v>
      </c>
      <c r="FC135" s="28">
        <v>80.673918960505802</v>
      </c>
      <c r="FD135" s="28">
        <v>0.62398192163004595</v>
      </c>
      <c r="FE135" s="28">
        <v>0</v>
      </c>
      <c r="FF135" s="28">
        <v>3.49378658650302</v>
      </c>
      <c r="FG135" s="28">
        <v>6.5567196803769798</v>
      </c>
      <c r="FH135" s="28">
        <v>1.05001525541535E-2</v>
      </c>
      <c r="FI135" s="28">
        <v>89.261785217174406</v>
      </c>
      <c r="FJ135" s="28">
        <v>0</v>
      </c>
      <c r="FK135" s="28">
        <v>0</v>
      </c>
      <c r="FL135" s="28">
        <v>0</v>
      </c>
      <c r="FM135" s="28">
        <v>1.8059499999999999E-2</v>
      </c>
      <c r="FN135" s="28">
        <v>0.49627229907933101</v>
      </c>
      <c r="FO135" s="28">
        <v>0</v>
      </c>
      <c r="FP135" s="28">
        <v>0</v>
      </c>
      <c r="FQ135" s="28">
        <v>12.3926548512756</v>
      </c>
      <c r="FR135" s="28">
        <v>0.20525719223853101</v>
      </c>
      <c r="FS135" s="28">
        <v>27.176150549422101</v>
      </c>
      <c r="FT135" s="28">
        <v>39.774372823253003</v>
      </c>
      <c r="FU135" s="28">
        <v>8.2881393422307003E-3</v>
      </c>
      <c r="FV135" s="28">
        <v>12.763773677767</v>
      </c>
      <c r="FW135" s="28">
        <v>0.23113075999999999</v>
      </c>
      <c r="FX135" s="28">
        <v>145.127762348147</v>
      </c>
      <c r="FY135" s="28">
        <v>17.320925110000001</v>
      </c>
      <c r="FZ135" s="28">
        <v>7.7159551825610597</v>
      </c>
      <c r="GA135" s="28">
        <v>0.24463884110138501</v>
      </c>
      <c r="GB135" s="28">
        <v>0</v>
      </c>
      <c r="GC135" s="28">
        <v>0</v>
      </c>
      <c r="GD135" s="28">
        <v>0</v>
      </c>
      <c r="GE135" s="28">
        <v>115.91056309535</v>
      </c>
      <c r="GF135" s="28">
        <v>11.8162181753003</v>
      </c>
      <c r="GG135" s="28">
        <v>75.0711488481857</v>
      </c>
      <c r="GH135" s="28">
        <v>84.907956285924001</v>
      </c>
      <c r="GI135" s="28">
        <v>13.3001602829672</v>
      </c>
      <c r="GJ135" s="28">
        <v>3.9169591011974401</v>
      </c>
      <c r="GK135" s="28">
        <v>7.37891911968046</v>
      </c>
      <c r="GL135" s="28">
        <v>0.40634477403268099</v>
      </c>
      <c r="GM135" s="28">
        <v>0</v>
      </c>
      <c r="GN135" s="28">
        <v>0</v>
      </c>
      <c r="GO135" s="28">
        <v>0</v>
      </c>
      <c r="GP135" s="28">
        <v>0</v>
      </c>
      <c r="GQ135" s="21">
        <v>2476.2314198177237</v>
      </c>
      <c r="GR135" s="21">
        <v>2265.3095042350701</v>
      </c>
      <c r="GS135" s="20">
        <v>2259.8064046930713</v>
      </c>
      <c r="GT135" s="20">
        <v>5.5030995419989592</v>
      </c>
      <c r="GU135" s="20">
        <v>0</v>
      </c>
      <c r="GV135" s="20">
        <v>0</v>
      </c>
      <c r="GW135" s="20">
        <v>0</v>
      </c>
      <c r="GX135" s="21">
        <v>-6.0614393682200731</v>
      </c>
      <c r="GY135" s="20">
        <v>0</v>
      </c>
      <c r="GZ135" s="20">
        <v>-6.0614393682200731</v>
      </c>
      <c r="HA135" s="20"/>
      <c r="HB135" s="21">
        <v>7.6545931751999996</v>
      </c>
      <c r="HC135" s="21">
        <v>4743.1340778597732</v>
      </c>
    </row>
    <row r="136" spans="1:211" s="7" customFormat="1" ht="17.25" customHeight="1">
      <c r="A136" s="7">
        <f t="shared" si="9"/>
        <v>136</v>
      </c>
      <c r="B136" s="26" t="s">
        <v>571</v>
      </c>
      <c r="C136" s="9" t="s">
        <v>572</v>
      </c>
      <c r="D136" s="28">
        <v>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1.5461868973523E-2</v>
      </c>
      <c r="Q136" s="28">
        <v>0</v>
      </c>
      <c r="R136" s="28">
        <v>0</v>
      </c>
      <c r="S136" s="28">
        <v>5.6807652594719604E-3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5.6774072795426997E-2</v>
      </c>
      <c r="AG136" s="28">
        <v>0</v>
      </c>
      <c r="AH136" s="28">
        <v>0</v>
      </c>
      <c r="AI136" s="28">
        <v>0</v>
      </c>
      <c r="AJ136" s="28">
        <v>0</v>
      </c>
      <c r="AK136" s="28">
        <v>0.16887599520036001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0.73917476036401997</v>
      </c>
      <c r="AR136" s="28">
        <v>0</v>
      </c>
      <c r="AS136" s="28">
        <v>0</v>
      </c>
      <c r="AT136" s="28">
        <v>2.1966841525885799</v>
      </c>
      <c r="AU136" s="28">
        <v>0.385877236386023</v>
      </c>
      <c r="AV136" s="28">
        <v>4.2281770243946699</v>
      </c>
      <c r="AW136" s="28">
        <v>2.4586703374730501</v>
      </c>
      <c r="AX136" s="28">
        <v>1.06719769162018</v>
      </c>
      <c r="AY136" s="28">
        <v>0</v>
      </c>
      <c r="AZ136" s="28">
        <v>0.37763229692981098</v>
      </c>
      <c r="BA136" s="28">
        <v>0.46393047400644999</v>
      </c>
      <c r="BB136" s="28">
        <v>0.151609709448325</v>
      </c>
      <c r="BC136" s="28">
        <v>2.0545078595964301</v>
      </c>
      <c r="BD136" s="28">
        <v>0.12545704253090001</v>
      </c>
      <c r="BE136" s="28">
        <v>0</v>
      </c>
      <c r="BF136" s="28">
        <v>0</v>
      </c>
      <c r="BG136" s="28">
        <v>0</v>
      </c>
      <c r="BH136" s="28">
        <v>12.651186974399</v>
      </c>
      <c r="BI136" s="28">
        <v>0</v>
      </c>
      <c r="BJ136" s="28">
        <v>0.16473016156845199</v>
      </c>
      <c r="BK136" s="28">
        <v>0</v>
      </c>
      <c r="BL136" s="28">
        <v>2.53945104207428E-2</v>
      </c>
      <c r="BM136" s="28">
        <v>1.5558308096446901E-2</v>
      </c>
      <c r="BN136" s="28">
        <v>3.8956938452032401E-2</v>
      </c>
      <c r="BO136" s="28">
        <v>0.28931656450366799</v>
      </c>
      <c r="BP136" s="28">
        <v>7.7883824707326702E-4</v>
      </c>
      <c r="BQ136" s="28">
        <v>5.6174892367740703E-2</v>
      </c>
      <c r="BR136" s="28">
        <v>8.1769811350685895E-2</v>
      </c>
      <c r="BS136" s="28">
        <v>0</v>
      </c>
      <c r="BT136" s="28">
        <v>0</v>
      </c>
      <c r="BU136" s="28">
        <v>2.69891552665412E-2</v>
      </c>
      <c r="BV136" s="28">
        <v>1.01774832408483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8.6903817041576694</v>
      </c>
      <c r="CN136" s="28">
        <v>1.2698990106582599</v>
      </c>
      <c r="CO136" s="28">
        <v>5.3161673545837402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0</v>
      </c>
      <c r="CV136" s="28">
        <v>0</v>
      </c>
      <c r="CW136" s="28">
        <v>0</v>
      </c>
      <c r="CX136" s="28">
        <v>0</v>
      </c>
      <c r="CY136" s="28">
        <v>1.8190303125551099</v>
      </c>
      <c r="CZ136" s="28">
        <v>0</v>
      </c>
      <c r="DA136" s="28">
        <v>0.94417210426267095</v>
      </c>
      <c r="DB136" s="28">
        <v>0.64062768082613397</v>
      </c>
      <c r="DC136" s="28">
        <v>0.77830615173124695</v>
      </c>
      <c r="DD136" s="28">
        <v>0.89773913727921495</v>
      </c>
      <c r="DE136" s="28">
        <v>0</v>
      </c>
      <c r="DF136" s="28">
        <v>0</v>
      </c>
      <c r="DG136" s="28">
        <v>0</v>
      </c>
      <c r="DH136" s="28">
        <v>0</v>
      </c>
      <c r="DI136" s="28">
        <v>0</v>
      </c>
      <c r="DJ136" s="28">
        <v>0.133192209422581</v>
      </c>
      <c r="DK136" s="28">
        <v>0</v>
      </c>
      <c r="DL136" s="28">
        <v>0</v>
      </c>
      <c r="DM136" s="28">
        <v>0</v>
      </c>
      <c r="DN136" s="28">
        <v>0.14621621954311401</v>
      </c>
      <c r="DO136" s="28">
        <v>0</v>
      </c>
      <c r="DP136" s="28">
        <v>0</v>
      </c>
      <c r="DQ136" s="28">
        <v>8.0259159721076898</v>
      </c>
      <c r="DR136" s="28">
        <v>20.2329572753371</v>
      </c>
      <c r="DS136" s="28">
        <v>0.80993328005175702</v>
      </c>
      <c r="DT136" s="28">
        <v>0</v>
      </c>
      <c r="DU136" s="28">
        <v>0</v>
      </c>
      <c r="DV136" s="28">
        <v>0</v>
      </c>
      <c r="DW136" s="28">
        <v>0</v>
      </c>
      <c r="DX136" s="28">
        <v>0</v>
      </c>
      <c r="DY136" s="28">
        <v>0</v>
      </c>
      <c r="DZ136" s="28">
        <v>0</v>
      </c>
      <c r="EA136" s="28">
        <v>0</v>
      </c>
      <c r="EB136" s="28">
        <v>0</v>
      </c>
      <c r="EC136" s="28">
        <v>0</v>
      </c>
      <c r="ED136" s="28">
        <v>3.6665012085608799</v>
      </c>
      <c r="EE136" s="28">
        <v>0.192465124363323</v>
      </c>
      <c r="EF136" s="28">
        <v>1.6769145270127099</v>
      </c>
      <c r="EG136" s="28">
        <v>1.20963066169793</v>
      </c>
      <c r="EH136" s="28">
        <v>0.417678625494184</v>
      </c>
      <c r="EI136" s="28">
        <v>0.19592830861152499</v>
      </c>
      <c r="EJ136" s="28">
        <v>3.4495764582530599</v>
      </c>
      <c r="EK136" s="28">
        <v>0</v>
      </c>
      <c r="EL136" s="28">
        <v>0.87096801994847795</v>
      </c>
      <c r="EM136" s="28">
        <v>9.0458042044116104E-4</v>
      </c>
      <c r="EN136" s="28">
        <v>0.16340888844468199</v>
      </c>
      <c r="EO136" s="28">
        <v>0.35172464144097398</v>
      </c>
      <c r="EP136" s="28">
        <v>0</v>
      </c>
      <c r="EQ136" s="28">
        <v>1.9724413166054799</v>
      </c>
      <c r="ER136" s="28">
        <v>0.78253279325591796</v>
      </c>
      <c r="ES136" s="28">
        <v>0</v>
      </c>
      <c r="ET136" s="28">
        <v>0.10582726779224901</v>
      </c>
      <c r="EU136" s="28">
        <v>0</v>
      </c>
      <c r="EV136" s="28">
        <v>0</v>
      </c>
      <c r="EW136" s="28">
        <v>0</v>
      </c>
      <c r="EX136" s="28">
        <v>0.197274197828818</v>
      </c>
      <c r="EY136" s="28">
        <v>0.60390081455185896</v>
      </c>
      <c r="EZ136" s="28">
        <v>7.1447020348597601</v>
      </c>
      <c r="FA136" s="28">
        <v>2.3360247750035001</v>
      </c>
      <c r="FB136" s="28">
        <v>0.53784490118945805</v>
      </c>
      <c r="FC136" s="28">
        <v>4.2411068883953202</v>
      </c>
      <c r="FD136" s="28">
        <v>1.6530990220592599E-3</v>
      </c>
      <c r="FE136" s="28">
        <v>0</v>
      </c>
      <c r="FF136" s="28">
        <v>0</v>
      </c>
      <c r="FG136" s="28">
        <v>0.355036796694223</v>
      </c>
      <c r="FH136" s="28">
        <v>0</v>
      </c>
      <c r="FI136" s="28">
        <v>12.629019654468699</v>
      </c>
      <c r="FJ136" s="28">
        <v>0.46903491575974199</v>
      </c>
      <c r="FK136" s="28">
        <v>0</v>
      </c>
      <c r="FL136" s="28">
        <v>6.9005911154148603</v>
      </c>
      <c r="FM136" s="28">
        <v>2.5047850600000001</v>
      </c>
      <c r="FN136" s="28">
        <v>0.48740551367429302</v>
      </c>
      <c r="FO136" s="28">
        <v>5.2819942442304396E-3</v>
      </c>
      <c r="FP136" s="28">
        <v>0.135451867556662</v>
      </c>
      <c r="FQ136" s="28">
        <v>11.9500551673573</v>
      </c>
      <c r="FR136" s="28">
        <v>3.09011522591687</v>
      </c>
      <c r="FS136" s="28">
        <v>4.7529851234271803</v>
      </c>
      <c r="FT136" s="28">
        <v>25.145294433612399</v>
      </c>
      <c r="FU136" s="28">
        <v>1.02154849052507</v>
      </c>
      <c r="FV136" s="28">
        <v>10.3029731994166</v>
      </c>
      <c r="FW136" s="28">
        <v>27.979279590000001</v>
      </c>
      <c r="FX136" s="28">
        <v>10.9260272263913</v>
      </c>
      <c r="FY136" s="28">
        <v>3.9096724599999999</v>
      </c>
      <c r="FZ136" s="28">
        <v>1.07823092035469</v>
      </c>
      <c r="GA136" s="28">
        <v>0.50659727558064804</v>
      </c>
      <c r="GB136" s="28">
        <v>2.0151968023412801</v>
      </c>
      <c r="GC136" s="28">
        <v>1.4470173597412599</v>
      </c>
      <c r="GD136" s="28">
        <v>6.7976923789028501</v>
      </c>
      <c r="GE136" s="28">
        <v>46.0697552084035</v>
      </c>
      <c r="GF136" s="28">
        <v>38.503160977064901</v>
      </c>
      <c r="GG136" s="28">
        <v>220.61821443454099</v>
      </c>
      <c r="GH136" s="28">
        <v>36.4960101792933</v>
      </c>
      <c r="GI136" s="28">
        <v>54.080416817526803</v>
      </c>
      <c r="GJ136" s="28">
        <v>4.7447946532899001</v>
      </c>
      <c r="GK136" s="28">
        <v>41.276916649898403</v>
      </c>
      <c r="GL136" s="28">
        <v>54.9005150751671</v>
      </c>
      <c r="GM136" s="28">
        <v>4.2879463674380904</v>
      </c>
      <c r="GN136" s="28">
        <v>0.145078954899164</v>
      </c>
      <c r="GO136" s="28">
        <v>6.7700164350582703</v>
      </c>
      <c r="GP136" s="28">
        <v>0</v>
      </c>
      <c r="GQ136" s="21">
        <v>750.98998163555393</v>
      </c>
      <c r="GR136" s="21">
        <v>1874.4873858979699</v>
      </c>
      <c r="GS136" s="20">
        <v>1858.535513306666</v>
      </c>
      <c r="GT136" s="20">
        <v>9.9371047508957595</v>
      </c>
      <c r="GU136" s="20">
        <v>6.0147678404082026</v>
      </c>
      <c r="GV136" s="20">
        <v>6.0147678404082026</v>
      </c>
      <c r="GW136" s="20">
        <v>0</v>
      </c>
      <c r="GX136" s="21">
        <v>-17.511536539504242</v>
      </c>
      <c r="GY136" s="20">
        <v>0</v>
      </c>
      <c r="GZ136" s="20">
        <v>-17.511536539504242</v>
      </c>
      <c r="HA136" s="20"/>
      <c r="HB136" s="21">
        <v>9.1281235200000008</v>
      </c>
      <c r="HC136" s="21">
        <v>2617.0939545140195</v>
      </c>
    </row>
    <row r="137" spans="1:211" s="7" customFormat="1" ht="17.25" customHeight="1">
      <c r="A137" s="7">
        <f t="shared" si="9"/>
        <v>137</v>
      </c>
      <c r="B137" s="26" t="s">
        <v>115</v>
      </c>
      <c r="C137" s="9" t="s">
        <v>573</v>
      </c>
      <c r="D137" s="28">
        <v>0</v>
      </c>
      <c r="E137" s="28">
        <v>0</v>
      </c>
      <c r="F137" s="28">
        <v>0</v>
      </c>
      <c r="G137" s="28">
        <v>0</v>
      </c>
      <c r="H137" s="28">
        <v>0.63537436902521005</v>
      </c>
      <c r="I137" s="28">
        <v>1.6822606169285801</v>
      </c>
      <c r="J137" s="28">
        <v>1.86284695036401E-2</v>
      </c>
      <c r="K137" s="28">
        <v>4.6927220948053596E-3</v>
      </c>
      <c r="L137" s="28">
        <v>0.11152405151525201</v>
      </c>
      <c r="M137" s="28">
        <v>0.76261299601004295</v>
      </c>
      <c r="N137" s="28">
        <v>0.98980816257826298</v>
      </c>
      <c r="O137" s="28">
        <v>0.208166587258513</v>
      </c>
      <c r="P137" s="28">
        <v>0.10982921178937501</v>
      </c>
      <c r="Q137" s="28">
        <v>0.59589543641769005</v>
      </c>
      <c r="R137" s="28">
        <v>0.19923659029485</v>
      </c>
      <c r="S137" s="28">
        <v>0</v>
      </c>
      <c r="T137" s="28">
        <v>0.757321190720182</v>
      </c>
      <c r="U137" s="28">
        <v>95.183276370542202</v>
      </c>
      <c r="V137" s="28">
        <v>0</v>
      </c>
      <c r="W137" s="28">
        <v>6.1517852402595198E-2</v>
      </c>
      <c r="X137" s="28">
        <v>1.95138584188785E-2</v>
      </c>
      <c r="Y137" s="28">
        <v>6.6857722260369699E-3</v>
      </c>
      <c r="Z137" s="28">
        <v>0</v>
      </c>
      <c r="AA137" s="28">
        <v>0</v>
      </c>
      <c r="AB137" s="28">
        <v>0</v>
      </c>
      <c r="AC137" s="28">
        <v>0</v>
      </c>
      <c r="AD137" s="28">
        <v>0.35866924115766202</v>
      </c>
      <c r="AE137" s="28">
        <v>0.15659268302071699</v>
      </c>
      <c r="AF137" s="28">
        <v>0</v>
      </c>
      <c r="AG137" s="28">
        <v>1.95933856359979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0.51247274772922402</v>
      </c>
      <c r="AQ137" s="28">
        <v>0</v>
      </c>
      <c r="AR137" s="28">
        <v>0.55633728919415903</v>
      </c>
      <c r="AS137" s="28">
        <v>6.7856641159414902E-3</v>
      </c>
      <c r="AT137" s="28">
        <v>161.90394429172599</v>
      </c>
      <c r="AU137" s="28">
        <v>12.605617923352201</v>
      </c>
      <c r="AV137" s="28">
        <v>11.936367763537699</v>
      </c>
      <c r="AW137" s="28">
        <v>104.074455734244</v>
      </c>
      <c r="AX137" s="28">
        <v>25.6705150051198</v>
      </c>
      <c r="AY137" s="28">
        <v>4.4820350084190698E-2</v>
      </c>
      <c r="AZ137" s="28">
        <v>11.493453031427199</v>
      </c>
      <c r="BA137" s="28">
        <v>42.784306193101898</v>
      </c>
      <c r="BB137" s="28">
        <v>5.6443866164305197E-2</v>
      </c>
      <c r="BC137" s="28">
        <v>65.320997424760094</v>
      </c>
      <c r="BD137" s="28">
        <v>0.24970978251088899</v>
      </c>
      <c r="BE137" s="28">
        <v>0</v>
      </c>
      <c r="BF137" s="28">
        <v>0</v>
      </c>
      <c r="BG137" s="28">
        <v>1.9246576771460799</v>
      </c>
      <c r="BH137" s="28">
        <v>0.122467144795429</v>
      </c>
      <c r="BI137" s="28">
        <v>0.321477458197449</v>
      </c>
      <c r="BJ137" s="28">
        <v>0</v>
      </c>
      <c r="BK137" s="28">
        <v>0</v>
      </c>
      <c r="BL137" s="28">
        <v>1.1718931696412299E-2</v>
      </c>
      <c r="BM137" s="28">
        <v>2.6840262537599301E-3</v>
      </c>
      <c r="BN137" s="28">
        <v>0.30205829852886501</v>
      </c>
      <c r="BO137" s="28">
        <v>0.18227638544382299</v>
      </c>
      <c r="BP137" s="28">
        <v>0</v>
      </c>
      <c r="BQ137" s="28">
        <v>0.12805321090105601</v>
      </c>
      <c r="BR137" s="28">
        <v>0.15667946608036901</v>
      </c>
      <c r="BS137" s="28">
        <v>0</v>
      </c>
      <c r="BT137" s="28">
        <v>82.789781276747703</v>
      </c>
      <c r="BU137" s="28">
        <v>4.92620682257413E-2</v>
      </c>
      <c r="BV137" s="28">
        <v>1.01052542012664</v>
      </c>
      <c r="BW137" s="28">
        <v>0</v>
      </c>
      <c r="BX137" s="28">
        <v>9.9951125988921603E-3</v>
      </c>
      <c r="BY137" s="28">
        <v>0</v>
      </c>
      <c r="BZ137" s="28">
        <v>5.9805577748746304</v>
      </c>
      <c r="CA137" s="28">
        <v>9.1587893558216695</v>
      </c>
      <c r="CB137" s="28">
        <v>1.0761193402301801</v>
      </c>
      <c r="CC137" s="28">
        <v>5.8987886110136001E-2</v>
      </c>
      <c r="CD137" s="28">
        <v>0.774990639966605</v>
      </c>
      <c r="CE137" s="28">
        <v>0.26351640902391898</v>
      </c>
      <c r="CF137" s="28">
        <v>0</v>
      </c>
      <c r="CG137" s="28">
        <v>0</v>
      </c>
      <c r="CH137" s="28">
        <v>0</v>
      </c>
      <c r="CI137" s="28">
        <v>0.816445990217186</v>
      </c>
      <c r="CJ137" s="28">
        <v>7.8649678047901199</v>
      </c>
      <c r="CK137" s="28">
        <v>0</v>
      </c>
      <c r="CL137" s="28">
        <v>3.0722876386485101E-2</v>
      </c>
      <c r="CM137" s="28">
        <v>3.6727955306857099</v>
      </c>
      <c r="CN137" s="28">
        <v>0.180432945106413</v>
      </c>
      <c r="CO137" s="28">
        <v>0.32715377211570701</v>
      </c>
      <c r="CP137" s="28">
        <v>0.23419811369614699</v>
      </c>
      <c r="CQ137" s="28">
        <v>0.109736383442361</v>
      </c>
      <c r="CR137" s="28">
        <v>0</v>
      </c>
      <c r="CS137" s="28">
        <v>0</v>
      </c>
      <c r="CT137" s="28">
        <v>0.76105396702059103</v>
      </c>
      <c r="CU137" s="28">
        <v>7.5779262214519694E-2</v>
      </c>
      <c r="CV137" s="28">
        <v>0.21214170771555399</v>
      </c>
      <c r="CW137" s="28">
        <v>6.8988593398878501E-2</v>
      </c>
      <c r="CX137" s="28">
        <v>2.5839226888090799E-2</v>
      </c>
      <c r="CY137" s="28">
        <v>0.100290880196891</v>
      </c>
      <c r="CZ137" s="28">
        <v>0</v>
      </c>
      <c r="DA137" s="28">
        <v>15.453401965941</v>
      </c>
      <c r="DB137" s="28">
        <v>46.826191607018103</v>
      </c>
      <c r="DC137" s="28">
        <v>9.5358106560166291</v>
      </c>
      <c r="DD137" s="28">
        <v>1.2968751472456701</v>
      </c>
      <c r="DE137" s="28">
        <v>0</v>
      </c>
      <c r="DF137" s="28">
        <v>8.4616136680005297E-2</v>
      </c>
      <c r="DG137" s="28">
        <v>6.0620189210672697</v>
      </c>
      <c r="DH137" s="28">
        <v>0.98522990609286598</v>
      </c>
      <c r="DI137" s="28">
        <v>0.50321943151203496</v>
      </c>
      <c r="DJ137" s="28">
        <v>265.000710463345</v>
      </c>
      <c r="DK137" s="28">
        <v>0</v>
      </c>
      <c r="DL137" s="28">
        <v>0.171981312441809</v>
      </c>
      <c r="DM137" s="28">
        <v>0</v>
      </c>
      <c r="DN137" s="28">
        <v>0.62798284535043802</v>
      </c>
      <c r="DO137" s="28">
        <v>0.13413599428817299</v>
      </c>
      <c r="DP137" s="28">
        <v>0</v>
      </c>
      <c r="DQ137" s="28">
        <v>0.336376189817232</v>
      </c>
      <c r="DR137" s="28">
        <v>4.6550419316428604</v>
      </c>
      <c r="DS137" s="28">
        <v>0.38604762711587698</v>
      </c>
      <c r="DT137" s="28">
        <v>0.202171644226913</v>
      </c>
      <c r="DU137" s="28">
        <v>2.1151025684750202</v>
      </c>
      <c r="DV137" s="28">
        <v>5.2126595348862796</v>
      </c>
      <c r="DW137" s="28">
        <v>0</v>
      </c>
      <c r="DX137" s="28">
        <v>5.1119882325097503</v>
      </c>
      <c r="DY137" s="28">
        <v>3.1755820889583499</v>
      </c>
      <c r="DZ137" s="28">
        <v>10.4530285091296</v>
      </c>
      <c r="EA137" s="28">
        <v>9.9240243396749896E-3</v>
      </c>
      <c r="EB137" s="28">
        <v>0.24594311385834899</v>
      </c>
      <c r="EC137" s="28">
        <v>0.82557020814787696</v>
      </c>
      <c r="ED137" s="28">
        <v>7.4986476274214402</v>
      </c>
      <c r="EE137" s="28">
        <v>4.6257601931438197</v>
      </c>
      <c r="EF137" s="28">
        <v>16.1872597484161</v>
      </c>
      <c r="EG137" s="28">
        <v>0.31579342294475099</v>
      </c>
      <c r="EH137" s="28">
        <v>5.4520841365959499E-2</v>
      </c>
      <c r="EI137" s="28">
        <v>2.5623973298416002E-2</v>
      </c>
      <c r="EJ137" s="28">
        <v>2.9688746109442898</v>
      </c>
      <c r="EK137" s="28">
        <v>0.27974632300985403</v>
      </c>
      <c r="EL137" s="28">
        <v>2.9019020920048502</v>
      </c>
      <c r="EM137" s="28">
        <v>6.6288661478856897E-2</v>
      </c>
      <c r="EN137" s="28">
        <v>2.6403847451346101E-2</v>
      </c>
      <c r="EO137" s="28">
        <v>0.71959774689315203</v>
      </c>
      <c r="EP137" s="28">
        <v>0</v>
      </c>
      <c r="EQ137" s="28">
        <v>0.103126063766354</v>
      </c>
      <c r="ER137" s="28">
        <v>0.73844860450962202</v>
      </c>
      <c r="ES137" s="28">
        <v>2.0744832475120498</v>
      </c>
      <c r="ET137" s="28">
        <v>9.0643858469003806</v>
      </c>
      <c r="EU137" s="28">
        <v>0</v>
      </c>
      <c r="EV137" s="28">
        <v>0.18787571962472199</v>
      </c>
      <c r="EW137" s="28">
        <v>54.143077205426998</v>
      </c>
      <c r="EX137" s="28">
        <v>0.310590953044729</v>
      </c>
      <c r="EY137" s="28">
        <v>61.997184580957999</v>
      </c>
      <c r="EZ137" s="28">
        <v>0</v>
      </c>
      <c r="FA137" s="28">
        <v>7.31916752920809</v>
      </c>
      <c r="FB137" s="28">
        <v>28.231864472198701</v>
      </c>
      <c r="FC137" s="28">
        <v>18.775046942119801</v>
      </c>
      <c r="FD137" s="28">
        <v>34.905919780087899</v>
      </c>
      <c r="FE137" s="28">
        <v>13.8851213055817</v>
      </c>
      <c r="FF137" s="28">
        <v>86.690593703529004</v>
      </c>
      <c r="FG137" s="28">
        <v>20.362692179286501</v>
      </c>
      <c r="FH137" s="28">
        <v>0</v>
      </c>
      <c r="FI137" s="28">
        <v>233.821267246209</v>
      </c>
      <c r="FJ137" s="28">
        <v>115.836612227427</v>
      </c>
      <c r="FK137" s="28">
        <v>0</v>
      </c>
      <c r="FL137" s="28">
        <v>92.041345864616602</v>
      </c>
      <c r="FM137" s="28">
        <v>3743.0568856760601</v>
      </c>
      <c r="FN137" s="28">
        <v>47.150480165160502</v>
      </c>
      <c r="FO137" s="28">
        <v>0</v>
      </c>
      <c r="FP137" s="28">
        <v>0.48747499747017298</v>
      </c>
      <c r="FQ137" s="28">
        <v>36.543125657029002</v>
      </c>
      <c r="FR137" s="28">
        <v>2.2489932985633598</v>
      </c>
      <c r="FS137" s="28">
        <v>7.6509781702078801</v>
      </c>
      <c r="FT137" s="28">
        <v>3.8625082569073199</v>
      </c>
      <c r="FU137" s="28">
        <v>12.790548179829401</v>
      </c>
      <c r="FV137" s="28">
        <v>21.810543910513999</v>
      </c>
      <c r="FW137" s="28">
        <v>0.11260918</v>
      </c>
      <c r="FX137" s="28">
        <v>6.0575291413496899</v>
      </c>
      <c r="FY137" s="28">
        <v>0.74709404999999995</v>
      </c>
      <c r="FZ137" s="28">
        <v>0.29949692354902402</v>
      </c>
      <c r="GA137" s="28">
        <v>1.2937280966901099</v>
      </c>
      <c r="GB137" s="28">
        <v>8.0439373474532996</v>
      </c>
      <c r="GC137" s="28">
        <v>23.727286049886199</v>
      </c>
      <c r="GD137" s="28">
        <v>55.267665850416101</v>
      </c>
      <c r="GE137" s="28">
        <v>126.437655964946</v>
      </c>
      <c r="GF137" s="28">
        <v>53.887880043058601</v>
      </c>
      <c r="GG137" s="28">
        <v>147.758963660342</v>
      </c>
      <c r="GH137" s="28">
        <v>4.7183130815669196</v>
      </c>
      <c r="GI137" s="28">
        <v>13.5820546760154</v>
      </c>
      <c r="GJ137" s="28">
        <v>2.53627885580112</v>
      </c>
      <c r="GK137" s="28">
        <v>17.513213800076301</v>
      </c>
      <c r="GL137" s="28">
        <v>33.561074719522303</v>
      </c>
      <c r="GM137" s="28">
        <v>8.4685927350263892</v>
      </c>
      <c r="GN137" s="28">
        <v>12.6948057381853</v>
      </c>
      <c r="GO137" s="28">
        <v>10.432802297417201</v>
      </c>
      <c r="GP137" s="28">
        <v>0</v>
      </c>
      <c r="GQ137" s="21">
        <v>6258.1556698927452</v>
      </c>
      <c r="GR137" s="21">
        <v>941.03908045975697</v>
      </c>
      <c r="GS137" s="20">
        <v>941.03908045975697</v>
      </c>
      <c r="GT137" s="20">
        <v>0</v>
      </c>
      <c r="GU137" s="20">
        <v>0</v>
      </c>
      <c r="GV137" s="20">
        <v>0</v>
      </c>
      <c r="GW137" s="20">
        <v>0</v>
      </c>
      <c r="GX137" s="21">
        <v>109.57748861319396</v>
      </c>
      <c r="GY137" s="20">
        <v>0</v>
      </c>
      <c r="GZ137" s="20">
        <v>109.57748861319396</v>
      </c>
      <c r="HA137" s="20"/>
      <c r="HB137" s="21">
        <v>125.84040912</v>
      </c>
      <c r="HC137" s="21">
        <v>7434.6126480856965</v>
      </c>
    </row>
    <row r="138" spans="1:211" s="7" customFormat="1" ht="17.25" customHeight="1">
      <c r="A138" s="7">
        <f t="shared" si="9"/>
        <v>138</v>
      </c>
      <c r="B138" s="26" t="s">
        <v>116</v>
      </c>
      <c r="C138" s="9" t="s">
        <v>574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0.21265146931685899</v>
      </c>
      <c r="AE138" s="28">
        <v>1.04780155772859E-2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0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  <c r="CS138" s="28">
        <v>0</v>
      </c>
      <c r="CT138" s="28">
        <v>0</v>
      </c>
      <c r="CU138" s="28">
        <v>0</v>
      </c>
      <c r="CV138" s="28">
        <v>0</v>
      </c>
      <c r="CW138" s="28">
        <v>0</v>
      </c>
      <c r="CX138" s="28">
        <v>0</v>
      </c>
      <c r="CY138" s="28">
        <v>0</v>
      </c>
      <c r="CZ138" s="28">
        <v>0</v>
      </c>
      <c r="DA138" s="28">
        <v>0</v>
      </c>
      <c r="DB138" s="28">
        <v>0</v>
      </c>
      <c r="DC138" s="28">
        <v>0</v>
      </c>
      <c r="DD138" s="28">
        <v>0</v>
      </c>
      <c r="DE138" s="28">
        <v>0</v>
      </c>
      <c r="DF138" s="28">
        <v>0</v>
      </c>
      <c r="DG138" s="28">
        <v>0</v>
      </c>
      <c r="DH138" s="28">
        <v>0</v>
      </c>
      <c r="DI138" s="28">
        <v>0</v>
      </c>
      <c r="DJ138" s="28">
        <v>3.8296088722975701</v>
      </c>
      <c r="DK138" s="28">
        <v>0</v>
      </c>
      <c r="DL138" s="28">
        <v>0</v>
      </c>
      <c r="DM138" s="28">
        <v>0</v>
      </c>
      <c r="DN138" s="28">
        <v>0</v>
      </c>
      <c r="DO138" s="28">
        <v>0</v>
      </c>
      <c r="DP138" s="28">
        <v>0</v>
      </c>
      <c r="DQ138" s="28">
        <v>0</v>
      </c>
      <c r="DR138" s="28">
        <v>0</v>
      </c>
      <c r="DS138" s="28">
        <v>0</v>
      </c>
      <c r="DT138" s="28">
        <v>0</v>
      </c>
      <c r="DU138" s="28">
        <v>0</v>
      </c>
      <c r="DV138" s="28">
        <v>0</v>
      </c>
      <c r="DW138" s="28">
        <v>0</v>
      </c>
      <c r="DX138" s="28">
        <v>0</v>
      </c>
      <c r="DY138" s="28">
        <v>0</v>
      </c>
      <c r="DZ138" s="28">
        <v>0</v>
      </c>
      <c r="EA138" s="28">
        <v>0</v>
      </c>
      <c r="EB138" s="28">
        <v>0</v>
      </c>
      <c r="EC138" s="28">
        <v>0</v>
      </c>
      <c r="ED138" s="28">
        <v>0</v>
      </c>
      <c r="EE138" s="28">
        <v>0</v>
      </c>
      <c r="EF138" s="28">
        <v>0</v>
      </c>
      <c r="EG138" s="28">
        <v>0</v>
      </c>
      <c r="EH138" s="28">
        <v>0</v>
      </c>
      <c r="EI138" s="28">
        <v>0</v>
      </c>
      <c r="EJ138" s="28">
        <v>0</v>
      </c>
      <c r="EK138" s="28">
        <v>0</v>
      </c>
      <c r="EL138" s="28">
        <v>0</v>
      </c>
      <c r="EM138" s="28">
        <v>0</v>
      </c>
      <c r="EN138" s="28">
        <v>0</v>
      </c>
      <c r="EO138" s="28">
        <v>0</v>
      </c>
      <c r="EP138" s="28">
        <v>0</v>
      </c>
      <c r="EQ138" s="28">
        <v>0</v>
      </c>
      <c r="ER138" s="28">
        <v>0</v>
      </c>
      <c r="ES138" s="28">
        <v>0</v>
      </c>
      <c r="ET138" s="28">
        <v>0</v>
      </c>
      <c r="EU138" s="28">
        <v>0</v>
      </c>
      <c r="EV138" s="28">
        <v>0</v>
      </c>
      <c r="EW138" s="28">
        <v>0</v>
      </c>
      <c r="EX138" s="28">
        <v>0</v>
      </c>
      <c r="EY138" s="28">
        <v>0</v>
      </c>
      <c r="EZ138" s="28">
        <v>0</v>
      </c>
      <c r="FA138" s="28">
        <v>0</v>
      </c>
      <c r="FB138" s="28">
        <v>0</v>
      </c>
      <c r="FC138" s="28">
        <v>0</v>
      </c>
      <c r="FD138" s="28">
        <v>0</v>
      </c>
      <c r="FE138" s="28">
        <v>0</v>
      </c>
      <c r="FF138" s="28">
        <v>0</v>
      </c>
      <c r="FG138" s="28">
        <v>4.2132383908800604</v>
      </c>
      <c r="FH138" s="28">
        <v>0</v>
      </c>
      <c r="FI138" s="28">
        <v>0</v>
      </c>
      <c r="FJ138" s="28">
        <v>0</v>
      </c>
      <c r="FK138" s="28">
        <v>0</v>
      </c>
      <c r="FL138" s="28">
        <v>0</v>
      </c>
      <c r="FM138" s="28">
        <v>0</v>
      </c>
      <c r="FN138" s="28">
        <v>601.44733302605903</v>
      </c>
      <c r="FO138" s="28">
        <v>0</v>
      </c>
      <c r="FP138" s="28">
        <v>0</v>
      </c>
      <c r="FQ138" s="28">
        <v>0</v>
      </c>
      <c r="FR138" s="28">
        <v>0</v>
      </c>
      <c r="FS138" s="28">
        <v>0</v>
      </c>
      <c r="FT138" s="28">
        <v>0</v>
      </c>
      <c r="FU138" s="28">
        <v>0</v>
      </c>
      <c r="FV138" s="28">
        <v>0</v>
      </c>
      <c r="FW138" s="28">
        <v>0</v>
      </c>
      <c r="FX138" s="28">
        <v>0</v>
      </c>
      <c r="FY138" s="28">
        <v>0</v>
      </c>
      <c r="FZ138" s="28">
        <v>0</v>
      </c>
      <c r="GA138" s="28">
        <v>0</v>
      </c>
      <c r="GB138" s="28">
        <v>0</v>
      </c>
      <c r="GC138" s="28">
        <v>0</v>
      </c>
      <c r="GD138" s="28">
        <v>0</v>
      </c>
      <c r="GE138" s="28">
        <v>0</v>
      </c>
      <c r="GF138" s="28">
        <v>0</v>
      </c>
      <c r="GG138" s="28">
        <v>56.568914360000001</v>
      </c>
      <c r="GH138" s="28">
        <v>0</v>
      </c>
      <c r="GI138" s="28">
        <v>0</v>
      </c>
      <c r="GJ138" s="28">
        <v>0</v>
      </c>
      <c r="GK138" s="28">
        <v>0</v>
      </c>
      <c r="GL138" s="28">
        <v>0</v>
      </c>
      <c r="GM138" s="28">
        <v>0</v>
      </c>
      <c r="GN138" s="28">
        <v>0</v>
      </c>
      <c r="GO138" s="28">
        <v>0</v>
      </c>
      <c r="GP138" s="28">
        <v>0</v>
      </c>
      <c r="GQ138" s="21">
        <v>666.28222413413084</v>
      </c>
      <c r="GR138" s="21">
        <v>0</v>
      </c>
      <c r="GS138" s="20">
        <v>0</v>
      </c>
      <c r="GT138" s="20">
        <v>0</v>
      </c>
      <c r="GU138" s="20">
        <v>0</v>
      </c>
      <c r="GV138" s="20">
        <v>0</v>
      </c>
      <c r="GW138" s="20">
        <v>0</v>
      </c>
      <c r="GX138" s="21">
        <v>-3.3454704699081801</v>
      </c>
      <c r="GY138" s="20">
        <v>0</v>
      </c>
      <c r="GZ138" s="20">
        <v>-3.3454704699081801</v>
      </c>
      <c r="HA138" s="20"/>
      <c r="HB138" s="21">
        <v>291.88501190160002</v>
      </c>
      <c r="HC138" s="21">
        <v>954.82176556582272</v>
      </c>
    </row>
    <row r="139" spans="1:211" s="7" customFormat="1" ht="17.25" customHeight="1">
      <c r="A139" s="7">
        <f t="shared" si="9"/>
        <v>139</v>
      </c>
      <c r="B139" s="26" t="s">
        <v>117</v>
      </c>
      <c r="C139" s="10" t="s">
        <v>575</v>
      </c>
      <c r="D139" s="28">
        <v>17.2770537909397</v>
      </c>
      <c r="E139" s="28">
        <v>31.719500275467901</v>
      </c>
      <c r="F139" s="28">
        <v>0</v>
      </c>
      <c r="G139" s="28">
        <v>3.94184972974401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25.443693727446199</v>
      </c>
      <c r="N139" s="28">
        <v>0</v>
      </c>
      <c r="O139" s="28">
        <v>0</v>
      </c>
      <c r="P139" s="28">
        <v>0</v>
      </c>
      <c r="Q139" s="28">
        <v>16.266564551337801</v>
      </c>
      <c r="R139" s="28">
        <v>15.7380924788242</v>
      </c>
      <c r="S139" s="28">
        <v>292.25987124744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0.60835362964664397</v>
      </c>
      <c r="Z139" s="28">
        <v>0</v>
      </c>
      <c r="AA139" s="28">
        <v>0</v>
      </c>
      <c r="AB139" s="28">
        <v>0</v>
      </c>
      <c r="AC139" s="28">
        <v>14.161945664858299</v>
      </c>
      <c r="AD139" s="28">
        <v>0</v>
      </c>
      <c r="AE139" s="28">
        <v>8.3378898726201793</v>
      </c>
      <c r="AF139" s="28">
        <v>5.7280658138877003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13.2978360596826</v>
      </c>
      <c r="AU139" s="28">
        <v>18.263002263089302</v>
      </c>
      <c r="AV139" s="28">
        <v>15.571035819388801</v>
      </c>
      <c r="AW139" s="28">
        <v>123.02382248094</v>
      </c>
      <c r="AX139" s="28">
        <v>332.38460178573399</v>
      </c>
      <c r="AY139" s="28">
        <v>5.3548028682184001E-2</v>
      </c>
      <c r="AZ139" s="28">
        <v>4.9971552056582498</v>
      </c>
      <c r="BA139" s="28">
        <v>6.6945715230962799</v>
      </c>
      <c r="BB139" s="28">
        <v>0.11288773232861</v>
      </c>
      <c r="BC139" s="28">
        <v>64.8299205030129</v>
      </c>
      <c r="BD139" s="28">
        <v>0.32940163869583</v>
      </c>
      <c r="BE139" s="28">
        <v>0</v>
      </c>
      <c r="BF139" s="28">
        <v>0</v>
      </c>
      <c r="BG139" s="28">
        <v>0.123330505313492</v>
      </c>
      <c r="BH139" s="28">
        <v>5.3648030603768201E-2</v>
      </c>
      <c r="BI139" s="28">
        <v>1.12434505290239</v>
      </c>
      <c r="BJ139" s="28">
        <v>0.62743806551344905</v>
      </c>
      <c r="BK139" s="28">
        <v>0</v>
      </c>
      <c r="BL139" s="28">
        <v>3.5304083249677098E-2</v>
      </c>
      <c r="BM139" s="28">
        <v>8.0858126629468497E-3</v>
      </c>
      <c r="BN139" s="28">
        <v>0.30871742550812697</v>
      </c>
      <c r="BO139" s="28">
        <v>3.28225786613653</v>
      </c>
      <c r="BP139" s="28">
        <v>0</v>
      </c>
      <c r="BQ139" s="28">
        <v>0.96580031889931295</v>
      </c>
      <c r="BR139" s="28">
        <v>0.20605340731463101</v>
      </c>
      <c r="BS139" s="28">
        <v>0</v>
      </c>
      <c r="BT139" s="28">
        <v>0</v>
      </c>
      <c r="BU139" s="28">
        <v>8.0636498763393294E-2</v>
      </c>
      <c r="BV139" s="28">
        <v>9.0947422295290199</v>
      </c>
      <c r="BW139" s="28">
        <v>0.29925063061721602</v>
      </c>
      <c r="BX139" s="28">
        <v>9.9951125988921603E-3</v>
      </c>
      <c r="BY139" s="28">
        <v>0.67756821884996699</v>
      </c>
      <c r="BZ139" s="28">
        <v>13.804580653681199</v>
      </c>
      <c r="CA139" s="28">
        <v>0</v>
      </c>
      <c r="CB139" s="28">
        <v>0.45598071630861797</v>
      </c>
      <c r="CC139" s="28">
        <v>2.4994754351573799E-2</v>
      </c>
      <c r="CD139" s="28">
        <v>0.32838438445763801</v>
      </c>
      <c r="CE139" s="28">
        <v>0.111658992133809</v>
      </c>
      <c r="CF139" s="28">
        <v>0</v>
      </c>
      <c r="CG139" s="28">
        <v>3.5855241957480799</v>
      </c>
      <c r="CH139" s="28">
        <v>0</v>
      </c>
      <c r="CI139" s="28">
        <v>1.38554485260202</v>
      </c>
      <c r="CJ139" s="28">
        <v>0</v>
      </c>
      <c r="CK139" s="28">
        <v>0</v>
      </c>
      <c r="CL139" s="28">
        <v>8.9014117603310294E-2</v>
      </c>
      <c r="CM139" s="28">
        <v>0.65603570514526399</v>
      </c>
      <c r="CN139" s="28">
        <v>0.42148485818109299</v>
      </c>
      <c r="CO139" s="28">
        <v>0</v>
      </c>
      <c r="CP139" s="28">
        <v>9.7309211476277094E-2</v>
      </c>
      <c r="CQ139" s="28">
        <v>1.47409955816685E-2</v>
      </c>
      <c r="CR139" s="28">
        <v>0</v>
      </c>
      <c r="CS139" s="28">
        <v>0</v>
      </c>
      <c r="CT139" s="28">
        <v>0.142679911364443</v>
      </c>
      <c r="CU139" s="28">
        <v>0.12521177158344901</v>
      </c>
      <c r="CV139" s="28">
        <v>0.29450840778870302</v>
      </c>
      <c r="CW139" s="28">
        <v>2.7725338593727701E-2</v>
      </c>
      <c r="CX139" s="28">
        <v>2.6117475457250301E-2</v>
      </c>
      <c r="CY139" s="28">
        <v>0.26709917418366802</v>
      </c>
      <c r="CZ139" s="28">
        <v>0</v>
      </c>
      <c r="DA139" s="28">
        <v>0</v>
      </c>
      <c r="DB139" s="28">
        <v>0</v>
      </c>
      <c r="DC139" s="28">
        <v>3.0213233015222598</v>
      </c>
      <c r="DD139" s="28">
        <v>0</v>
      </c>
      <c r="DE139" s="28">
        <v>0</v>
      </c>
      <c r="DF139" s="28">
        <v>7.93278961322086E-2</v>
      </c>
      <c r="DG139" s="28">
        <v>2.3478440872167701</v>
      </c>
      <c r="DH139" s="28">
        <v>0.42850327546843098</v>
      </c>
      <c r="DI139" s="28">
        <v>0</v>
      </c>
      <c r="DJ139" s="28">
        <v>3.5740221807439099</v>
      </c>
      <c r="DK139" s="28">
        <v>0</v>
      </c>
      <c r="DL139" s="28">
        <v>1.7319878549090599</v>
      </c>
      <c r="DM139" s="28">
        <v>0</v>
      </c>
      <c r="DN139" s="28">
        <v>1.7441711210536299</v>
      </c>
      <c r="DO139" s="28">
        <v>8.4710765623584993E-3</v>
      </c>
      <c r="DP139" s="28">
        <v>0</v>
      </c>
      <c r="DQ139" s="28">
        <v>3.7806025799908799E-2</v>
      </c>
      <c r="DR139" s="28">
        <v>1.4581307518361999</v>
      </c>
      <c r="DS139" s="28">
        <v>0</v>
      </c>
      <c r="DT139" s="28">
        <v>0</v>
      </c>
      <c r="DU139" s="28">
        <v>0.62289150588132902</v>
      </c>
      <c r="DV139" s="28">
        <v>1.3734056265004999</v>
      </c>
      <c r="DW139" s="28">
        <v>0</v>
      </c>
      <c r="DX139" s="28">
        <v>6.1805707227332096</v>
      </c>
      <c r="DY139" s="28">
        <v>4.3697621418064996</v>
      </c>
      <c r="DZ139" s="28">
        <v>10.4854502382689</v>
      </c>
      <c r="EA139" s="28">
        <v>0</v>
      </c>
      <c r="EB139" s="28">
        <v>1.7598632289246601</v>
      </c>
      <c r="EC139" s="28">
        <v>16.5370558721973</v>
      </c>
      <c r="ED139" s="28">
        <v>2.8660292067546802</v>
      </c>
      <c r="EE139" s="28">
        <v>5.3922241416388097</v>
      </c>
      <c r="EF139" s="28">
        <v>5.6169176765176498</v>
      </c>
      <c r="EG139" s="28">
        <v>0.115790921746409</v>
      </c>
      <c r="EH139" s="28">
        <v>3.9981950335037E-2</v>
      </c>
      <c r="EI139" s="28">
        <v>1.87909137521718E-2</v>
      </c>
      <c r="EJ139" s="28">
        <v>4.20056416356684</v>
      </c>
      <c r="EK139" s="28">
        <v>9.5557261905687405E-2</v>
      </c>
      <c r="EL139" s="28">
        <v>2.2119309978981598</v>
      </c>
      <c r="EM139" s="28">
        <v>0</v>
      </c>
      <c r="EN139" s="28">
        <v>0</v>
      </c>
      <c r="EO139" s="28">
        <v>3.2031012423868401</v>
      </c>
      <c r="EP139" s="28">
        <v>0</v>
      </c>
      <c r="EQ139" s="28">
        <v>0</v>
      </c>
      <c r="ER139" s="28">
        <v>1.2505082140807399E-2</v>
      </c>
      <c r="ES139" s="28">
        <v>3.2496651453837102</v>
      </c>
      <c r="ET139" s="28">
        <v>0.14228035665518299</v>
      </c>
      <c r="EU139" s="28">
        <v>0</v>
      </c>
      <c r="EV139" s="28">
        <v>6.9794752715507502E-2</v>
      </c>
      <c r="EW139" s="28">
        <v>0</v>
      </c>
      <c r="EX139" s="28">
        <v>61.741349999999997</v>
      </c>
      <c r="EY139" s="28">
        <v>0</v>
      </c>
      <c r="EZ139" s="28">
        <v>16.262664000000001</v>
      </c>
      <c r="FA139" s="28">
        <v>47.9456345677008</v>
      </c>
      <c r="FB139" s="28">
        <v>0</v>
      </c>
      <c r="FC139" s="28">
        <v>4.8557981434038204</v>
      </c>
      <c r="FD139" s="28">
        <v>0</v>
      </c>
      <c r="FE139" s="28">
        <v>5.7935110647866299</v>
      </c>
      <c r="FF139" s="28">
        <v>112.614685519955</v>
      </c>
      <c r="FG139" s="28">
        <v>166.177796087286</v>
      </c>
      <c r="FH139" s="28">
        <v>6.6981852703404803</v>
      </c>
      <c r="FI139" s="28">
        <v>87.014596041184305</v>
      </c>
      <c r="FJ139" s="28">
        <v>0</v>
      </c>
      <c r="FK139" s="28">
        <v>62.308351891468099</v>
      </c>
      <c r="FL139" s="28">
        <v>3791.2101429135901</v>
      </c>
      <c r="FM139" s="28">
        <v>564.94350032059197</v>
      </c>
      <c r="FN139" s="28">
        <v>0</v>
      </c>
      <c r="FO139" s="28">
        <v>5.7283114408314102</v>
      </c>
      <c r="FP139" s="28">
        <v>5.7752326544164703</v>
      </c>
      <c r="FQ139" s="28">
        <v>0</v>
      </c>
      <c r="FR139" s="28">
        <v>0</v>
      </c>
      <c r="FS139" s="28">
        <v>4.1732608201133896</v>
      </c>
      <c r="FT139" s="28">
        <v>0</v>
      </c>
      <c r="FU139" s="28">
        <v>0</v>
      </c>
      <c r="FV139" s="28">
        <v>0</v>
      </c>
      <c r="FW139" s="28">
        <v>0</v>
      </c>
      <c r="FX139" s="28">
        <v>3.5850067061975399</v>
      </c>
      <c r="FY139" s="28">
        <v>0</v>
      </c>
      <c r="FZ139" s="28">
        <v>0</v>
      </c>
      <c r="GA139" s="28">
        <v>1.2884189071351399E-2</v>
      </c>
      <c r="GB139" s="28">
        <v>0</v>
      </c>
      <c r="GC139" s="28">
        <v>0</v>
      </c>
      <c r="GD139" s="28">
        <v>448.85944983300101</v>
      </c>
      <c r="GE139" s="28">
        <v>0</v>
      </c>
      <c r="GF139" s="28">
        <v>22.453283351274401</v>
      </c>
      <c r="GG139" s="28">
        <v>190.7</v>
      </c>
      <c r="GH139" s="28">
        <v>0.62601214996836796</v>
      </c>
      <c r="GI139" s="28">
        <v>1.24686825012817</v>
      </c>
      <c r="GJ139" s="28">
        <v>0</v>
      </c>
      <c r="GK139" s="28">
        <v>4.2846454338297404</v>
      </c>
      <c r="GL139" s="28">
        <v>0</v>
      </c>
      <c r="GM139" s="28">
        <v>0</v>
      </c>
      <c r="GN139" s="28">
        <v>0</v>
      </c>
      <c r="GO139" s="28">
        <v>0</v>
      </c>
      <c r="GP139" s="28">
        <v>0</v>
      </c>
      <c r="GQ139" s="21">
        <v>6747.8033239673205</v>
      </c>
      <c r="GR139" s="21">
        <v>42.527596672040502</v>
      </c>
      <c r="GS139" s="20">
        <v>42.527596672040502</v>
      </c>
      <c r="GT139" s="20">
        <v>0</v>
      </c>
      <c r="GU139" s="20">
        <v>0</v>
      </c>
      <c r="GV139" s="20">
        <v>0</v>
      </c>
      <c r="GW139" s="20">
        <v>0</v>
      </c>
      <c r="GX139" s="21">
        <v>12.781592943943355</v>
      </c>
      <c r="GY139" s="20">
        <v>0</v>
      </c>
      <c r="GZ139" s="20">
        <v>12.781592943943355</v>
      </c>
      <c r="HA139" s="20"/>
      <c r="HB139" s="21">
        <v>143.153840508</v>
      </c>
      <c r="HC139" s="21">
        <v>6946.2663540913036</v>
      </c>
    </row>
    <row r="140" spans="1:211" s="7" customFormat="1" ht="17.25" customHeight="1">
      <c r="A140" s="7">
        <f t="shared" si="9"/>
        <v>140</v>
      </c>
      <c r="B140" s="26" t="s">
        <v>118</v>
      </c>
      <c r="C140" s="10" t="s">
        <v>576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0</v>
      </c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28">
        <v>0</v>
      </c>
      <c r="CO140" s="28">
        <v>0</v>
      </c>
      <c r="CP140" s="28">
        <v>0</v>
      </c>
      <c r="CQ140" s="28">
        <v>0</v>
      </c>
      <c r="CR140" s="28">
        <v>0</v>
      </c>
      <c r="CS140" s="28">
        <v>0</v>
      </c>
      <c r="CT140" s="28">
        <v>0</v>
      </c>
      <c r="CU140" s="28">
        <v>0</v>
      </c>
      <c r="CV140" s="28">
        <v>0</v>
      </c>
      <c r="CW140" s="28">
        <v>0</v>
      </c>
      <c r="CX140" s="28">
        <v>0</v>
      </c>
      <c r="CY140" s="28">
        <v>0</v>
      </c>
      <c r="CZ140" s="28">
        <v>0</v>
      </c>
      <c r="DA140" s="28">
        <v>0</v>
      </c>
      <c r="DB140" s="28">
        <v>0</v>
      </c>
      <c r="DC140" s="28">
        <v>0</v>
      </c>
      <c r="DD140" s="28">
        <v>0</v>
      </c>
      <c r="DE140" s="28">
        <v>0</v>
      </c>
      <c r="DF140" s="28">
        <v>0</v>
      </c>
      <c r="DG140" s="28">
        <v>0</v>
      </c>
      <c r="DH140" s="28">
        <v>0</v>
      </c>
      <c r="DI140" s="28">
        <v>0</v>
      </c>
      <c r="DJ140" s="28">
        <v>0</v>
      </c>
      <c r="DK140" s="28">
        <v>0</v>
      </c>
      <c r="DL140" s="28">
        <v>0</v>
      </c>
      <c r="DM140" s="28">
        <v>0</v>
      </c>
      <c r="DN140" s="28">
        <v>0</v>
      </c>
      <c r="DO140" s="28">
        <v>0</v>
      </c>
      <c r="DP140" s="28">
        <v>0</v>
      </c>
      <c r="DQ140" s="28">
        <v>0</v>
      </c>
      <c r="DR140" s="28">
        <v>0</v>
      </c>
      <c r="DS140" s="28">
        <v>0</v>
      </c>
      <c r="DT140" s="28">
        <v>0</v>
      </c>
      <c r="DU140" s="28">
        <v>0</v>
      </c>
      <c r="DV140" s="28">
        <v>0</v>
      </c>
      <c r="DW140" s="28">
        <v>0</v>
      </c>
      <c r="DX140" s="28">
        <v>0</v>
      </c>
      <c r="DY140" s="28">
        <v>0</v>
      </c>
      <c r="DZ140" s="28">
        <v>0</v>
      </c>
      <c r="EA140" s="28">
        <v>0</v>
      </c>
      <c r="EB140" s="28">
        <v>0</v>
      </c>
      <c r="EC140" s="28">
        <v>0</v>
      </c>
      <c r="ED140" s="28">
        <v>0</v>
      </c>
      <c r="EE140" s="28">
        <v>0</v>
      </c>
      <c r="EF140" s="28">
        <v>0</v>
      </c>
      <c r="EG140" s="28">
        <v>0</v>
      </c>
      <c r="EH140" s="28">
        <v>0</v>
      </c>
      <c r="EI140" s="28">
        <v>0</v>
      </c>
      <c r="EJ140" s="28">
        <v>0</v>
      </c>
      <c r="EK140" s="28">
        <v>0</v>
      </c>
      <c r="EL140" s="28">
        <v>0</v>
      </c>
      <c r="EM140" s="28">
        <v>0</v>
      </c>
      <c r="EN140" s="28">
        <v>0</v>
      </c>
      <c r="EO140" s="28">
        <v>0</v>
      </c>
      <c r="EP140" s="28">
        <v>0</v>
      </c>
      <c r="EQ140" s="28">
        <v>0</v>
      </c>
      <c r="ER140" s="28">
        <v>0</v>
      </c>
      <c r="ES140" s="28">
        <v>0</v>
      </c>
      <c r="ET140" s="28">
        <v>0</v>
      </c>
      <c r="EU140" s="28">
        <v>0</v>
      </c>
      <c r="EV140" s="28">
        <v>0</v>
      </c>
      <c r="EW140" s="28">
        <v>0</v>
      </c>
      <c r="EX140" s="28">
        <v>0</v>
      </c>
      <c r="EY140" s="28">
        <v>0</v>
      </c>
      <c r="EZ140" s="28">
        <v>0</v>
      </c>
      <c r="FA140" s="28">
        <v>0</v>
      </c>
      <c r="FB140" s="28">
        <v>0</v>
      </c>
      <c r="FC140" s="28">
        <v>0</v>
      </c>
      <c r="FD140" s="28">
        <v>0</v>
      </c>
      <c r="FE140" s="28">
        <v>0</v>
      </c>
      <c r="FF140" s="28">
        <v>0</v>
      </c>
      <c r="FG140" s="28">
        <v>0</v>
      </c>
      <c r="FH140" s="28">
        <v>0</v>
      </c>
      <c r="FI140" s="28">
        <v>0</v>
      </c>
      <c r="FJ140" s="28">
        <v>0</v>
      </c>
      <c r="FK140" s="28">
        <v>0</v>
      </c>
      <c r="FL140" s="28">
        <v>0</v>
      </c>
      <c r="FM140" s="28">
        <v>0</v>
      </c>
      <c r="FN140" s="28">
        <v>0</v>
      </c>
      <c r="FO140" s="28">
        <v>0</v>
      </c>
      <c r="FP140" s="28">
        <v>0</v>
      </c>
      <c r="FQ140" s="28">
        <v>0</v>
      </c>
      <c r="FR140" s="28">
        <v>0</v>
      </c>
      <c r="FS140" s="28">
        <v>0</v>
      </c>
      <c r="FT140" s="28">
        <v>0</v>
      </c>
      <c r="FU140" s="28">
        <v>0</v>
      </c>
      <c r="FV140" s="28">
        <v>0</v>
      </c>
      <c r="FW140" s="28">
        <v>0</v>
      </c>
      <c r="FX140" s="28">
        <v>0</v>
      </c>
      <c r="FY140" s="28">
        <v>0</v>
      </c>
      <c r="FZ140" s="28">
        <v>0</v>
      </c>
      <c r="GA140" s="28">
        <v>0</v>
      </c>
      <c r="GB140" s="28">
        <v>0</v>
      </c>
      <c r="GC140" s="28">
        <v>0</v>
      </c>
      <c r="GD140" s="28">
        <v>0</v>
      </c>
      <c r="GE140" s="28">
        <v>0</v>
      </c>
      <c r="GF140" s="28">
        <v>0</v>
      </c>
      <c r="GG140" s="28">
        <v>0</v>
      </c>
      <c r="GH140" s="28">
        <v>0</v>
      </c>
      <c r="GI140" s="28">
        <v>0</v>
      </c>
      <c r="GJ140" s="28">
        <v>0</v>
      </c>
      <c r="GK140" s="28">
        <v>0</v>
      </c>
      <c r="GL140" s="28">
        <v>0</v>
      </c>
      <c r="GM140" s="28">
        <v>0</v>
      </c>
      <c r="GN140" s="28">
        <v>0</v>
      </c>
      <c r="GO140" s="28">
        <v>0</v>
      </c>
      <c r="GP140" s="28">
        <v>0</v>
      </c>
      <c r="GQ140" s="21">
        <v>0</v>
      </c>
      <c r="GR140" s="21">
        <v>0</v>
      </c>
      <c r="GS140" s="20">
        <v>0</v>
      </c>
      <c r="GT140" s="20">
        <v>0</v>
      </c>
      <c r="GU140" s="20">
        <v>0</v>
      </c>
      <c r="GV140" s="20">
        <v>0</v>
      </c>
      <c r="GW140" s="20">
        <v>0</v>
      </c>
      <c r="GX140" s="21">
        <v>8.16980428300832</v>
      </c>
      <c r="GY140" s="20">
        <v>0</v>
      </c>
      <c r="GZ140" s="20">
        <v>8.16980428300832</v>
      </c>
      <c r="HA140" s="20"/>
      <c r="HB140" s="21">
        <v>359.85775213919999</v>
      </c>
      <c r="HC140" s="21">
        <v>368.02755642220831</v>
      </c>
    </row>
    <row r="141" spans="1:211" s="7" customFormat="1" ht="17.25" customHeight="1">
      <c r="A141" s="7">
        <f t="shared" si="9"/>
        <v>141</v>
      </c>
      <c r="B141" s="26" t="s">
        <v>577</v>
      </c>
      <c r="C141" s="9" t="s">
        <v>578</v>
      </c>
      <c r="D141" s="28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8">
        <v>0</v>
      </c>
      <c r="BB141" s="28">
        <v>0</v>
      </c>
      <c r="BC141" s="28">
        <v>0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  <c r="CR141" s="28">
        <v>0</v>
      </c>
      <c r="CS141" s="28">
        <v>0</v>
      </c>
      <c r="CT141" s="28">
        <v>0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0</v>
      </c>
      <c r="DA141" s="28">
        <v>0</v>
      </c>
      <c r="DB141" s="28">
        <v>0</v>
      </c>
      <c r="DC141" s="28">
        <v>0</v>
      </c>
      <c r="DD141" s="28">
        <v>0</v>
      </c>
      <c r="DE141" s="28">
        <v>0</v>
      </c>
      <c r="DF141" s="28">
        <v>0</v>
      </c>
      <c r="DG141" s="28">
        <v>0</v>
      </c>
      <c r="DH141" s="28">
        <v>0</v>
      </c>
      <c r="DI141" s="28">
        <v>0</v>
      </c>
      <c r="DJ141" s="28">
        <v>1444.88440644922</v>
      </c>
      <c r="DK141" s="28">
        <v>0</v>
      </c>
      <c r="DL141" s="28">
        <v>0</v>
      </c>
      <c r="DM141" s="28">
        <v>0</v>
      </c>
      <c r="DN141" s="28">
        <v>0</v>
      </c>
      <c r="DO141" s="28">
        <v>0</v>
      </c>
      <c r="DP141" s="28">
        <v>0</v>
      </c>
      <c r="DQ141" s="28">
        <v>0</v>
      </c>
      <c r="DR141" s="28">
        <v>0</v>
      </c>
      <c r="DS141" s="28">
        <v>0</v>
      </c>
      <c r="DT141" s="28">
        <v>0</v>
      </c>
      <c r="DU141" s="28">
        <v>0</v>
      </c>
      <c r="DV141" s="28">
        <v>0</v>
      </c>
      <c r="DW141" s="28">
        <v>0</v>
      </c>
      <c r="DX141" s="28">
        <v>0</v>
      </c>
      <c r="DY141" s="28">
        <v>0</v>
      </c>
      <c r="DZ141" s="28">
        <v>0</v>
      </c>
      <c r="EA141" s="28">
        <v>0</v>
      </c>
      <c r="EB141" s="28">
        <v>0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0</v>
      </c>
      <c r="EI141" s="28">
        <v>0</v>
      </c>
      <c r="EJ141" s="28">
        <v>0</v>
      </c>
      <c r="EK141" s="28">
        <v>0</v>
      </c>
      <c r="EL141" s="28">
        <v>0</v>
      </c>
      <c r="EM141" s="28">
        <v>0</v>
      </c>
      <c r="EN141" s="28">
        <v>0</v>
      </c>
      <c r="EO141" s="28">
        <v>0</v>
      </c>
      <c r="EP141" s="28">
        <v>0</v>
      </c>
      <c r="EQ141" s="28">
        <v>0</v>
      </c>
      <c r="ER141" s="28">
        <v>0</v>
      </c>
      <c r="ES141" s="28">
        <v>0</v>
      </c>
      <c r="ET141" s="28">
        <v>0</v>
      </c>
      <c r="EU141" s="28">
        <v>0</v>
      </c>
      <c r="EV141" s="28">
        <v>0</v>
      </c>
      <c r="EW141" s="28">
        <v>0</v>
      </c>
      <c r="EX141" s="28">
        <v>0</v>
      </c>
      <c r="EY141" s="28">
        <v>0</v>
      </c>
      <c r="EZ141" s="28">
        <v>0</v>
      </c>
      <c r="FA141" s="28">
        <v>0</v>
      </c>
      <c r="FB141" s="28">
        <v>0</v>
      </c>
      <c r="FC141" s="28">
        <v>0</v>
      </c>
      <c r="FD141" s="28">
        <v>0</v>
      </c>
      <c r="FE141" s="28">
        <v>0</v>
      </c>
      <c r="FF141" s="28">
        <v>0</v>
      </c>
      <c r="FG141" s="28">
        <v>0</v>
      </c>
      <c r="FH141" s="28">
        <v>0</v>
      </c>
      <c r="FI141" s="28">
        <v>0</v>
      </c>
      <c r="FJ141" s="28">
        <v>0</v>
      </c>
      <c r="FK141" s="28">
        <v>0</v>
      </c>
      <c r="FL141" s="28">
        <v>0</v>
      </c>
      <c r="FM141" s="28">
        <v>0</v>
      </c>
      <c r="FN141" s="28">
        <v>0</v>
      </c>
      <c r="FO141" s="28">
        <v>0</v>
      </c>
      <c r="FP141" s="28">
        <v>0</v>
      </c>
      <c r="FQ141" s="28">
        <v>0</v>
      </c>
      <c r="FR141" s="28">
        <v>0</v>
      </c>
      <c r="FS141" s="28">
        <v>0</v>
      </c>
      <c r="FT141" s="28">
        <v>0</v>
      </c>
      <c r="FU141" s="28">
        <v>0</v>
      </c>
      <c r="FV141" s="28">
        <v>0</v>
      </c>
      <c r="FW141" s="28">
        <v>0</v>
      </c>
      <c r="FX141" s="28">
        <v>0</v>
      </c>
      <c r="FY141" s="28">
        <v>0</v>
      </c>
      <c r="FZ141" s="28">
        <v>0</v>
      </c>
      <c r="GA141" s="28">
        <v>0</v>
      </c>
      <c r="GB141" s="28">
        <v>0</v>
      </c>
      <c r="GC141" s="28">
        <v>0</v>
      </c>
      <c r="GD141" s="28">
        <v>0</v>
      </c>
      <c r="GE141" s="28">
        <v>0</v>
      </c>
      <c r="GF141" s="28">
        <v>0</v>
      </c>
      <c r="GG141" s="28">
        <v>0</v>
      </c>
      <c r="GH141" s="28">
        <v>0</v>
      </c>
      <c r="GI141" s="28">
        <v>0</v>
      </c>
      <c r="GJ141" s="28">
        <v>0</v>
      </c>
      <c r="GK141" s="28">
        <v>0</v>
      </c>
      <c r="GL141" s="28">
        <v>0</v>
      </c>
      <c r="GM141" s="28">
        <v>0</v>
      </c>
      <c r="GN141" s="28">
        <v>0</v>
      </c>
      <c r="GO141" s="28">
        <v>0</v>
      </c>
      <c r="GP141" s="28">
        <v>0</v>
      </c>
      <c r="GQ141" s="21">
        <v>1444.88440644922</v>
      </c>
      <c r="GR141" s="21">
        <v>0</v>
      </c>
      <c r="GS141" s="20">
        <v>0</v>
      </c>
      <c r="GT141" s="20">
        <v>0</v>
      </c>
      <c r="GU141" s="20">
        <v>0</v>
      </c>
      <c r="GV141" s="20">
        <v>0</v>
      </c>
      <c r="GW141" s="20">
        <v>0</v>
      </c>
      <c r="GX141" s="21">
        <v>0</v>
      </c>
      <c r="GY141" s="20">
        <v>0</v>
      </c>
      <c r="GZ141" s="20">
        <v>0</v>
      </c>
      <c r="HA141" s="20"/>
      <c r="HB141" s="21">
        <v>0</v>
      </c>
      <c r="HC141" s="21">
        <v>1444.88440644922</v>
      </c>
    </row>
    <row r="142" spans="1:211" s="7" customFormat="1" ht="17.25" customHeight="1">
      <c r="A142" s="7">
        <f t="shared" si="9"/>
        <v>142</v>
      </c>
      <c r="B142" s="26" t="s">
        <v>119</v>
      </c>
      <c r="C142" s="10" t="s">
        <v>579</v>
      </c>
      <c r="D142" s="28">
        <v>36.619999999999997</v>
      </c>
      <c r="E142" s="28">
        <v>0</v>
      </c>
      <c r="F142" s="28">
        <v>0</v>
      </c>
      <c r="G142" s="28">
        <v>0</v>
      </c>
      <c r="H142" s="28">
        <v>3.2455996851834898</v>
      </c>
      <c r="I142" s="28">
        <v>0.76653596544066605</v>
      </c>
      <c r="J142" s="28">
        <v>8.7319081818890101E-2</v>
      </c>
      <c r="K142" s="28">
        <v>2.3971217751387702E-2</v>
      </c>
      <c r="L142" s="28">
        <v>0.56968370795883805</v>
      </c>
      <c r="M142" s="28">
        <v>3.8955561011445599</v>
      </c>
      <c r="N142" s="28">
        <v>9.7854517941232508</v>
      </c>
      <c r="O142" s="28">
        <v>0.66459382354816998</v>
      </c>
      <c r="P142" s="28">
        <v>0.35064136258206002</v>
      </c>
      <c r="Q142" s="28">
        <v>3.0439346236246898</v>
      </c>
      <c r="R142" s="28">
        <v>0.63608386474774303</v>
      </c>
      <c r="S142" s="28">
        <v>0</v>
      </c>
      <c r="T142" s="28">
        <v>3.86852466515955</v>
      </c>
      <c r="U142" s="28">
        <v>3.0314617385084301</v>
      </c>
      <c r="V142" s="28">
        <v>0</v>
      </c>
      <c r="W142" s="28">
        <v>0.31424358948779901</v>
      </c>
      <c r="X142" s="28">
        <v>9.9680087564988903E-2</v>
      </c>
      <c r="Y142" s="28">
        <v>3.7946727490099398E-2</v>
      </c>
      <c r="Z142" s="28">
        <v>1.3654028014356201E-2</v>
      </c>
      <c r="AA142" s="28">
        <v>2.6480948078809901E-3</v>
      </c>
      <c r="AB142" s="28">
        <v>0</v>
      </c>
      <c r="AC142" s="28">
        <v>0</v>
      </c>
      <c r="AD142" s="28">
        <v>8.6724022447188506E-2</v>
      </c>
      <c r="AE142" s="28">
        <v>0.79848640162986395</v>
      </c>
      <c r="AF142" s="28">
        <v>1.1456131627775401</v>
      </c>
      <c r="AG142" s="28">
        <v>0.75937291404975704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0.169724085089419</v>
      </c>
      <c r="AP142" s="28">
        <v>10.0502396492431</v>
      </c>
      <c r="AQ142" s="28">
        <v>0.661079416728244</v>
      </c>
      <c r="AR142" s="28">
        <v>0.22253491567766401</v>
      </c>
      <c r="AS142" s="28">
        <v>1.18193142574316E-2</v>
      </c>
      <c r="AT142" s="28">
        <v>14.726317443113301</v>
      </c>
      <c r="AU142" s="28">
        <v>2.0161899881348999</v>
      </c>
      <c r="AV142" s="28">
        <v>6.4300546880808298</v>
      </c>
      <c r="AW142" s="28">
        <v>11.1397602423613</v>
      </c>
      <c r="AX142" s="28">
        <v>37.530149102362003</v>
      </c>
      <c r="AY142" s="28">
        <v>0</v>
      </c>
      <c r="AZ142" s="28">
        <v>9.6174840497789695</v>
      </c>
      <c r="BA142" s="28">
        <v>3.5377188654580798</v>
      </c>
      <c r="BB142" s="28">
        <v>0.10559730081990901</v>
      </c>
      <c r="BC142" s="28">
        <v>46.007626120865197</v>
      </c>
      <c r="BD142" s="28">
        <v>4.5375762828970698E-2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2.3383551391656998</v>
      </c>
      <c r="BK142" s="28">
        <v>0</v>
      </c>
      <c r="BL142" s="28">
        <v>0.54668807501134797</v>
      </c>
      <c r="BM142" s="28">
        <v>0.97451935103693499</v>
      </c>
      <c r="BN142" s="28">
        <v>0.60612816725465202</v>
      </c>
      <c r="BO142" s="28">
        <v>0.43910068184036599</v>
      </c>
      <c r="BP142" s="28">
        <v>3.1680670403815602E-3</v>
      </c>
      <c r="BQ142" s="28">
        <v>0.12317569141092601</v>
      </c>
      <c r="BR142" s="28">
        <v>0.31210412969517998</v>
      </c>
      <c r="BS142" s="28">
        <v>0</v>
      </c>
      <c r="BT142" s="28">
        <v>0</v>
      </c>
      <c r="BU142" s="28">
        <v>0.78005975302851005</v>
      </c>
      <c r="BV142" s="28">
        <v>5.3874380805247997</v>
      </c>
      <c r="BW142" s="28">
        <v>0</v>
      </c>
      <c r="BX142" s="28">
        <v>6.6285457101000395E-2</v>
      </c>
      <c r="BY142" s="28">
        <v>0.46307165969288</v>
      </c>
      <c r="BZ142" s="28">
        <v>9.34427788652145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0.89214373603742603</v>
      </c>
      <c r="CH142" s="28">
        <v>0</v>
      </c>
      <c r="CI142" s="28">
        <v>0.27035021781921398</v>
      </c>
      <c r="CJ142" s="28">
        <v>0.392378836082801</v>
      </c>
      <c r="CK142" s="28">
        <v>0</v>
      </c>
      <c r="CL142" s="28">
        <v>2.2995681685073501E-3</v>
      </c>
      <c r="CM142" s="28">
        <v>0.12887088218205101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1.4483915646144101</v>
      </c>
      <c r="CU142" s="28">
        <v>4.1493995823194803E-2</v>
      </c>
      <c r="CV142" s="28">
        <v>0</v>
      </c>
      <c r="CW142" s="28">
        <v>9.5087480181087702</v>
      </c>
      <c r="CX142" s="28">
        <v>3.7738295784256297E-2</v>
      </c>
      <c r="CY142" s="28">
        <v>8.8326533183580899E-2</v>
      </c>
      <c r="CZ142" s="28">
        <v>0</v>
      </c>
      <c r="DA142" s="28">
        <v>0</v>
      </c>
      <c r="DB142" s="28">
        <v>0</v>
      </c>
      <c r="DC142" s="28">
        <v>0.84459893172176903</v>
      </c>
      <c r="DD142" s="28">
        <v>0</v>
      </c>
      <c r="DE142" s="28">
        <v>0</v>
      </c>
      <c r="DF142" s="28">
        <v>0.106854897877422</v>
      </c>
      <c r="DG142" s="28">
        <v>3.9895588660354302</v>
      </c>
      <c r="DH142" s="28">
        <v>1.9221534293046401</v>
      </c>
      <c r="DI142" s="28">
        <v>0</v>
      </c>
      <c r="DJ142" s="28">
        <v>90.505134595652606</v>
      </c>
      <c r="DK142" s="28">
        <v>0</v>
      </c>
      <c r="DL142" s="28">
        <v>5.9969926929094801E-2</v>
      </c>
      <c r="DM142" s="28">
        <v>1.26543742277098E-2</v>
      </c>
      <c r="DN142" s="28">
        <v>7.2825851651764806E-2</v>
      </c>
      <c r="DO142" s="28">
        <v>7.4498753114522502E-3</v>
      </c>
      <c r="DP142" s="28">
        <v>0</v>
      </c>
      <c r="DQ142" s="28">
        <v>0.559464192362226</v>
      </c>
      <c r="DR142" s="28">
        <v>1.6468084697812699</v>
      </c>
      <c r="DS142" s="28">
        <v>1.0464964820223001E-2</v>
      </c>
      <c r="DT142" s="28">
        <v>0</v>
      </c>
      <c r="DU142" s="28">
        <v>1.63819550849139</v>
      </c>
      <c r="DV142" s="28">
        <v>0</v>
      </c>
      <c r="DW142" s="28">
        <v>0</v>
      </c>
      <c r="DX142" s="28">
        <v>2.8590110387305998</v>
      </c>
      <c r="DY142" s="28">
        <v>2.0845956975539202</v>
      </c>
      <c r="DZ142" s="28">
        <v>4.1468915814716301</v>
      </c>
      <c r="EA142" s="28">
        <v>0</v>
      </c>
      <c r="EB142" s="28">
        <v>0.27837716123178002</v>
      </c>
      <c r="EC142" s="28">
        <v>1.35902661705258</v>
      </c>
      <c r="ED142" s="28">
        <v>3.3144085469385098</v>
      </c>
      <c r="EE142" s="28">
        <v>2.8707236296602101</v>
      </c>
      <c r="EF142" s="28">
        <v>18.3251734638235</v>
      </c>
      <c r="EG142" s="28">
        <v>0.40911797763775398</v>
      </c>
      <c r="EH142" s="28">
        <v>9.4177415732742506E-2</v>
      </c>
      <c r="EI142" s="28">
        <v>4.3683674325106697E-2</v>
      </c>
      <c r="EJ142" s="28">
        <v>5.7119986679804198</v>
      </c>
      <c r="EK142" s="28">
        <v>2.37124992452852E-2</v>
      </c>
      <c r="EL142" s="28">
        <v>0.91948741226991804</v>
      </c>
      <c r="EM142" s="28">
        <v>2.6086757762971398E-3</v>
      </c>
      <c r="EN142" s="28">
        <v>0</v>
      </c>
      <c r="EO142" s="28">
        <v>0.27041622644800001</v>
      </c>
      <c r="EP142" s="28">
        <v>0</v>
      </c>
      <c r="EQ142" s="28">
        <v>1.5580003585560401E-2</v>
      </c>
      <c r="ER142" s="28">
        <v>0.218947064849736</v>
      </c>
      <c r="ES142" s="28">
        <v>5.7298870373369697</v>
      </c>
      <c r="ET142" s="28">
        <v>7.8189961416234697</v>
      </c>
      <c r="EU142" s="28">
        <v>4.16166890349862E-2</v>
      </c>
      <c r="EV142" s="28">
        <v>1.7064154123724098E-2</v>
      </c>
      <c r="EW142" s="28">
        <v>8.9767066431460201</v>
      </c>
      <c r="EX142" s="28">
        <v>8.4625063774576098E-2</v>
      </c>
      <c r="EY142" s="28">
        <v>0</v>
      </c>
      <c r="EZ142" s="28">
        <v>0</v>
      </c>
      <c r="FA142" s="28">
        <v>4.3680420970021201</v>
      </c>
      <c r="FB142" s="28">
        <v>0</v>
      </c>
      <c r="FC142" s="28">
        <v>23.2395635357061</v>
      </c>
      <c r="FD142" s="28">
        <v>2.9009322617928599</v>
      </c>
      <c r="FE142" s="28">
        <v>4.2779391960651303</v>
      </c>
      <c r="FF142" s="28">
        <v>12.539247140278199</v>
      </c>
      <c r="FG142" s="28">
        <v>597.82053714078495</v>
      </c>
      <c r="FH142" s="28">
        <v>187.65366934747999</v>
      </c>
      <c r="FI142" s="28">
        <v>55.567515707383698</v>
      </c>
      <c r="FJ142" s="28">
        <v>0</v>
      </c>
      <c r="FK142" s="28">
        <v>0.12454108501974499</v>
      </c>
      <c r="FL142" s="28">
        <v>61.212119249190998</v>
      </c>
      <c r="FM142" s="28">
        <v>128.67974442117799</v>
      </c>
      <c r="FN142" s="28">
        <v>0</v>
      </c>
      <c r="FO142" s="28">
        <v>0</v>
      </c>
      <c r="FP142" s="28">
        <v>2.3939373037741799E-2</v>
      </c>
      <c r="FQ142" s="28">
        <v>0</v>
      </c>
      <c r="FR142" s="28">
        <v>0</v>
      </c>
      <c r="FS142" s="28">
        <v>2.6886608619422501</v>
      </c>
      <c r="FT142" s="28">
        <v>0</v>
      </c>
      <c r="FU142" s="28">
        <v>0</v>
      </c>
      <c r="FV142" s="28">
        <v>0</v>
      </c>
      <c r="FW142" s="28">
        <v>0</v>
      </c>
      <c r="FX142" s="28">
        <v>1.19500223539918</v>
      </c>
      <c r="FY142" s="28">
        <v>0</v>
      </c>
      <c r="FZ142" s="28">
        <v>0</v>
      </c>
      <c r="GA142" s="28">
        <v>5.1536756285405702E-3</v>
      </c>
      <c r="GB142" s="28">
        <v>0</v>
      </c>
      <c r="GC142" s="28">
        <v>0</v>
      </c>
      <c r="GD142" s="28">
        <v>0</v>
      </c>
      <c r="GE142" s="28">
        <v>26.817875327528299</v>
      </c>
      <c r="GF142" s="28">
        <v>8.9813133405097592</v>
      </c>
      <c r="GG142" s="28">
        <v>107.081552029658</v>
      </c>
      <c r="GH142" s="28">
        <v>0.480029324087479</v>
      </c>
      <c r="GI142" s="28">
        <v>1.6248573829852599</v>
      </c>
      <c r="GJ142" s="28">
        <v>0.32539940425812403</v>
      </c>
      <c r="GK142" s="28">
        <v>0.45843827531301101</v>
      </c>
      <c r="GL142" s="28">
        <v>2.22569427949478</v>
      </c>
      <c r="GM142" s="28">
        <v>0</v>
      </c>
      <c r="GN142" s="28">
        <v>9.0814944123457697E-2</v>
      </c>
      <c r="GO142" s="28">
        <v>0</v>
      </c>
      <c r="GP142" s="28">
        <v>0</v>
      </c>
      <c r="GQ142" s="21">
        <v>1643.6900599951571</v>
      </c>
      <c r="GR142" s="21">
        <v>114.14272644973499</v>
      </c>
      <c r="GS142" s="20">
        <v>114.14272644973499</v>
      </c>
      <c r="GT142" s="20">
        <v>0</v>
      </c>
      <c r="GU142" s="20">
        <v>0</v>
      </c>
      <c r="GV142" s="20">
        <v>0</v>
      </c>
      <c r="GW142" s="20">
        <v>0</v>
      </c>
      <c r="GX142" s="21">
        <v>96.188863958154599</v>
      </c>
      <c r="GY142" s="20">
        <v>0</v>
      </c>
      <c r="GZ142" s="20">
        <v>96.188863958154599</v>
      </c>
      <c r="HA142" s="20"/>
      <c r="HB142" s="21">
        <v>3.5924126304000001</v>
      </c>
      <c r="HC142" s="21">
        <v>1857.6140630334467</v>
      </c>
    </row>
    <row r="143" spans="1:211" s="7" customFormat="1" ht="17.25" customHeight="1">
      <c r="A143" s="7">
        <f t="shared" ref="A143:A206" si="10">+A142+1</f>
        <v>143</v>
      </c>
      <c r="B143" s="26" t="s">
        <v>120</v>
      </c>
      <c r="C143" s="9" t="s">
        <v>580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4.0900027419321701E-2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0.55474821647621897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4.5267624496934298</v>
      </c>
      <c r="AM143" s="28">
        <v>0</v>
      </c>
      <c r="AN143" s="28">
        <v>0</v>
      </c>
      <c r="AO143" s="28">
        <v>0</v>
      </c>
      <c r="AP143" s="28">
        <v>0.14460598530195701</v>
      </c>
      <c r="AQ143" s="28">
        <v>0</v>
      </c>
      <c r="AR143" s="28">
        <v>0</v>
      </c>
      <c r="AS143" s="28">
        <v>0</v>
      </c>
      <c r="AT143" s="28">
        <v>0.112888466128446</v>
      </c>
      <c r="AU143" s="28">
        <v>0</v>
      </c>
      <c r="AV143" s="28">
        <v>1.2929027401787001</v>
      </c>
      <c r="AW143" s="28">
        <v>0</v>
      </c>
      <c r="AX143" s="28">
        <v>3.9625821315465601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56.076800836063299</v>
      </c>
      <c r="BQ143" s="28">
        <v>0</v>
      </c>
      <c r="BR143" s="28">
        <v>0</v>
      </c>
      <c r="BS143" s="28">
        <v>0</v>
      </c>
      <c r="BT143" s="28">
        <v>60.839849694809203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0.1</v>
      </c>
      <c r="CS143" s="28">
        <v>0</v>
      </c>
      <c r="CT143" s="28">
        <v>0</v>
      </c>
      <c r="CU143" s="28">
        <v>0</v>
      </c>
      <c r="CV143" s="28">
        <v>0.25369000000000003</v>
      </c>
      <c r="CW143" s="28">
        <v>0</v>
      </c>
      <c r="CX143" s="28">
        <v>0</v>
      </c>
      <c r="CY143" s="28">
        <v>0</v>
      </c>
      <c r="CZ143" s="28">
        <v>0</v>
      </c>
      <c r="DA143" s="28">
        <v>0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0</v>
      </c>
      <c r="DJ143" s="28">
        <v>1.12281426277162</v>
      </c>
      <c r="DK143" s="28">
        <v>0</v>
      </c>
      <c r="DL143" s="28">
        <v>0</v>
      </c>
      <c r="DM143" s="28">
        <v>0</v>
      </c>
      <c r="DN143" s="28">
        <v>0</v>
      </c>
      <c r="DO143" s="28">
        <v>0</v>
      </c>
      <c r="DP143" s="28">
        <v>0</v>
      </c>
      <c r="DQ143" s="28">
        <v>0</v>
      </c>
      <c r="DR143" s="28">
        <v>0</v>
      </c>
      <c r="DS143" s="28">
        <v>0</v>
      </c>
      <c r="DT143" s="28">
        <v>0</v>
      </c>
      <c r="DU143" s="28">
        <v>3.83549470263388E-2</v>
      </c>
      <c r="DV143" s="28">
        <v>0</v>
      </c>
      <c r="DW143" s="28">
        <v>0</v>
      </c>
      <c r="DX143" s="28">
        <v>0</v>
      </c>
      <c r="DY143" s="28">
        <v>0.64030799841835495</v>
      </c>
      <c r="DZ143" s="28">
        <v>5.7091077596801201</v>
      </c>
      <c r="EA143" s="28">
        <v>0</v>
      </c>
      <c r="EB143" s="28">
        <v>0</v>
      </c>
      <c r="EC143" s="28">
        <v>2.2113728124577601</v>
      </c>
      <c r="ED143" s="28">
        <v>0.32309258281862702</v>
      </c>
      <c r="EE143" s="28">
        <v>0</v>
      </c>
      <c r="EF143" s="28">
        <v>0</v>
      </c>
      <c r="EG143" s="28">
        <v>0</v>
      </c>
      <c r="EH143" s="28">
        <v>0</v>
      </c>
      <c r="EI143" s="28">
        <v>0</v>
      </c>
      <c r="EJ143" s="28">
        <v>0</v>
      </c>
      <c r="EK143" s="28">
        <v>0</v>
      </c>
      <c r="EL143" s="28">
        <v>0</v>
      </c>
      <c r="EM143" s="28">
        <v>0</v>
      </c>
      <c r="EN143" s="28">
        <v>0</v>
      </c>
      <c r="EO143" s="28">
        <v>0</v>
      </c>
      <c r="EP143" s="28">
        <v>0</v>
      </c>
      <c r="EQ143" s="28">
        <v>0</v>
      </c>
      <c r="ER143" s="28">
        <v>0</v>
      </c>
      <c r="ES143" s="28">
        <v>0</v>
      </c>
      <c r="ET143" s="28">
        <v>0</v>
      </c>
      <c r="EU143" s="28">
        <v>0</v>
      </c>
      <c r="EV143" s="28">
        <v>0</v>
      </c>
      <c r="EW143" s="28">
        <v>0</v>
      </c>
      <c r="EX143" s="28">
        <v>0</v>
      </c>
      <c r="EY143" s="28">
        <v>0</v>
      </c>
      <c r="EZ143" s="28">
        <v>0</v>
      </c>
      <c r="FA143" s="28">
        <v>0</v>
      </c>
      <c r="FB143" s="28">
        <v>0</v>
      </c>
      <c r="FC143" s="28">
        <v>0.12543046693078</v>
      </c>
      <c r="FD143" s="28">
        <v>3.5465361083645501E-5</v>
      </c>
      <c r="FE143" s="28">
        <v>0</v>
      </c>
      <c r="FF143" s="28">
        <v>0</v>
      </c>
      <c r="FG143" s="28">
        <v>0.35943638309693798</v>
      </c>
      <c r="FH143" s="28">
        <v>0</v>
      </c>
      <c r="FI143" s="28">
        <v>2.4210813835386</v>
      </c>
      <c r="FJ143" s="28">
        <v>0</v>
      </c>
      <c r="FK143" s="28">
        <v>0</v>
      </c>
      <c r="FL143" s="28">
        <v>0</v>
      </c>
      <c r="FM143" s="28">
        <v>7.9305644137691402</v>
      </c>
      <c r="FN143" s="28">
        <v>0</v>
      </c>
      <c r="FO143" s="28">
        <v>0</v>
      </c>
      <c r="FP143" s="28">
        <v>0</v>
      </c>
      <c r="FQ143" s="28">
        <v>0</v>
      </c>
      <c r="FR143" s="28">
        <v>0</v>
      </c>
      <c r="FS143" s="28">
        <v>4.7538596461378999</v>
      </c>
      <c r="FT143" s="28">
        <v>174.59473360896499</v>
      </c>
      <c r="FU143" s="28">
        <v>0</v>
      </c>
      <c r="FV143" s="28">
        <v>0</v>
      </c>
      <c r="FW143" s="28">
        <v>0</v>
      </c>
      <c r="FX143" s="28">
        <v>0</v>
      </c>
      <c r="FY143" s="28">
        <v>0</v>
      </c>
      <c r="FZ143" s="28">
        <v>0</v>
      </c>
      <c r="GA143" s="28">
        <v>0</v>
      </c>
      <c r="GB143" s="28">
        <v>0</v>
      </c>
      <c r="GC143" s="28">
        <v>0</v>
      </c>
      <c r="GD143" s="28">
        <v>0</v>
      </c>
      <c r="GE143" s="28">
        <v>0</v>
      </c>
      <c r="GF143" s="28">
        <v>4.4906566702548796</v>
      </c>
      <c r="GG143" s="28">
        <v>0</v>
      </c>
      <c r="GH143" s="28">
        <v>1.4518637517100601</v>
      </c>
      <c r="GI143" s="28">
        <v>4.6887499706186802</v>
      </c>
      <c r="GJ143" s="28">
        <v>5.2160729058992897E-2</v>
      </c>
      <c r="GK143" s="28">
        <v>8.7602785880819702</v>
      </c>
      <c r="GL143" s="28">
        <v>2.01232630721853</v>
      </c>
      <c r="GM143" s="28">
        <v>0.161606104897314</v>
      </c>
      <c r="GN143" s="28">
        <v>7.7149889106557901E-2</v>
      </c>
      <c r="GO143" s="28">
        <v>6.9498567927860494E-2</v>
      </c>
      <c r="GP143" s="28">
        <v>0</v>
      </c>
      <c r="GQ143" s="21">
        <v>349.90021285746434</v>
      </c>
      <c r="GR143" s="21">
        <v>451.43509681670798</v>
      </c>
      <c r="GS143" s="20">
        <v>451.43509681670798</v>
      </c>
      <c r="GT143" s="20">
        <v>0</v>
      </c>
      <c r="GU143" s="20">
        <v>0</v>
      </c>
      <c r="GV143" s="20">
        <v>0</v>
      </c>
      <c r="GW143" s="20">
        <v>0</v>
      </c>
      <c r="GX143" s="21">
        <v>2.8699279419154</v>
      </c>
      <c r="GY143" s="20">
        <v>0</v>
      </c>
      <c r="GZ143" s="20">
        <v>2.8699279419154</v>
      </c>
      <c r="HA143" s="20"/>
      <c r="HB143" s="21">
        <v>424.69900388320002</v>
      </c>
      <c r="HC143" s="21">
        <v>1228.9042414992878</v>
      </c>
    </row>
    <row r="144" spans="1:211" s="7" customFormat="1" ht="17.25" customHeight="1">
      <c r="A144" s="7">
        <f t="shared" si="10"/>
        <v>144</v>
      </c>
      <c r="B144" s="26" t="s">
        <v>128</v>
      </c>
      <c r="C144" s="9" t="s">
        <v>581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9.7883820591912105</v>
      </c>
      <c r="AV144" s="28">
        <v>0.162317335858715</v>
      </c>
      <c r="AW144" s="28">
        <v>0</v>
      </c>
      <c r="AX144" s="28">
        <v>5.9278326493221201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1.34654473526166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2.00017349278176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10.720134547477899</v>
      </c>
      <c r="CC144" s="28">
        <v>0.58762820454160902</v>
      </c>
      <c r="CD144" s="28">
        <v>7.7203369764741403</v>
      </c>
      <c r="CE144" s="28">
        <v>2.6251097388514402</v>
      </c>
      <c r="CF144" s="28">
        <v>0</v>
      </c>
      <c r="CG144" s="28">
        <v>0</v>
      </c>
      <c r="CH144" s="28">
        <v>0</v>
      </c>
      <c r="CI144" s="28">
        <v>13.559716224670399</v>
      </c>
      <c r="CJ144" s="28">
        <v>0</v>
      </c>
      <c r="CK144" s="28">
        <v>0</v>
      </c>
      <c r="CL144" s="28">
        <v>3.61747517724505</v>
      </c>
      <c r="CM144" s="28">
        <v>2.8263451564345301</v>
      </c>
      <c r="CN144" s="28">
        <v>0.18750090897083299</v>
      </c>
      <c r="CO144" s="28">
        <v>0</v>
      </c>
      <c r="CP144" s="28">
        <v>0.25533893704414401</v>
      </c>
      <c r="CQ144" s="28">
        <v>0.43788334727287298</v>
      </c>
      <c r="CR144" s="28">
        <v>8.0049844363496696</v>
      </c>
      <c r="CS144" s="28">
        <v>0</v>
      </c>
      <c r="CT144" s="28">
        <v>0</v>
      </c>
      <c r="CU144" s="28">
        <v>0</v>
      </c>
      <c r="CV144" s="28">
        <v>7.3281958739136899E-2</v>
      </c>
      <c r="CW144" s="28">
        <v>4.0634869501641999</v>
      </c>
      <c r="CX144" s="28">
        <v>0</v>
      </c>
      <c r="CY144" s="28">
        <v>18.973874086008799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2</v>
      </c>
      <c r="DH144" s="28">
        <v>0</v>
      </c>
      <c r="DI144" s="28">
        <v>0</v>
      </c>
      <c r="DJ144" s="28">
        <v>0</v>
      </c>
      <c r="DK144" s="28">
        <v>0</v>
      </c>
      <c r="DL144" s="28">
        <v>64.121533284546302</v>
      </c>
      <c r="DM144" s="28">
        <v>0</v>
      </c>
      <c r="DN144" s="28">
        <v>0</v>
      </c>
      <c r="DO144" s="28">
        <v>14.4830696731599</v>
      </c>
      <c r="DP144" s="28">
        <v>0</v>
      </c>
      <c r="DQ144" s="28">
        <v>37.981295414989802</v>
      </c>
      <c r="DR144" s="28">
        <v>72.169531323279699</v>
      </c>
      <c r="DS144" s="28">
        <v>32.2232656983618</v>
      </c>
      <c r="DT144" s="28">
        <v>9.0954490585115205E-2</v>
      </c>
      <c r="DU144" s="28">
        <v>5.8061737181694397</v>
      </c>
      <c r="DV144" s="28">
        <v>23.858346172350199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1.55368588432896</v>
      </c>
      <c r="ED144" s="28">
        <v>0</v>
      </c>
      <c r="EE144" s="28">
        <v>0.36456488855751301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0.162066063286055</v>
      </c>
      <c r="ER144" s="28">
        <v>0</v>
      </c>
      <c r="ES144" s="28">
        <v>3.0569142909390501</v>
      </c>
      <c r="ET144" s="28">
        <v>0</v>
      </c>
      <c r="EU144" s="28">
        <v>0</v>
      </c>
      <c r="EV144" s="28">
        <v>0.95454223087761003</v>
      </c>
      <c r="EW144" s="28">
        <v>0</v>
      </c>
      <c r="EX144" s="28">
        <v>0</v>
      </c>
      <c r="EY144" s="28">
        <v>0</v>
      </c>
      <c r="EZ144" s="28">
        <v>0</v>
      </c>
      <c r="FA144" s="28">
        <v>0</v>
      </c>
      <c r="FB144" s="28">
        <v>0</v>
      </c>
      <c r="FC144" s="28">
        <v>0</v>
      </c>
      <c r="FD144" s="28">
        <v>0</v>
      </c>
      <c r="FE144" s="28">
        <v>0</v>
      </c>
      <c r="FF144" s="28">
        <v>0</v>
      </c>
      <c r="FG144" s="28">
        <v>0</v>
      </c>
      <c r="FH144" s="28">
        <v>0</v>
      </c>
      <c r="FI144" s="28">
        <v>0</v>
      </c>
      <c r="FJ144" s="28">
        <v>0</v>
      </c>
      <c r="FK144" s="28">
        <v>0</v>
      </c>
      <c r="FL144" s="28">
        <v>0</v>
      </c>
      <c r="FM144" s="28">
        <v>0</v>
      </c>
      <c r="FN144" s="28">
        <v>0</v>
      </c>
      <c r="FO144" s="28">
        <v>0</v>
      </c>
      <c r="FP144" s="28">
        <v>0</v>
      </c>
      <c r="FQ144" s="28">
        <v>0</v>
      </c>
      <c r="FR144" s="28">
        <v>0</v>
      </c>
      <c r="FS144" s="28">
        <v>0</v>
      </c>
      <c r="FT144" s="28">
        <v>1.29068699766991E-2</v>
      </c>
      <c r="FU144" s="28">
        <v>0</v>
      </c>
      <c r="FV144" s="28">
        <v>0</v>
      </c>
      <c r="FW144" s="28">
        <v>0</v>
      </c>
      <c r="FX144" s="28">
        <v>0</v>
      </c>
      <c r="FY144" s="28">
        <v>0</v>
      </c>
      <c r="FZ144" s="28">
        <v>0</v>
      </c>
      <c r="GA144" s="28">
        <v>0</v>
      </c>
      <c r="GB144" s="28">
        <v>0</v>
      </c>
      <c r="GC144" s="28">
        <v>0</v>
      </c>
      <c r="GD144" s="28">
        <v>0</v>
      </c>
      <c r="GE144" s="28">
        <v>0</v>
      </c>
      <c r="GF144" s="28">
        <v>0</v>
      </c>
      <c r="GG144" s="28">
        <v>0</v>
      </c>
      <c r="GH144" s="28">
        <v>0</v>
      </c>
      <c r="GI144" s="28">
        <v>1.6248573829852599</v>
      </c>
      <c r="GJ144" s="28">
        <v>6.5826565983539904</v>
      </c>
      <c r="GK144" s="28">
        <v>3.02103796988479</v>
      </c>
      <c r="GL144" s="28">
        <v>0</v>
      </c>
      <c r="GM144" s="28">
        <v>0</v>
      </c>
      <c r="GN144" s="28">
        <v>0</v>
      </c>
      <c r="GO144" s="28">
        <v>0</v>
      </c>
      <c r="GP144" s="28">
        <v>0</v>
      </c>
      <c r="GQ144" s="21">
        <v>362.9457488772922</v>
      </c>
      <c r="GR144" s="21">
        <v>6.2538253118530003</v>
      </c>
      <c r="GS144" s="20">
        <v>6.2538253118530003</v>
      </c>
      <c r="GT144" s="20">
        <v>0</v>
      </c>
      <c r="GU144" s="20">
        <v>0</v>
      </c>
      <c r="GV144" s="20">
        <v>0</v>
      </c>
      <c r="GW144" s="20">
        <v>0</v>
      </c>
      <c r="GX144" s="21">
        <v>79.605437796236501</v>
      </c>
      <c r="GY144" s="20">
        <v>0</v>
      </c>
      <c r="GZ144" s="20">
        <v>79.605437796236501</v>
      </c>
      <c r="HA144" s="20"/>
      <c r="HB144" s="21">
        <v>22.814845548000001</v>
      </c>
      <c r="HC144" s="21">
        <v>471.61985753338172</v>
      </c>
    </row>
    <row r="145" spans="1:211" s="7" customFormat="1" ht="17.25" customHeight="1">
      <c r="A145" s="7">
        <f t="shared" si="10"/>
        <v>145</v>
      </c>
      <c r="B145" s="26" t="s">
        <v>582</v>
      </c>
      <c r="C145" s="10" t="s">
        <v>583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11.0009184685888</v>
      </c>
      <c r="AH145" s="28">
        <v>0</v>
      </c>
      <c r="AI145" s="28">
        <v>0</v>
      </c>
      <c r="AJ145" s="28">
        <v>0</v>
      </c>
      <c r="AK145" s="28">
        <v>0</v>
      </c>
      <c r="AL145" s="28">
        <v>1.9025421692808799</v>
      </c>
      <c r="AM145" s="28">
        <v>0</v>
      </c>
      <c r="AN145" s="28">
        <v>0</v>
      </c>
      <c r="AO145" s="28">
        <v>0</v>
      </c>
      <c r="AP145" s="28">
        <v>0.97638998460814197</v>
      </c>
      <c r="AQ145" s="28">
        <v>0.23262864216380999</v>
      </c>
      <c r="AR145" s="28">
        <v>0</v>
      </c>
      <c r="AS145" s="28">
        <v>0</v>
      </c>
      <c r="AT145" s="28">
        <v>20</v>
      </c>
      <c r="AU145" s="28">
        <v>0</v>
      </c>
      <c r="AV145" s="28">
        <v>0.31845584768964103</v>
      </c>
      <c r="AW145" s="28">
        <v>65.875390488485905</v>
      </c>
      <c r="AX145" s="28">
        <v>151.48933333436099</v>
      </c>
      <c r="AY145" s="28">
        <v>0.11250975601855</v>
      </c>
      <c r="AZ145" s="28">
        <v>15.417233483408999</v>
      </c>
      <c r="BA145" s="28">
        <v>25.446650108986201</v>
      </c>
      <c r="BB145" s="28">
        <v>4.6813975417857696</v>
      </c>
      <c r="BC145" s="28">
        <v>32.099391844276397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0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3.26786373382763</v>
      </c>
      <c r="BW145" s="28">
        <v>0</v>
      </c>
      <c r="BX145" s="28">
        <v>0</v>
      </c>
      <c r="BY145" s="28">
        <v>0</v>
      </c>
      <c r="BZ145" s="28">
        <v>0</v>
      </c>
      <c r="CA145" s="28">
        <v>6.7028859228088598</v>
      </c>
      <c r="CB145" s="28">
        <v>4.6156932483047601</v>
      </c>
      <c r="CC145" s="28">
        <v>0.253010960282609</v>
      </c>
      <c r="CD145" s="28">
        <v>3.3240914187343802</v>
      </c>
      <c r="CE145" s="28">
        <v>1.1302751139934499</v>
      </c>
      <c r="CF145" s="28">
        <v>0</v>
      </c>
      <c r="CG145" s="28">
        <v>50.779167000000001</v>
      </c>
      <c r="CH145" s="28">
        <v>0.197454558676396</v>
      </c>
      <c r="CI145" s="28">
        <v>1.4893217086792001</v>
      </c>
      <c r="CJ145" s="28">
        <v>0</v>
      </c>
      <c r="CK145" s="28">
        <v>0</v>
      </c>
      <c r="CL145" s="28">
        <v>13.603004421179699</v>
      </c>
      <c r="CM145" s="28">
        <v>20.278275834063901</v>
      </c>
      <c r="CN145" s="28">
        <v>8.8357095206724402E-5</v>
      </c>
      <c r="CO145" s="28">
        <v>1.22339308261871</v>
      </c>
      <c r="CP145" s="28">
        <v>2.6672435497900899</v>
      </c>
      <c r="CQ145" s="28">
        <v>0</v>
      </c>
      <c r="CR145" s="28">
        <v>2.5211195028998099</v>
      </c>
      <c r="CS145" s="28">
        <v>6.8738947477426098E-4</v>
      </c>
      <c r="CT145" s="28">
        <v>0.847600138896906</v>
      </c>
      <c r="CU145" s="28">
        <v>0.83448018278234903</v>
      </c>
      <c r="CV145" s="28">
        <v>0</v>
      </c>
      <c r="CW145" s="28">
        <v>78.7646828750579</v>
      </c>
      <c r="CX145" s="28">
        <v>1.9441068069980001</v>
      </c>
      <c r="CY145" s="28">
        <v>5.2856175035694202</v>
      </c>
      <c r="CZ145" s="28">
        <v>0</v>
      </c>
      <c r="DA145" s="28">
        <v>0</v>
      </c>
      <c r="DB145" s="28">
        <v>0</v>
      </c>
      <c r="DC145" s="28">
        <v>0</v>
      </c>
      <c r="DD145" s="28">
        <v>0</v>
      </c>
      <c r="DE145" s="28">
        <v>0</v>
      </c>
      <c r="DF145" s="28">
        <v>0.15863841617112501</v>
      </c>
      <c r="DG145" s="28">
        <v>7.9183019200051801</v>
      </c>
      <c r="DH145" s="28">
        <v>0</v>
      </c>
      <c r="DI145" s="28">
        <v>0</v>
      </c>
      <c r="DJ145" s="28">
        <v>2</v>
      </c>
      <c r="DK145" s="28">
        <v>4.8846237295286397</v>
      </c>
      <c r="DL145" s="28">
        <v>27.196501944773001</v>
      </c>
      <c r="DM145" s="28">
        <v>0.99684548461473699</v>
      </c>
      <c r="DN145" s="28">
        <v>2.3917133264686199</v>
      </c>
      <c r="DO145" s="28">
        <v>9.5180616363531399E-3</v>
      </c>
      <c r="DP145" s="28">
        <v>0</v>
      </c>
      <c r="DQ145" s="28">
        <v>54.904135597535003</v>
      </c>
      <c r="DR145" s="28">
        <v>265.05908463046097</v>
      </c>
      <c r="DS145" s="28">
        <v>150</v>
      </c>
      <c r="DT145" s="28">
        <v>1.6892383140324001</v>
      </c>
      <c r="DU145" s="28">
        <v>19.2241537205519</v>
      </c>
      <c r="DV145" s="28">
        <v>7.9671965869213999</v>
      </c>
      <c r="DW145" s="28">
        <v>0</v>
      </c>
      <c r="DX145" s="28">
        <v>4.1163269005860696</v>
      </c>
      <c r="DY145" s="28">
        <v>5.3795695569199298</v>
      </c>
      <c r="DZ145" s="28">
        <v>106.177698877382</v>
      </c>
      <c r="EA145" s="28">
        <v>6.4402651819327899</v>
      </c>
      <c r="EB145" s="28">
        <v>0</v>
      </c>
      <c r="EC145" s="28">
        <v>3.2631345503840998E-3</v>
      </c>
      <c r="ED145" s="28">
        <v>19.816202784536401</v>
      </c>
      <c r="EE145" s="28">
        <v>0.70644225141584005</v>
      </c>
      <c r="EF145" s="28">
        <v>31.870965974086602</v>
      </c>
      <c r="EG145" s="28">
        <v>10.4133638345672</v>
      </c>
      <c r="EH145" s="28">
        <v>3.5856407843811802</v>
      </c>
      <c r="EI145" s="28">
        <v>1.68063276879027</v>
      </c>
      <c r="EJ145" s="28">
        <v>7.6070101131477204</v>
      </c>
      <c r="EK145" s="28">
        <v>0</v>
      </c>
      <c r="EL145" s="28">
        <v>0</v>
      </c>
      <c r="EM145" s="28">
        <v>0</v>
      </c>
      <c r="EN145" s="28">
        <v>0</v>
      </c>
      <c r="EO145" s="28">
        <v>17.3264975983036</v>
      </c>
      <c r="EP145" s="28">
        <v>0</v>
      </c>
      <c r="EQ145" s="28">
        <v>0</v>
      </c>
      <c r="ER145" s="28">
        <v>0.25602701892066199</v>
      </c>
      <c r="ES145" s="28">
        <v>0</v>
      </c>
      <c r="ET145" s="28">
        <v>5.2523981572835501</v>
      </c>
      <c r="EU145" s="28">
        <v>0</v>
      </c>
      <c r="EV145" s="28">
        <v>0.435245699993137</v>
      </c>
      <c r="EW145" s="28">
        <v>0</v>
      </c>
      <c r="EX145" s="28">
        <v>7.3614564423251996E-2</v>
      </c>
      <c r="EY145" s="28">
        <v>0.18900302015481399</v>
      </c>
      <c r="EZ145" s="28">
        <v>0.14301410350916699</v>
      </c>
      <c r="FA145" s="28">
        <v>40.4582650444191</v>
      </c>
      <c r="FB145" s="28">
        <v>7.7124234479929701</v>
      </c>
      <c r="FC145" s="28">
        <v>0.48883030108882403</v>
      </c>
      <c r="FD145" s="28">
        <v>9.0637031353749606E-3</v>
      </c>
      <c r="FE145" s="28">
        <v>0</v>
      </c>
      <c r="FF145" s="28">
        <v>0</v>
      </c>
      <c r="FG145" s="28">
        <v>1.4278477131806799</v>
      </c>
      <c r="FH145" s="28">
        <v>0</v>
      </c>
      <c r="FI145" s="28">
        <v>0</v>
      </c>
      <c r="FJ145" s="28">
        <v>0</v>
      </c>
      <c r="FK145" s="28">
        <v>0</v>
      </c>
      <c r="FL145" s="28">
        <v>0</v>
      </c>
      <c r="FM145" s="28">
        <v>60.279609756789</v>
      </c>
      <c r="FN145" s="28">
        <v>0</v>
      </c>
      <c r="FO145" s="28">
        <v>0</v>
      </c>
      <c r="FP145" s="28">
        <v>0</v>
      </c>
      <c r="FQ145" s="28">
        <v>2.2581729491787899</v>
      </c>
      <c r="FR145" s="28">
        <v>7.3104661684835603E-3</v>
      </c>
      <c r="FS145" s="28">
        <v>0</v>
      </c>
      <c r="FT145" s="28">
        <v>0</v>
      </c>
      <c r="FU145" s="28">
        <v>3.5073890778612202E-3</v>
      </c>
      <c r="FV145" s="28">
        <v>0</v>
      </c>
      <c r="FW145" s="28">
        <v>0</v>
      </c>
      <c r="FX145" s="28">
        <v>0</v>
      </c>
      <c r="FY145" s="28">
        <v>2.29457367706999</v>
      </c>
      <c r="FZ145" s="28">
        <v>0</v>
      </c>
      <c r="GA145" s="28">
        <v>0</v>
      </c>
      <c r="GB145" s="28">
        <v>0</v>
      </c>
      <c r="GC145" s="28">
        <v>0</v>
      </c>
      <c r="GD145" s="28">
        <v>0</v>
      </c>
      <c r="GE145" s="28">
        <v>0</v>
      </c>
      <c r="GF145" s="28">
        <v>0</v>
      </c>
      <c r="GG145" s="28">
        <v>5.0765443840416999</v>
      </c>
      <c r="GH145" s="28">
        <v>1.94506212645178</v>
      </c>
      <c r="GI145" s="28">
        <v>0</v>
      </c>
      <c r="GJ145" s="28">
        <v>22.965784992774701</v>
      </c>
      <c r="GK145" s="28">
        <v>36.561927591969301</v>
      </c>
      <c r="GL145" s="28">
        <v>0</v>
      </c>
      <c r="GM145" s="28">
        <v>0</v>
      </c>
      <c r="GN145" s="28">
        <v>0</v>
      </c>
      <c r="GO145" s="28">
        <v>0</v>
      </c>
      <c r="GP145" s="28">
        <v>0</v>
      </c>
      <c r="GQ145" s="21">
        <v>1476.64496258031</v>
      </c>
      <c r="GR145" s="21">
        <v>21.668080479666099</v>
      </c>
      <c r="GS145" s="20">
        <v>21.668080479666099</v>
      </c>
      <c r="GT145" s="20">
        <v>0</v>
      </c>
      <c r="GU145" s="20">
        <v>0</v>
      </c>
      <c r="GV145" s="20">
        <v>0</v>
      </c>
      <c r="GW145" s="20">
        <v>0</v>
      </c>
      <c r="GX145" s="21">
        <v>-22.706475080789289</v>
      </c>
      <c r="GY145" s="20">
        <v>0</v>
      </c>
      <c r="GZ145" s="20">
        <v>-22.706475080789289</v>
      </c>
      <c r="HA145" s="20"/>
      <c r="HB145" s="21">
        <v>215.99174240816399</v>
      </c>
      <c r="HC145" s="21">
        <v>1691.5983103873509</v>
      </c>
    </row>
    <row r="146" spans="1:211" s="7" customFormat="1" ht="17.25" customHeight="1">
      <c r="A146" s="7">
        <f t="shared" si="10"/>
        <v>146</v>
      </c>
      <c r="B146" s="26" t="s">
        <v>584</v>
      </c>
      <c r="C146" s="10" t="s">
        <v>585</v>
      </c>
      <c r="D146" s="28">
        <v>0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1.4695919938161901E-2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1.55036886355458</v>
      </c>
      <c r="BK146" s="28">
        <v>0</v>
      </c>
      <c r="BL146" s="28">
        <v>0</v>
      </c>
      <c r="BM146" s="28">
        <v>0</v>
      </c>
      <c r="BN146" s="28">
        <v>21.715109846399901</v>
      </c>
      <c r="BO146" s="28">
        <v>34</v>
      </c>
      <c r="BP146" s="28">
        <v>0.22691133842706401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1.2329079999999999</v>
      </c>
      <c r="CH146" s="28">
        <v>0</v>
      </c>
      <c r="CI146" s="28">
        <v>0.256025910377502</v>
      </c>
      <c r="CJ146" s="28">
        <v>0</v>
      </c>
      <c r="CK146" s="28">
        <v>0</v>
      </c>
      <c r="CL146" s="28">
        <v>0</v>
      </c>
      <c r="CM146" s="28">
        <v>0.71812895923623599</v>
      </c>
      <c r="CN146" s="28">
        <v>1.2069908380508401</v>
      </c>
      <c r="CO146" s="28">
        <v>0</v>
      </c>
      <c r="CP146" s="28">
        <v>0</v>
      </c>
      <c r="CQ146" s="28">
        <v>0</v>
      </c>
      <c r="CR146" s="28">
        <v>3.3936251448895201</v>
      </c>
      <c r="CS146" s="28">
        <v>5.7128882746484803E-2</v>
      </c>
      <c r="CT146" s="28">
        <v>13.443549133670199</v>
      </c>
      <c r="CU146" s="28">
        <v>7.3600664242092799</v>
      </c>
      <c r="CV146" s="28">
        <v>2.8689442798584199</v>
      </c>
      <c r="CW146" s="28">
        <v>9.6351794313959207</v>
      </c>
      <c r="CX146" s="28">
        <v>0</v>
      </c>
      <c r="CY146" s="28">
        <v>0.15645156314061701</v>
      </c>
      <c r="CZ146" s="28">
        <v>0</v>
      </c>
      <c r="DA146" s="28">
        <v>0</v>
      </c>
      <c r="DB146" s="28">
        <v>0</v>
      </c>
      <c r="DC146" s="28">
        <v>0</v>
      </c>
      <c r="DD146" s="28">
        <v>0</v>
      </c>
      <c r="DE146" s="28">
        <v>0</v>
      </c>
      <c r="DF146" s="28">
        <v>0</v>
      </c>
      <c r="DG146" s="28">
        <v>1.5606875451579501</v>
      </c>
      <c r="DH146" s="28">
        <v>0</v>
      </c>
      <c r="DI146" s="28">
        <v>0</v>
      </c>
      <c r="DJ146" s="28">
        <v>0</v>
      </c>
      <c r="DK146" s="28">
        <v>0</v>
      </c>
      <c r="DL146" s="28">
        <v>0</v>
      </c>
      <c r="DM146" s="28">
        <v>0</v>
      </c>
      <c r="DN146" s="28">
        <v>0</v>
      </c>
      <c r="DO146" s="28">
        <v>0</v>
      </c>
      <c r="DP146" s="28">
        <v>0</v>
      </c>
      <c r="DQ146" s="28">
        <v>8.0621042604164703</v>
      </c>
      <c r="DR146" s="28">
        <v>0.35461597442631798</v>
      </c>
      <c r="DS146" s="28">
        <v>3.1219681574029101</v>
      </c>
      <c r="DT146" s="28">
        <v>0</v>
      </c>
      <c r="DU146" s="28">
        <v>58.233319606444397</v>
      </c>
      <c r="DV146" s="28">
        <v>0</v>
      </c>
      <c r="DW146" s="28">
        <v>0</v>
      </c>
      <c r="DX146" s="28">
        <v>0</v>
      </c>
      <c r="DY146" s="28">
        <v>2.3794587341455</v>
      </c>
      <c r="DZ146" s="28">
        <v>0</v>
      </c>
      <c r="EA146" s="28">
        <v>0</v>
      </c>
      <c r="EB146" s="28">
        <v>0</v>
      </c>
      <c r="EC146" s="28">
        <v>0</v>
      </c>
      <c r="ED146" s="28">
        <v>0</v>
      </c>
      <c r="EE146" s="28">
        <v>0</v>
      </c>
      <c r="EF146" s="28">
        <v>0</v>
      </c>
      <c r="EG146" s="28">
        <v>0</v>
      </c>
      <c r="EH146" s="28">
        <v>0</v>
      </c>
      <c r="EI146" s="28">
        <v>0</v>
      </c>
      <c r="EJ146" s="28">
        <v>0</v>
      </c>
      <c r="EK146" s="28">
        <v>0</v>
      </c>
      <c r="EL146" s="28">
        <v>0</v>
      </c>
      <c r="EM146" s="28">
        <v>0</v>
      </c>
      <c r="EN146" s="28">
        <v>0</v>
      </c>
      <c r="EO146" s="28">
        <v>0</v>
      </c>
      <c r="EP146" s="28">
        <v>0</v>
      </c>
      <c r="EQ146" s="28">
        <v>0</v>
      </c>
      <c r="ER146" s="28">
        <v>0</v>
      </c>
      <c r="ES146" s="28">
        <v>0</v>
      </c>
      <c r="ET146" s="28">
        <v>0</v>
      </c>
      <c r="EU146" s="28">
        <v>0</v>
      </c>
      <c r="EV146" s="28">
        <v>0</v>
      </c>
      <c r="EW146" s="28">
        <v>0</v>
      </c>
      <c r="EX146" s="28">
        <v>0</v>
      </c>
      <c r="EY146" s="28">
        <v>0</v>
      </c>
      <c r="EZ146" s="28">
        <v>0</v>
      </c>
      <c r="FA146" s="28">
        <v>0</v>
      </c>
      <c r="FB146" s="28">
        <v>0</v>
      </c>
      <c r="FC146" s="28">
        <v>0</v>
      </c>
      <c r="FD146" s="28">
        <v>0</v>
      </c>
      <c r="FE146" s="28">
        <v>0</v>
      </c>
      <c r="FF146" s="28">
        <v>0</v>
      </c>
      <c r="FG146" s="28">
        <v>0</v>
      </c>
      <c r="FH146" s="28">
        <v>0</v>
      </c>
      <c r="FI146" s="28">
        <v>0</v>
      </c>
      <c r="FJ146" s="28">
        <v>0</v>
      </c>
      <c r="FK146" s="28">
        <v>0</v>
      </c>
      <c r="FL146" s="28">
        <v>0</v>
      </c>
      <c r="FM146" s="28">
        <v>0</v>
      </c>
      <c r="FN146" s="28">
        <v>0</v>
      </c>
      <c r="FO146" s="28">
        <v>0</v>
      </c>
      <c r="FP146" s="28">
        <v>0</v>
      </c>
      <c r="FQ146" s="28">
        <v>0</v>
      </c>
      <c r="FR146" s="28">
        <v>0</v>
      </c>
      <c r="FS146" s="28">
        <v>0</v>
      </c>
      <c r="FT146" s="28">
        <v>0</v>
      </c>
      <c r="FU146" s="28">
        <v>0</v>
      </c>
      <c r="FV146" s="28">
        <v>0</v>
      </c>
      <c r="FW146" s="28">
        <v>0</v>
      </c>
      <c r="FX146" s="28">
        <v>0</v>
      </c>
      <c r="FY146" s="28">
        <v>0</v>
      </c>
      <c r="FZ146" s="28">
        <v>0</v>
      </c>
      <c r="GA146" s="28">
        <v>0</v>
      </c>
      <c r="GB146" s="28">
        <v>0</v>
      </c>
      <c r="GC146" s="28">
        <v>0</v>
      </c>
      <c r="GD146" s="28">
        <v>0</v>
      </c>
      <c r="GE146" s="28">
        <v>0</v>
      </c>
      <c r="GF146" s="28">
        <v>0</v>
      </c>
      <c r="GG146" s="28">
        <v>0</v>
      </c>
      <c r="GH146" s="28">
        <v>9.0976346646673197E-3</v>
      </c>
      <c r="GI146" s="28">
        <v>0</v>
      </c>
      <c r="GJ146" s="28">
        <v>0</v>
      </c>
      <c r="GK146" s="28">
        <v>0</v>
      </c>
      <c r="GL146" s="28">
        <v>0</v>
      </c>
      <c r="GM146" s="28">
        <v>0</v>
      </c>
      <c r="GN146" s="28">
        <v>0</v>
      </c>
      <c r="GO146" s="28">
        <v>4.6371218706744903</v>
      </c>
      <c r="GP146" s="28">
        <v>0</v>
      </c>
      <c r="GQ146" s="21">
        <v>176.19445831922741</v>
      </c>
      <c r="GR146" s="21">
        <v>50.460601367625102</v>
      </c>
      <c r="GS146" s="20">
        <v>50.460601367625102</v>
      </c>
      <c r="GT146" s="20">
        <v>0</v>
      </c>
      <c r="GU146" s="20">
        <v>0</v>
      </c>
      <c r="GV146" s="20">
        <v>0</v>
      </c>
      <c r="GW146" s="20">
        <v>0</v>
      </c>
      <c r="GX146" s="21">
        <v>3.0523695767887324</v>
      </c>
      <c r="GY146" s="20">
        <v>0</v>
      </c>
      <c r="GZ146" s="20">
        <v>3.0523695767887324</v>
      </c>
      <c r="HA146" s="20"/>
      <c r="HB146" s="21">
        <v>6.9906796800000004E-2</v>
      </c>
      <c r="HC146" s="21">
        <v>229.77733606044123</v>
      </c>
    </row>
    <row r="147" spans="1:211" s="7" customFormat="1" ht="17.25" customHeight="1">
      <c r="A147" s="7">
        <f t="shared" si="10"/>
        <v>147</v>
      </c>
      <c r="B147" s="26" t="s">
        <v>586</v>
      </c>
      <c r="C147" s="9" t="s">
        <v>587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1.5807415684443701E-4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4.0519678269864503</v>
      </c>
      <c r="AW147" s="28">
        <v>0</v>
      </c>
      <c r="AX147" s="28">
        <v>0.56963638572586395</v>
      </c>
      <c r="AY147" s="28">
        <v>3.64459621661868E-3</v>
      </c>
      <c r="AZ147" s="28">
        <v>0.38458021193881597</v>
      </c>
      <c r="BA147" s="28">
        <v>0</v>
      </c>
      <c r="BB147" s="28">
        <v>1.8959483953342E-3</v>
      </c>
      <c r="BC147" s="28">
        <v>1.9098896558004701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7.9519631207039497E-3</v>
      </c>
      <c r="CY147" s="28">
        <v>0</v>
      </c>
      <c r="CZ147" s="28">
        <v>0</v>
      </c>
      <c r="DA147" s="28">
        <v>0</v>
      </c>
      <c r="DB147" s="28">
        <v>0</v>
      </c>
      <c r="DC147" s="28">
        <v>0</v>
      </c>
      <c r="DD147" s="28">
        <v>0</v>
      </c>
      <c r="DE147" s="28">
        <v>0</v>
      </c>
      <c r="DF147" s="28">
        <v>0</v>
      </c>
      <c r="DG147" s="28">
        <v>0</v>
      </c>
      <c r="DH147" s="28">
        <v>4.6499129521423198E-3</v>
      </c>
      <c r="DI147" s="28">
        <v>0.50162770174100801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0</v>
      </c>
      <c r="DP147" s="28">
        <v>0</v>
      </c>
      <c r="DQ147" s="28">
        <v>58.671051925818297</v>
      </c>
      <c r="DR147" s="28">
        <v>5.2977238402375999</v>
      </c>
      <c r="DS147" s="28">
        <v>0.31518269165453799</v>
      </c>
      <c r="DT147" s="28">
        <v>0</v>
      </c>
      <c r="DU147" s="28">
        <v>1.5544069921963199</v>
      </c>
      <c r="DV147" s="28">
        <v>0</v>
      </c>
      <c r="DW147" s="28">
        <v>0</v>
      </c>
      <c r="DX147" s="28">
        <v>0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0</v>
      </c>
      <c r="EL147" s="28">
        <v>2.0475706593630298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  <c r="EU147" s="28">
        <v>0</v>
      </c>
      <c r="EV147" s="28">
        <v>0</v>
      </c>
      <c r="EW147" s="28">
        <v>0</v>
      </c>
      <c r="EX147" s="28">
        <v>0</v>
      </c>
      <c r="EY147" s="28">
        <v>0</v>
      </c>
      <c r="EZ147" s="28">
        <v>0</v>
      </c>
      <c r="FA147" s="28">
        <v>0</v>
      </c>
      <c r="FB147" s="28">
        <v>0</v>
      </c>
      <c r="FC147" s="28">
        <v>1.1269371884499399E-2</v>
      </c>
      <c r="FD147" s="28">
        <v>3.9050288584916003E-6</v>
      </c>
      <c r="FE147" s="28">
        <v>0</v>
      </c>
      <c r="FF147" s="28">
        <v>0</v>
      </c>
      <c r="FG147" s="28">
        <v>4.7287032335697502E-3</v>
      </c>
      <c r="FH147" s="28">
        <v>0</v>
      </c>
      <c r="FI147" s="28">
        <v>0</v>
      </c>
      <c r="FJ147" s="28">
        <v>0</v>
      </c>
      <c r="FK147" s="28">
        <v>0</v>
      </c>
      <c r="FL147" s="28">
        <v>0</v>
      </c>
      <c r="FM147" s="28">
        <v>0</v>
      </c>
      <c r="FN147" s="28">
        <v>0</v>
      </c>
      <c r="FO147" s="28">
        <v>0</v>
      </c>
      <c r="FP147" s="28">
        <v>0</v>
      </c>
      <c r="FQ147" s="28">
        <v>0</v>
      </c>
      <c r="FR147" s="28">
        <v>0</v>
      </c>
      <c r="FS147" s="28">
        <v>0.34554847558192497</v>
      </c>
      <c r="FT147" s="28">
        <v>0</v>
      </c>
      <c r="FU147" s="28">
        <v>0</v>
      </c>
      <c r="FV147" s="28">
        <v>0</v>
      </c>
      <c r="FW147" s="28">
        <v>0</v>
      </c>
      <c r="FX147" s="28">
        <v>0</v>
      </c>
      <c r="FY147" s="28">
        <v>0</v>
      </c>
      <c r="FZ147" s="28">
        <v>0</v>
      </c>
      <c r="GA147" s="28">
        <v>1.2943933756667599E-4</v>
      </c>
      <c r="GB147" s="28">
        <v>0</v>
      </c>
      <c r="GC147" s="28">
        <v>0</v>
      </c>
      <c r="GD147" s="28">
        <v>0</v>
      </c>
      <c r="GE147" s="28">
        <v>0.67355578184185505</v>
      </c>
      <c r="GF147" s="28">
        <v>4.03943162230407</v>
      </c>
      <c r="GG147" s="28">
        <v>0</v>
      </c>
      <c r="GH147" s="28">
        <v>1.9464183972264199E-2</v>
      </c>
      <c r="GI147" s="28">
        <v>0</v>
      </c>
      <c r="GJ147" s="28">
        <v>0.83726114246351102</v>
      </c>
      <c r="GK147" s="28">
        <v>5.5524977241738398</v>
      </c>
      <c r="GL147" s="28">
        <v>0</v>
      </c>
      <c r="GM147" s="28">
        <v>0</v>
      </c>
      <c r="GN147" s="28">
        <v>0</v>
      </c>
      <c r="GO147" s="28">
        <v>0</v>
      </c>
      <c r="GP147" s="28">
        <v>0</v>
      </c>
      <c r="GQ147" s="21">
        <v>86.805828736126017</v>
      </c>
      <c r="GR147" s="21">
        <v>0</v>
      </c>
      <c r="GS147" s="20">
        <v>0</v>
      </c>
      <c r="GT147" s="20">
        <v>0</v>
      </c>
      <c r="GU147" s="20">
        <v>0</v>
      </c>
      <c r="GV147" s="20">
        <v>0</v>
      </c>
      <c r="GW147" s="20">
        <v>0</v>
      </c>
      <c r="GX147" s="21">
        <v>-9.3621990806879722</v>
      </c>
      <c r="GY147" s="20">
        <v>0</v>
      </c>
      <c r="GZ147" s="20">
        <v>-9.3621990806879722</v>
      </c>
      <c r="HA147" s="20"/>
      <c r="HB147" s="21">
        <v>5.2101167999999998</v>
      </c>
      <c r="HC147" s="21">
        <v>82.653746455438039</v>
      </c>
    </row>
    <row r="148" spans="1:211" s="7" customFormat="1" ht="17.25" customHeight="1">
      <c r="A148" s="7">
        <f t="shared" si="10"/>
        <v>148</v>
      </c>
      <c r="B148" s="26" t="s">
        <v>129</v>
      </c>
      <c r="C148" s="10" t="s">
        <v>588</v>
      </c>
      <c r="D148" s="28">
        <v>154.732751499339</v>
      </c>
      <c r="E148" s="28">
        <v>236.34942693872799</v>
      </c>
      <c r="F148" s="28">
        <v>581.16087520247197</v>
      </c>
      <c r="G148" s="28">
        <v>23.7016167076663</v>
      </c>
      <c r="H148" s="28">
        <v>101.04686856588</v>
      </c>
      <c r="I148" s="28">
        <v>133.97635695853</v>
      </c>
      <c r="J148" s="28">
        <v>28.812442781113599</v>
      </c>
      <c r="K148" s="28">
        <v>5.9260725331117099</v>
      </c>
      <c r="L148" s="28">
        <v>26.098546991288199</v>
      </c>
      <c r="M148" s="28">
        <v>180.02785484033299</v>
      </c>
      <c r="N148" s="28">
        <v>46.623727953756799</v>
      </c>
      <c r="O148" s="28">
        <v>67.107369129296401</v>
      </c>
      <c r="P148" s="28">
        <v>10.8764164216001</v>
      </c>
      <c r="Q148" s="28">
        <v>182.319085415426</v>
      </c>
      <c r="R148" s="28">
        <v>86.608181539235801</v>
      </c>
      <c r="S148" s="28">
        <v>1082.18693156053</v>
      </c>
      <c r="T148" s="28">
        <v>70.347275049488402</v>
      </c>
      <c r="U148" s="28">
        <v>80.165897000000001</v>
      </c>
      <c r="V148" s="28">
        <v>2.0557858873088599</v>
      </c>
      <c r="W148" s="28">
        <v>18.448124683850899</v>
      </c>
      <c r="X148" s="28">
        <v>6.5141223576097804</v>
      </c>
      <c r="Y148" s="28">
        <v>6.01087623149271</v>
      </c>
      <c r="Z148" s="28">
        <v>72.289310746655502</v>
      </c>
      <c r="AA148" s="28">
        <v>7.9451569918019898</v>
      </c>
      <c r="AB148" s="28">
        <v>9.1275063317246499</v>
      </c>
      <c r="AC148" s="28">
        <v>198.61265036225501</v>
      </c>
      <c r="AD148" s="28">
        <v>5.7178283354737296</v>
      </c>
      <c r="AE148" s="28">
        <v>75.2739367129752</v>
      </c>
      <c r="AF148" s="28">
        <v>1.7026651412368801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1.7745172815235699</v>
      </c>
      <c r="AQ148" s="28">
        <v>6.8479369009100496E-2</v>
      </c>
      <c r="AR148" s="28">
        <v>0</v>
      </c>
      <c r="AS148" s="28">
        <v>0</v>
      </c>
      <c r="AT148" s="28">
        <v>1.71276295004016E-2</v>
      </c>
      <c r="AU148" s="28">
        <v>0</v>
      </c>
      <c r="AV148" s="28">
        <v>0</v>
      </c>
      <c r="AW148" s="28">
        <v>0</v>
      </c>
      <c r="AX148" s="28">
        <v>47.551323096218397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0.81199471904464005</v>
      </c>
      <c r="CB148" s="28">
        <v>1.14863557437393</v>
      </c>
      <c r="CC148" s="28">
        <v>6.2962890741028205E-2</v>
      </c>
      <c r="CD148" s="28">
        <v>0.82721477590213499</v>
      </c>
      <c r="CE148" s="28">
        <v>0.28127393544604601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7.5199260564801804</v>
      </c>
      <c r="CM148" s="28">
        <v>0</v>
      </c>
      <c r="CN148" s="28">
        <v>0</v>
      </c>
      <c r="CO148" s="28">
        <v>0</v>
      </c>
      <c r="CP148" s="28">
        <v>0</v>
      </c>
      <c r="CQ148" s="28">
        <v>0.53693234920501698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22.4981905075763</v>
      </c>
      <c r="DB148" s="28">
        <v>0</v>
      </c>
      <c r="DC148" s="28">
        <v>0.14918663517900899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0.72799999999999998</v>
      </c>
      <c r="DO148" s="28">
        <v>0</v>
      </c>
      <c r="DP148" s="28">
        <v>0</v>
      </c>
      <c r="DQ148" s="28">
        <v>1.10184704556058</v>
      </c>
      <c r="DR148" s="28">
        <v>0</v>
      </c>
      <c r="DS148" s="28">
        <v>0</v>
      </c>
      <c r="DT148" s="28">
        <v>0</v>
      </c>
      <c r="DU148" s="28">
        <v>0</v>
      </c>
      <c r="DV148" s="28">
        <v>62.760564966466099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  <c r="EU148" s="28">
        <v>0</v>
      </c>
      <c r="EV148" s="28">
        <v>0</v>
      </c>
      <c r="EW148" s="28">
        <v>0</v>
      </c>
      <c r="EX148" s="28">
        <v>0</v>
      </c>
      <c r="EY148" s="28">
        <v>0</v>
      </c>
      <c r="EZ148" s="28">
        <v>0</v>
      </c>
      <c r="FA148" s="28">
        <v>0</v>
      </c>
      <c r="FB148" s="28">
        <v>0</v>
      </c>
      <c r="FC148" s="28">
        <v>0</v>
      </c>
      <c r="FD148" s="28">
        <v>0</v>
      </c>
      <c r="FE148" s="28">
        <v>0</v>
      </c>
      <c r="FF148" s="28">
        <v>0</v>
      </c>
      <c r="FG148" s="28">
        <v>0.57971344877568098</v>
      </c>
      <c r="FH148" s="28">
        <v>0</v>
      </c>
      <c r="FI148" s="28">
        <v>0</v>
      </c>
      <c r="FJ148" s="28">
        <v>0</v>
      </c>
      <c r="FK148" s="28">
        <v>0</v>
      </c>
      <c r="FL148" s="28">
        <v>0</v>
      </c>
      <c r="FM148" s="28">
        <v>0</v>
      </c>
      <c r="FN148" s="28">
        <v>0</v>
      </c>
      <c r="FO148" s="28">
        <v>0</v>
      </c>
      <c r="FP148" s="28">
        <v>0</v>
      </c>
      <c r="FQ148" s="28">
        <v>0</v>
      </c>
      <c r="FR148" s="28">
        <v>0</v>
      </c>
      <c r="FS148" s="28">
        <v>0</v>
      </c>
      <c r="FT148" s="28">
        <v>0</v>
      </c>
      <c r="FU148" s="28">
        <v>0</v>
      </c>
      <c r="FV148" s="28">
        <v>0</v>
      </c>
      <c r="FW148" s="28">
        <v>0</v>
      </c>
      <c r="FX148" s="28">
        <v>0</v>
      </c>
      <c r="FY148" s="28">
        <v>0</v>
      </c>
      <c r="FZ148" s="28">
        <v>0</v>
      </c>
      <c r="GA148" s="28">
        <v>0</v>
      </c>
      <c r="GB148" s="28">
        <v>0</v>
      </c>
      <c r="GC148" s="28">
        <v>0</v>
      </c>
      <c r="GD148" s="28">
        <v>0</v>
      </c>
      <c r="GE148" s="28">
        <v>0.39066235346827599</v>
      </c>
      <c r="GF148" s="28">
        <v>25.4484192205156</v>
      </c>
      <c r="GG148" s="28">
        <v>3.9020616861758</v>
      </c>
      <c r="GH148" s="28">
        <v>6.0564883267746996</v>
      </c>
      <c r="GI148" s="28">
        <v>0</v>
      </c>
      <c r="GJ148" s="28">
        <v>0</v>
      </c>
      <c r="GK148" s="28">
        <v>22.8829916931249</v>
      </c>
      <c r="GL148" s="28">
        <v>0</v>
      </c>
      <c r="GM148" s="28">
        <v>0</v>
      </c>
      <c r="GN148" s="28">
        <v>0</v>
      </c>
      <c r="GO148" s="28">
        <v>0</v>
      </c>
      <c r="GP148" s="28">
        <v>0</v>
      </c>
      <c r="GQ148" s="21">
        <v>3708.864174431244</v>
      </c>
      <c r="GR148" s="21">
        <v>38.174085877662598</v>
      </c>
      <c r="GS148" s="20">
        <v>38.174085877662598</v>
      </c>
      <c r="GT148" s="20">
        <v>0</v>
      </c>
      <c r="GU148" s="20">
        <v>0</v>
      </c>
      <c r="GV148" s="20">
        <v>0</v>
      </c>
      <c r="GW148" s="20">
        <v>0</v>
      </c>
      <c r="GX148" s="21">
        <v>95.740081063885611</v>
      </c>
      <c r="GY148" s="20">
        <v>0</v>
      </c>
      <c r="GZ148" s="20">
        <v>95.740081063885611</v>
      </c>
      <c r="HA148" s="20"/>
      <c r="HB148" s="21">
        <v>9.2200241256000002</v>
      </c>
      <c r="HC148" s="21">
        <v>3851.9983654983921</v>
      </c>
    </row>
    <row r="149" spans="1:211" s="7" customFormat="1" ht="17.25" customHeight="1">
      <c r="A149" s="7">
        <f t="shared" si="10"/>
        <v>149</v>
      </c>
      <c r="B149" s="26" t="s">
        <v>130</v>
      </c>
      <c r="C149" s="10" t="s">
        <v>589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0.13361511519329899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15.419005515370801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3.4877185564143601E-6</v>
      </c>
      <c r="CC149" s="28">
        <v>1.91180603580615E-7</v>
      </c>
      <c r="CD149" s="28">
        <v>2.5117560246439E-6</v>
      </c>
      <c r="CE149" s="28">
        <v>8.5406054450783704E-7</v>
      </c>
      <c r="CF149" s="28">
        <v>0</v>
      </c>
      <c r="CG149" s="28">
        <v>56.969592059424002</v>
      </c>
      <c r="CH149" s="28">
        <v>9.1990493569830606E-2</v>
      </c>
      <c r="CI149" s="28">
        <v>0</v>
      </c>
      <c r="CJ149" s="28">
        <v>0.25006330100997498</v>
      </c>
      <c r="CK149" s="28">
        <v>0.216678321361542</v>
      </c>
      <c r="CL149" s="28">
        <v>1.66428361394095</v>
      </c>
      <c r="CM149" s="28">
        <v>0</v>
      </c>
      <c r="CN149" s="28">
        <v>0.30606099963188199</v>
      </c>
      <c r="CO149" s="28">
        <v>0</v>
      </c>
      <c r="CP149" s="28">
        <v>5.5095054625260197E-3</v>
      </c>
      <c r="CQ149" s="28">
        <v>4.6105437278747603</v>
      </c>
      <c r="CR149" s="28">
        <v>0</v>
      </c>
      <c r="CS149" s="28">
        <v>2.3309922696670098</v>
      </c>
      <c r="CT149" s="28">
        <v>0</v>
      </c>
      <c r="CU149" s="28">
        <v>0</v>
      </c>
      <c r="CV149" s="28">
        <v>14.149820948656</v>
      </c>
      <c r="CW149" s="28">
        <v>3.6080000000000001</v>
      </c>
      <c r="CX149" s="28">
        <v>0</v>
      </c>
      <c r="CY149" s="28">
        <v>31.815829783271301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6.0825617119534003</v>
      </c>
      <c r="DI149" s="28">
        <v>2.62920035068078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0.225976706983783</v>
      </c>
      <c r="DP149" s="28">
        <v>0</v>
      </c>
      <c r="DQ149" s="28">
        <v>50.039701177160701</v>
      </c>
      <c r="DR149" s="28">
        <v>35.555625141621803</v>
      </c>
      <c r="DS149" s="28">
        <v>184.66931982306099</v>
      </c>
      <c r="DT149" s="28">
        <v>0.64</v>
      </c>
      <c r="DU149" s="28">
        <v>1333.8480000914701</v>
      </c>
      <c r="DV149" s="28">
        <v>11.64</v>
      </c>
      <c r="DW149" s="28">
        <v>0</v>
      </c>
      <c r="DX149" s="28">
        <v>10.0008417049923</v>
      </c>
      <c r="DY149" s="28">
        <v>0</v>
      </c>
      <c r="DZ149" s="28">
        <v>0</v>
      </c>
      <c r="EA149" s="28">
        <v>0</v>
      </c>
      <c r="EB149" s="28">
        <v>0</v>
      </c>
      <c r="EC149" s="28">
        <v>7.5877726277971602</v>
      </c>
      <c r="ED149" s="28">
        <v>0</v>
      </c>
      <c r="EE149" s="28">
        <v>0</v>
      </c>
      <c r="EF149" s="28">
        <v>0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0.26441091532283201</v>
      </c>
      <c r="ER149" s="28">
        <v>23.0461612006415</v>
      </c>
      <c r="ES149" s="28">
        <v>0</v>
      </c>
      <c r="ET149" s="28">
        <v>0</v>
      </c>
      <c r="EU149" s="28">
        <v>0</v>
      </c>
      <c r="EV149" s="28">
        <v>0.75439281726381102</v>
      </c>
      <c r="EW149" s="28">
        <v>0.180777087263883</v>
      </c>
      <c r="EX149" s="28">
        <v>0</v>
      </c>
      <c r="EY149" s="28">
        <v>0</v>
      </c>
      <c r="EZ149" s="28">
        <v>0</v>
      </c>
      <c r="FA149" s="28">
        <v>0</v>
      </c>
      <c r="FB149" s="28">
        <v>0</v>
      </c>
      <c r="FC149" s="28">
        <v>6.2516965345317796</v>
      </c>
      <c r="FD149" s="28">
        <v>2.9979646336775998</v>
      </c>
      <c r="FE149" s="28">
        <v>0</v>
      </c>
      <c r="FF149" s="28">
        <v>0</v>
      </c>
      <c r="FG149" s="28">
        <v>7.4320908403746797</v>
      </c>
      <c r="FH149" s="28">
        <v>0</v>
      </c>
      <c r="FI149" s="28">
        <v>0</v>
      </c>
      <c r="FJ149" s="28">
        <v>0</v>
      </c>
      <c r="FK149" s="28">
        <v>0</v>
      </c>
      <c r="FL149" s="28">
        <v>0</v>
      </c>
      <c r="FM149" s="28">
        <v>0</v>
      </c>
      <c r="FN149" s="28">
        <v>0</v>
      </c>
      <c r="FO149" s="28">
        <v>0</v>
      </c>
      <c r="FP149" s="28">
        <v>0</v>
      </c>
      <c r="FQ149" s="28">
        <v>0</v>
      </c>
      <c r="FR149" s="28">
        <v>0</v>
      </c>
      <c r="FS149" s="28">
        <v>0</v>
      </c>
      <c r="FT149" s="28">
        <v>0</v>
      </c>
      <c r="FU149" s="28">
        <v>0</v>
      </c>
      <c r="FV149" s="28">
        <v>0</v>
      </c>
      <c r="FW149" s="28">
        <v>0</v>
      </c>
      <c r="FX149" s="28">
        <v>0</v>
      </c>
      <c r="FY149" s="28">
        <v>0</v>
      </c>
      <c r="FZ149" s="28">
        <v>0</v>
      </c>
      <c r="GA149" s="28">
        <v>0</v>
      </c>
      <c r="GB149" s="28">
        <v>0</v>
      </c>
      <c r="GC149" s="28">
        <v>0</v>
      </c>
      <c r="GD149" s="28">
        <v>0</v>
      </c>
      <c r="GE149" s="28">
        <v>0</v>
      </c>
      <c r="GF149" s="28">
        <v>0</v>
      </c>
      <c r="GG149" s="28">
        <v>0</v>
      </c>
      <c r="GH149" s="28">
        <v>5.8707932225512396E-4</v>
      </c>
      <c r="GI149" s="28">
        <v>0</v>
      </c>
      <c r="GJ149" s="28">
        <v>0</v>
      </c>
      <c r="GK149" s="28">
        <v>0</v>
      </c>
      <c r="GL149" s="28">
        <v>0</v>
      </c>
      <c r="GM149" s="28">
        <v>0</v>
      </c>
      <c r="GN149" s="28">
        <v>0</v>
      </c>
      <c r="GO149" s="28">
        <v>0</v>
      </c>
      <c r="GP149" s="28">
        <v>0</v>
      </c>
      <c r="GQ149" s="21">
        <v>1815.4190731432714</v>
      </c>
      <c r="GR149" s="21">
        <v>0</v>
      </c>
      <c r="GS149" s="20">
        <v>0</v>
      </c>
      <c r="GT149" s="20">
        <v>0</v>
      </c>
      <c r="GU149" s="20">
        <v>0</v>
      </c>
      <c r="GV149" s="20">
        <v>0</v>
      </c>
      <c r="GW149" s="20">
        <v>0</v>
      </c>
      <c r="GX149" s="21">
        <v>-26.34577761041983</v>
      </c>
      <c r="GY149" s="20">
        <v>0</v>
      </c>
      <c r="GZ149" s="20">
        <v>-26.34577761041983</v>
      </c>
      <c r="HA149" s="20"/>
      <c r="HB149" s="21">
        <v>0</v>
      </c>
      <c r="HC149" s="21">
        <v>1789.0732955328515</v>
      </c>
    </row>
    <row r="150" spans="1:211" s="7" customFormat="1" ht="17.25" customHeight="1">
      <c r="A150" s="7">
        <f t="shared" si="10"/>
        <v>150</v>
      </c>
      <c r="B150" s="26" t="s">
        <v>590</v>
      </c>
      <c r="C150" s="10" t="s">
        <v>591</v>
      </c>
      <c r="D150" s="28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8.5736248056645704E-4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1.3223049293783901E-3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0.127730351737425</v>
      </c>
      <c r="AL150" s="28">
        <v>0</v>
      </c>
      <c r="AM150" s="28">
        <v>0</v>
      </c>
      <c r="AN150" s="28">
        <v>1.8264230526421898E-2</v>
      </c>
      <c r="AO150" s="28">
        <v>0</v>
      </c>
      <c r="AP150" s="28">
        <v>0.63928207373843304</v>
      </c>
      <c r="AQ150" s="28">
        <v>0.159263350671039</v>
      </c>
      <c r="AR150" s="28">
        <v>0</v>
      </c>
      <c r="AS150" s="28">
        <v>0</v>
      </c>
      <c r="AT150" s="28">
        <v>8.2001013370175693E-2</v>
      </c>
      <c r="AU150" s="28">
        <v>0</v>
      </c>
      <c r="AV150" s="28">
        <v>0.71937871436899203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1.6440841645533399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5.7878121468315404</v>
      </c>
      <c r="CS150" s="28">
        <v>5.6014650795913603E-3</v>
      </c>
      <c r="CT150" s="28">
        <v>0</v>
      </c>
      <c r="CU150" s="28">
        <v>0.34614607499831201</v>
      </c>
      <c r="CV150" s="28">
        <v>0</v>
      </c>
      <c r="CW150" s="28">
        <v>6.05</v>
      </c>
      <c r="CX150" s="28">
        <v>0.99338237587900002</v>
      </c>
      <c r="CY150" s="28">
        <v>0.21928379155938099</v>
      </c>
      <c r="CZ150" s="28">
        <v>0</v>
      </c>
      <c r="DA150" s="28">
        <v>0</v>
      </c>
      <c r="DB150" s="28">
        <v>0</v>
      </c>
      <c r="DC150" s="28">
        <v>3.2365382777582901</v>
      </c>
      <c r="DD150" s="28">
        <v>0.12851915873605699</v>
      </c>
      <c r="DE150" s="28">
        <v>0</v>
      </c>
      <c r="DF150" s="28">
        <v>0.39945150930817402</v>
      </c>
      <c r="DG150" s="28">
        <v>14.2979027763263</v>
      </c>
      <c r="DH150" s="28">
        <v>30.72</v>
      </c>
      <c r="DI150" s="28">
        <v>9.7540334789102392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0</v>
      </c>
      <c r="DQ150" s="28">
        <v>112.513097157914</v>
      </c>
      <c r="DR150" s="28">
        <v>0.15238752391208599</v>
      </c>
      <c r="DS150" s="28">
        <v>0</v>
      </c>
      <c r="DT150" s="28">
        <v>0</v>
      </c>
      <c r="DU150" s="28">
        <v>71.476338624109204</v>
      </c>
      <c r="DV150" s="28">
        <v>0</v>
      </c>
      <c r="DW150" s="28">
        <v>0</v>
      </c>
      <c r="DX150" s="28">
        <v>0.57492723168933602</v>
      </c>
      <c r="DY150" s="28">
        <v>8.2336355521193099</v>
      </c>
      <c r="DZ150" s="28">
        <v>0</v>
      </c>
      <c r="EA150" s="28">
        <v>0</v>
      </c>
      <c r="EB150" s="28">
        <v>0</v>
      </c>
      <c r="EC150" s="28">
        <v>1.60753862599478E-2</v>
      </c>
      <c r="ED150" s="28">
        <v>0.118740244977818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45.218333121641798</v>
      </c>
      <c r="EK150" s="28">
        <v>0</v>
      </c>
      <c r="EL150" s="28">
        <v>0</v>
      </c>
      <c r="EM150" s="28">
        <v>0</v>
      </c>
      <c r="EN150" s="28">
        <v>0.40620690818135002</v>
      </c>
      <c r="EO150" s="28">
        <v>0.15792964852392399</v>
      </c>
      <c r="EP150" s="28">
        <v>0</v>
      </c>
      <c r="EQ150" s="28">
        <v>0.235265708244635</v>
      </c>
      <c r="ER150" s="28">
        <v>0.26509309749882098</v>
      </c>
      <c r="ES150" s="28">
        <v>35.355348010669999</v>
      </c>
      <c r="ET150" s="28">
        <v>0</v>
      </c>
      <c r="EU150" s="28">
        <v>2.7291891957959499E-2</v>
      </c>
      <c r="EV150" s="28">
        <v>14.257190674101601</v>
      </c>
      <c r="EW150" s="28">
        <v>18.108980363842601</v>
      </c>
      <c r="EX150" s="28">
        <v>0.13762706294854299</v>
      </c>
      <c r="EY150" s="28">
        <v>0</v>
      </c>
      <c r="EZ150" s="28">
        <v>0</v>
      </c>
      <c r="FA150" s="28">
        <v>0</v>
      </c>
      <c r="FB150" s="28">
        <v>0</v>
      </c>
      <c r="FC150" s="28">
        <v>187.503239162629</v>
      </c>
      <c r="FD150" s="28">
        <v>88.132556894315101</v>
      </c>
      <c r="FE150" s="28">
        <v>135.10551740925001</v>
      </c>
      <c r="FF150" s="28">
        <v>3.1854780387472399</v>
      </c>
      <c r="FG150" s="28">
        <v>54.116456073559199</v>
      </c>
      <c r="FH150" s="28">
        <v>0.63439675289176201</v>
      </c>
      <c r="FI150" s="28">
        <v>16.5792880093477</v>
      </c>
      <c r="FJ150" s="28">
        <v>85.225119488198999</v>
      </c>
      <c r="FK150" s="28">
        <v>0</v>
      </c>
      <c r="FL150" s="28">
        <v>0</v>
      </c>
      <c r="FM150" s="28">
        <v>0</v>
      </c>
      <c r="FN150" s="28">
        <v>0</v>
      </c>
      <c r="FO150" s="28">
        <v>0</v>
      </c>
      <c r="FP150" s="28">
        <v>0</v>
      </c>
      <c r="FQ150" s="28">
        <v>0</v>
      </c>
      <c r="FR150" s="28">
        <v>0</v>
      </c>
      <c r="FS150" s="28">
        <v>4.6284126807810004</v>
      </c>
      <c r="FT150" s="28">
        <v>0</v>
      </c>
      <c r="FU150" s="28">
        <v>0</v>
      </c>
      <c r="FV150" s="28">
        <v>0</v>
      </c>
      <c r="FW150" s="28">
        <v>6.0125119999999997E-2</v>
      </c>
      <c r="FX150" s="28">
        <v>0</v>
      </c>
      <c r="FY150" s="28">
        <v>0</v>
      </c>
      <c r="FZ150" s="28">
        <v>0</v>
      </c>
      <c r="GA150" s="28">
        <v>1.18232192913217</v>
      </c>
      <c r="GB150" s="28">
        <v>0</v>
      </c>
      <c r="GC150" s="28">
        <v>0</v>
      </c>
      <c r="GD150" s="28">
        <v>0</v>
      </c>
      <c r="GE150" s="28">
        <v>39.421716531092301</v>
      </c>
      <c r="GF150" s="28">
        <v>12.1162367310724</v>
      </c>
      <c r="GG150" s="28">
        <v>20.4961183159039</v>
      </c>
      <c r="GH150" s="28">
        <v>11.179125531945999</v>
      </c>
      <c r="GI150" s="28">
        <v>0.640145286910348</v>
      </c>
      <c r="GJ150" s="28">
        <v>7.8166668077677401E-2</v>
      </c>
      <c r="GK150" s="28">
        <v>10.861135940000599</v>
      </c>
      <c r="GL150" s="28">
        <v>8.5683955777291806E-2</v>
      </c>
      <c r="GM150" s="28">
        <v>0</v>
      </c>
      <c r="GN150" s="28">
        <v>31.6881112071937</v>
      </c>
      <c r="GO150" s="28">
        <v>0</v>
      </c>
      <c r="GP150" s="28">
        <v>0</v>
      </c>
      <c r="GQ150" s="21">
        <v>1085.5046745571819</v>
      </c>
      <c r="GR150" s="21">
        <v>303.627067865443</v>
      </c>
      <c r="GS150" s="20">
        <v>303.627067865443</v>
      </c>
      <c r="GT150" s="20">
        <v>0</v>
      </c>
      <c r="GU150" s="20">
        <v>0</v>
      </c>
      <c r="GV150" s="20">
        <v>0</v>
      </c>
      <c r="GW150" s="20">
        <v>0</v>
      </c>
      <c r="GX150" s="21">
        <v>-1.0341564299506862</v>
      </c>
      <c r="GY150" s="20">
        <v>0</v>
      </c>
      <c r="GZ150" s="20">
        <v>-1.0341564299506862</v>
      </c>
      <c r="HA150" s="20"/>
      <c r="HB150" s="21">
        <v>4.3778423664000004</v>
      </c>
      <c r="HC150" s="21">
        <v>1392.4754283590744</v>
      </c>
    </row>
    <row r="151" spans="1:211" s="7" customFormat="1" ht="17.25" customHeight="1">
      <c r="A151" s="7">
        <f t="shared" si="10"/>
        <v>151</v>
      </c>
      <c r="B151" s="26" t="s">
        <v>592</v>
      </c>
      <c r="C151" s="9" t="s">
        <v>593</v>
      </c>
      <c r="D151" s="28">
        <v>0.423443603454423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2.82932858896906</v>
      </c>
      <c r="AF151" s="28">
        <v>25.495100204358302</v>
      </c>
      <c r="AG151" s="28">
        <v>33.818146917525503</v>
      </c>
      <c r="AH151" s="28">
        <v>6.7158704262796798</v>
      </c>
      <c r="AI151" s="28">
        <v>7.3677392886420501</v>
      </c>
      <c r="AJ151" s="28">
        <v>3.5601237545473099</v>
      </c>
      <c r="AK151" s="28">
        <v>0.74424989312601697</v>
      </c>
      <c r="AL151" s="28">
        <v>32.922621078895098</v>
      </c>
      <c r="AM151" s="28">
        <v>3.3792769002363698</v>
      </c>
      <c r="AN151" s="28">
        <v>0</v>
      </c>
      <c r="AO151" s="28">
        <v>0</v>
      </c>
      <c r="AP151" s="28">
        <v>2.0439364369434601</v>
      </c>
      <c r="AQ151" s="28">
        <v>1.36958738018201</v>
      </c>
      <c r="AR151" s="28">
        <v>0</v>
      </c>
      <c r="AS151" s="28">
        <v>0</v>
      </c>
      <c r="AT151" s="28">
        <v>11.6703760177293</v>
      </c>
      <c r="AU151" s="28">
        <v>7.9959564288279701</v>
      </c>
      <c r="AV151" s="28">
        <v>0.36754147498581702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0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5.4146692569565102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2.2507104765635599</v>
      </c>
      <c r="BQ151" s="28">
        <v>2.3031106564683599</v>
      </c>
      <c r="BR151" s="28">
        <v>0</v>
      </c>
      <c r="BS151" s="28">
        <v>0</v>
      </c>
      <c r="BT151" s="28">
        <v>0</v>
      </c>
      <c r="BU151" s="28">
        <v>0</v>
      </c>
      <c r="BV151" s="28">
        <v>1.6017030000000001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1.69902627853766</v>
      </c>
      <c r="CC151" s="28">
        <v>9.3132764062274304E-2</v>
      </c>
      <c r="CD151" s="28">
        <v>1.22359055701232</v>
      </c>
      <c r="CE151" s="28">
        <v>0.41605172123544398</v>
      </c>
      <c r="CF151" s="28">
        <v>0</v>
      </c>
      <c r="CG151" s="28">
        <v>85.458774000000105</v>
      </c>
      <c r="CH151" s="28">
        <v>2.1310498446882702E-2</v>
      </c>
      <c r="CI151" s="28">
        <v>5.6672417558729597E-3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220.36543949799801</v>
      </c>
      <c r="CQ151" s="28">
        <v>0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0</v>
      </c>
      <c r="CZ151" s="28">
        <v>0</v>
      </c>
      <c r="DA151" s="28">
        <v>0.126328776172596</v>
      </c>
      <c r="DB151" s="28">
        <v>0</v>
      </c>
      <c r="DC151" s="28">
        <v>5.55442494794413E-3</v>
      </c>
      <c r="DD151" s="28">
        <v>0</v>
      </c>
      <c r="DE151" s="28">
        <v>0</v>
      </c>
      <c r="DF151" s="28">
        <v>0</v>
      </c>
      <c r="DG151" s="28">
        <v>0</v>
      </c>
      <c r="DH151" s="28">
        <v>0</v>
      </c>
      <c r="DI151" s="28">
        <v>0</v>
      </c>
      <c r="DJ151" s="28">
        <v>0.15659729870441999</v>
      </c>
      <c r="DK151" s="28">
        <v>0</v>
      </c>
      <c r="DL151" s="28">
        <v>0</v>
      </c>
      <c r="DM151" s="28">
        <v>0</v>
      </c>
      <c r="DN151" s="28">
        <v>0</v>
      </c>
      <c r="DO151" s="28">
        <v>0</v>
      </c>
      <c r="DP151" s="28">
        <v>0</v>
      </c>
      <c r="DQ151" s="28">
        <v>0</v>
      </c>
      <c r="DR151" s="28">
        <v>172.72685207386701</v>
      </c>
      <c r="DS151" s="28">
        <v>0</v>
      </c>
      <c r="DT151" s="28">
        <v>0</v>
      </c>
      <c r="DU151" s="28">
        <v>0</v>
      </c>
      <c r="DV151" s="28">
        <v>0</v>
      </c>
      <c r="DW151" s="28">
        <v>0</v>
      </c>
      <c r="DX151" s="28">
        <v>0</v>
      </c>
      <c r="DY151" s="28">
        <v>0</v>
      </c>
      <c r="DZ151" s="28">
        <v>0</v>
      </c>
      <c r="EA151" s="28">
        <v>0</v>
      </c>
      <c r="EB151" s="28">
        <v>0</v>
      </c>
      <c r="EC151" s="28">
        <v>0</v>
      </c>
      <c r="ED151" s="28">
        <v>1.95604332327786</v>
      </c>
      <c r="EE151" s="28">
        <v>0.31530652393880598</v>
      </c>
      <c r="EF151" s="28">
        <v>0.58087854755813495</v>
      </c>
      <c r="EG151" s="28">
        <v>0.62331641434699003</v>
      </c>
      <c r="EH151" s="28">
        <v>0.21522763223195099</v>
      </c>
      <c r="EI151" s="28">
        <v>0.100348035882025</v>
      </c>
      <c r="EJ151" s="28">
        <v>1.2523607546814199</v>
      </c>
      <c r="EK151" s="28">
        <v>0</v>
      </c>
      <c r="EL151" s="28">
        <v>0</v>
      </c>
      <c r="EM151" s="28">
        <v>0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0</v>
      </c>
      <c r="EU151" s="28">
        <v>0</v>
      </c>
      <c r="EV151" s="28">
        <v>0</v>
      </c>
      <c r="EW151" s="28">
        <v>0</v>
      </c>
      <c r="EX151" s="28">
        <v>0.148049358096941</v>
      </c>
      <c r="EY151" s="28">
        <v>0</v>
      </c>
      <c r="EZ151" s="28">
        <v>0</v>
      </c>
      <c r="FA151" s="28">
        <v>0</v>
      </c>
      <c r="FB151" s="28">
        <v>8.6307615495276302</v>
      </c>
      <c r="FC151" s="28">
        <v>4.9228090272728703E-2</v>
      </c>
      <c r="FD151" s="28">
        <v>0</v>
      </c>
      <c r="FE151" s="28">
        <v>0</v>
      </c>
      <c r="FF151" s="28">
        <v>2.0269806129177299</v>
      </c>
      <c r="FG151" s="28">
        <v>2.1583748057509199E-2</v>
      </c>
      <c r="FH151" s="28">
        <v>0</v>
      </c>
      <c r="FI151" s="28">
        <v>6.2288630182937998</v>
      </c>
      <c r="FJ151" s="28">
        <v>3.3655716458104101</v>
      </c>
      <c r="FK151" s="28">
        <v>0</v>
      </c>
      <c r="FL151" s="28">
        <v>0</v>
      </c>
      <c r="FM151" s="28">
        <v>0</v>
      </c>
      <c r="FN151" s="28">
        <v>1.6553952576840401</v>
      </c>
      <c r="FO151" s="28">
        <v>0</v>
      </c>
      <c r="FP151" s="28">
        <v>0</v>
      </c>
      <c r="FQ151" s="28">
        <v>14.765156836072199</v>
      </c>
      <c r="FR151" s="28">
        <v>1.5349636114619001E-3</v>
      </c>
      <c r="FS151" s="28">
        <v>0.864411605373819</v>
      </c>
      <c r="FT151" s="28">
        <v>0</v>
      </c>
      <c r="FU151" s="28">
        <v>0</v>
      </c>
      <c r="FV151" s="28">
        <v>0</v>
      </c>
      <c r="FW151" s="28">
        <v>6.3228999999999994E-2</v>
      </c>
      <c r="FX151" s="28">
        <v>5.594E-3</v>
      </c>
      <c r="FY151" s="28">
        <v>86.9484159409607</v>
      </c>
      <c r="FZ151" s="28">
        <v>0</v>
      </c>
      <c r="GA151" s="28">
        <v>5.6953308529337295E-4</v>
      </c>
      <c r="GB151" s="28">
        <v>0</v>
      </c>
      <c r="GC151" s="28">
        <v>0</v>
      </c>
      <c r="GD151" s="28">
        <v>0</v>
      </c>
      <c r="GE151" s="28">
        <v>2.9636454401041599</v>
      </c>
      <c r="GF151" s="28">
        <v>56.552042712256899</v>
      </c>
      <c r="GG151" s="28">
        <v>14.150154779106799</v>
      </c>
      <c r="GH151" s="28">
        <v>8.9960094356250693</v>
      </c>
      <c r="GI151" s="28">
        <v>23.907065388542001</v>
      </c>
      <c r="GJ151" s="28">
        <v>291.18661492598898</v>
      </c>
      <c r="GK151" s="28">
        <v>763.60421740850995</v>
      </c>
      <c r="GL151" s="28">
        <v>0.41628416710315103</v>
      </c>
      <c r="GM151" s="28">
        <v>0</v>
      </c>
      <c r="GN151" s="28">
        <v>0.288966086291638</v>
      </c>
      <c r="GO151" s="28">
        <v>0</v>
      </c>
      <c r="GP151" s="28">
        <v>0</v>
      </c>
      <c r="GQ151" s="21">
        <v>1926.4556436526414</v>
      </c>
      <c r="GR151" s="21">
        <v>4247.8283255530196</v>
      </c>
      <c r="GS151" s="20">
        <v>3718.5352231776014</v>
      </c>
      <c r="GT151" s="20">
        <v>112.7040492536491</v>
      </c>
      <c r="GU151" s="20">
        <v>416.58905312176898</v>
      </c>
      <c r="GV151" s="20">
        <v>416.58905312176898</v>
      </c>
      <c r="GW151" s="20">
        <v>0</v>
      </c>
      <c r="GX151" s="21">
        <v>5.5076567206502682</v>
      </c>
      <c r="GY151" s="20">
        <v>0</v>
      </c>
      <c r="GZ151" s="20">
        <v>5.5076567206502682</v>
      </c>
      <c r="HA151" s="20"/>
      <c r="HB151" s="21">
        <v>23.779765053599998</v>
      </c>
      <c r="HC151" s="21">
        <v>6203.5713909799115</v>
      </c>
    </row>
    <row r="152" spans="1:211" s="7" customFormat="1" ht="17.25" customHeight="1">
      <c r="A152" s="7">
        <f t="shared" si="10"/>
        <v>152</v>
      </c>
      <c r="B152" s="26" t="s">
        <v>594</v>
      </c>
      <c r="C152" s="10" t="s">
        <v>595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2.1127151088497199E-2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6.1321097994918299E-2</v>
      </c>
      <c r="AF152" s="28">
        <v>0</v>
      </c>
      <c r="AG152" s="28">
        <v>0</v>
      </c>
      <c r="AH152" s="28">
        <v>0</v>
      </c>
      <c r="AI152" s="28">
        <v>0</v>
      </c>
      <c r="AJ152" s="28">
        <v>0.93373487859285498</v>
      </c>
      <c r="AK152" s="28">
        <v>0.353148686900014</v>
      </c>
      <c r="AL152" s="28">
        <v>0.51494520175339697</v>
      </c>
      <c r="AM152" s="28">
        <v>2.80214345378901</v>
      </c>
      <c r="AN152" s="28">
        <v>0.85747541986237796</v>
      </c>
      <c r="AO152" s="28">
        <v>0.15414373353935601</v>
      </c>
      <c r="AP152" s="28">
        <v>0.213530311553843</v>
      </c>
      <c r="AQ152" s="28">
        <v>6.7982698829294794E-2</v>
      </c>
      <c r="AR152" s="28">
        <v>0.10199516968559599</v>
      </c>
      <c r="AS152" s="28">
        <v>1.1964350376000001E-2</v>
      </c>
      <c r="AT152" s="28">
        <v>12.853413339472599</v>
      </c>
      <c r="AU152" s="28">
        <v>9.4022373804685593</v>
      </c>
      <c r="AV152" s="28">
        <v>1.7873605297283599</v>
      </c>
      <c r="AW152" s="28">
        <v>1.03478379491368</v>
      </c>
      <c r="AX152" s="28">
        <v>1.62191058184182</v>
      </c>
      <c r="AY152" s="28">
        <v>0</v>
      </c>
      <c r="AZ152" s="28">
        <v>1.0205423611274</v>
      </c>
      <c r="BA152" s="28">
        <v>6.7387678028104803E-2</v>
      </c>
      <c r="BB152" s="28">
        <v>8.0447684400533306E-2</v>
      </c>
      <c r="BC152" s="28">
        <v>1.7948098213733401</v>
      </c>
      <c r="BD152" s="28">
        <v>0</v>
      </c>
      <c r="BE152" s="28">
        <v>0</v>
      </c>
      <c r="BF152" s="28">
        <v>0</v>
      </c>
      <c r="BG152" s="28">
        <v>0</v>
      </c>
      <c r="BH152" s="28">
        <v>0.50221893839199905</v>
      </c>
      <c r="BI152" s="28">
        <v>1.6044108734697999</v>
      </c>
      <c r="BJ152" s="28">
        <v>0.55144734737521095</v>
      </c>
      <c r="BK152" s="28">
        <v>0</v>
      </c>
      <c r="BL152" s="28">
        <v>0.26748884309849003</v>
      </c>
      <c r="BM152" s="28">
        <v>0.127923866570785</v>
      </c>
      <c r="BN152" s="28">
        <v>0.209005169793266</v>
      </c>
      <c r="BO152" s="28">
        <v>0.34300954872816303</v>
      </c>
      <c r="BP152" s="28">
        <v>7.3707243009510598E-4</v>
      </c>
      <c r="BQ152" s="28">
        <v>4.22472516855169E-2</v>
      </c>
      <c r="BR152" s="28">
        <v>0.100280632637175</v>
      </c>
      <c r="BS152" s="28">
        <v>0</v>
      </c>
      <c r="BT152" s="28">
        <v>0</v>
      </c>
      <c r="BU152" s="28">
        <v>0.16052325414135701</v>
      </c>
      <c r="BV152" s="28">
        <v>0.74161165579295796</v>
      </c>
      <c r="BW152" s="28">
        <v>0</v>
      </c>
      <c r="BX152" s="28">
        <v>2.6416261971401601E-2</v>
      </c>
      <c r="BY152" s="28">
        <v>0.107044077855662</v>
      </c>
      <c r="BZ152" s="28">
        <v>1.0698833482248701E-2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0.283755929937693</v>
      </c>
      <c r="CN152" s="28">
        <v>0</v>
      </c>
      <c r="CO152" s="28">
        <v>0</v>
      </c>
      <c r="CP152" s="28">
        <v>0</v>
      </c>
      <c r="CQ152" s="28">
        <v>0</v>
      </c>
      <c r="CR152" s="28">
        <v>3.9656818925024502</v>
      </c>
      <c r="CS152" s="28">
        <v>0</v>
      </c>
      <c r="CT152" s="28">
        <v>10.202157734675099</v>
      </c>
      <c r="CU152" s="28">
        <v>0</v>
      </c>
      <c r="CV152" s="28">
        <v>0</v>
      </c>
      <c r="CW152" s="28">
        <v>2.5049999999999999</v>
      </c>
      <c r="CX152" s="28">
        <v>1.0493608478594101</v>
      </c>
      <c r="CY152" s="28">
        <v>0</v>
      </c>
      <c r="CZ152" s="28">
        <v>0</v>
      </c>
      <c r="DA152" s="28">
        <v>0.264097193938574</v>
      </c>
      <c r="DB152" s="28">
        <v>0.35584800612092199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0.70653807336908403</v>
      </c>
      <c r="DI152" s="28">
        <v>3.24732360883909</v>
      </c>
      <c r="DJ152" s="28">
        <v>1.14793144726441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2.5129606105336699</v>
      </c>
      <c r="DR152" s="28">
        <v>1.25716190596955</v>
      </c>
      <c r="DS152" s="28">
        <v>8.2818829029269298E-4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0.248420813305014</v>
      </c>
      <c r="EE152" s="28">
        <v>0.16883855142526999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  <c r="EU152" s="28">
        <v>0</v>
      </c>
      <c r="EV152" s="28">
        <v>2.5745659202370299</v>
      </c>
      <c r="EW152" s="28">
        <v>0</v>
      </c>
      <c r="EX152" s="28">
        <v>0</v>
      </c>
      <c r="EY152" s="28">
        <v>4.0228E-2</v>
      </c>
      <c r="EZ152" s="28">
        <v>0.119931</v>
      </c>
      <c r="FA152" s="28">
        <v>0.54169504815487901</v>
      </c>
      <c r="FB152" s="28">
        <v>26.0757360045796</v>
      </c>
      <c r="FC152" s="28">
        <v>1.73376163365382</v>
      </c>
      <c r="FD152" s="28">
        <v>0.30827708679701499</v>
      </c>
      <c r="FE152" s="28">
        <v>0</v>
      </c>
      <c r="FF152" s="28">
        <v>6.62373464462868</v>
      </c>
      <c r="FG152" s="28">
        <v>0.145415997407562</v>
      </c>
      <c r="FH152" s="28">
        <v>0</v>
      </c>
      <c r="FI152" s="28">
        <v>87.354315596118397</v>
      </c>
      <c r="FJ152" s="28">
        <v>0</v>
      </c>
      <c r="FK152" s="28">
        <v>0</v>
      </c>
      <c r="FL152" s="28">
        <v>4.7969941298072403</v>
      </c>
      <c r="FM152" s="28">
        <v>0</v>
      </c>
      <c r="FN152" s="28">
        <v>0.180115802171188</v>
      </c>
      <c r="FO152" s="28">
        <v>0.206146306693615</v>
      </c>
      <c r="FP152" s="28">
        <v>0</v>
      </c>
      <c r="FQ152" s="28">
        <v>30.254920805733999</v>
      </c>
      <c r="FR152" s="28">
        <v>1.94887058867053</v>
      </c>
      <c r="FS152" s="28">
        <v>54.208289465210598</v>
      </c>
      <c r="FT152" s="28">
        <v>57.989192339941702</v>
      </c>
      <c r="FU152" s="28">
        <v>17.4102979701903</v>
      </c>
      <c r="FV152" s="28">
        <v>0.30575690072440798</v>
      </c>
      <c r="FW152" s="28">
        <v>4.4803679999999999E-2</v>
      </c>
      <c r="FX152" s="28">
        <v>3.8967705308881703E-2</v>
      </c>
      <c r="FY152" s="28">
        <v>3.6258899999999997E-2</v>
      </c>
      <c r="FZ152" s="28">
        <v>0</v>
      </c>
      <c r="GA152" s="28">
        <v>1.4474531419842699E-2</v>
      </c>
      <c r="GB152" s="28">
        <v>1.165</v>
      </c>
      <c r="GC152" s="28">
        <v>3.2480093909530301</v>
      </c>
      <c r="GD152" s="28">
        <v>60.544083984957602</v>
      </c>
      <c r="GE152" s="28">
        <v>4.7724224338560601</v>
      </c>
      <c r="GF152" s="28">
        <v>83.9974911220216</v>
      </c>
      <c r="GG152" s="28">
        <v>25.796185701784701</v>
      </c>
      <c r="GH152" s="28">
        <v>0.47162478176165101</v>
      </c>
      <c r="GI152" s="28">
        <v>13.40341327</v>
      </c>
      <c r="GJ152" s="28">
        <v>7.8003188044237897</v>
      </c>
      <c r="GK152" s="28">
        <v>9.1843884060761791</v>
      </c>
      <c r="GL152" s="28">
        <v>6.2147394993648603E-2</v>
      </c>
      <c r="GM152" s="28">
        <v>4.57686990768567</v>
      </c>
      <c r="GN152" s="28">
        <v>0</v>
      </c>
      <c r="GO152" s="28">
        <v>18.309050570592898</v>
      </c>
      <c r="GP152" s="28">
        <v>0</v>
      </c>
      <c r="GQ152" s="21">
        <v>594.75112958332977</v>
      </c>
      <c r="GR152" s="21">
        <v>3294.2437543419101</v>
      </c>
      <c r="GS152" s="20">
        <v>3293.9361313410195</v>
      </c>
      <c r="GT152" s="20">
        <v>0.30762300089050981</v>
      </c>
      <c r="GU152" s="20">
        <v>0</v>
      </c>
      <c r="GV152" s="20">
        <v>0</v>
      </c>
      <c r="GW152" s="20">
        <v>0</v>
      </c>
      <c r="GX152" s="21">
        <v>13.037464350114766</v>
      </c>
      <c r="GY152" s="20">
        <v>0</v>
      </c>
      <c r="GZ152" s="20">
        <v>13.037464350114766</v>
      </c>
      <c r="HA152" s="20"/>
      <c r="HB152" s="21">
        <v>40.625355883200001</v>
      </c>
      <c r="HC152" s="21">
        <v>3942.6577041585547</v>
      </c>
    </row>
    <row r="153" spans="1:211" s="7" customFormat="1" ht="17.25" customHeight="1">
      <c r="A153" s="7">
        <f t="shared" si="10"/>
        <v>153</v>
      </c>
      <c r="B153" s="26" t="s">
        <v>596</v>
      </c>
      <c r="C153" s="10" t="s">
        <v>597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3.40179578895961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0.17354054036571601</v>
      </c>
      <c r="AP153" s="28">
        <v>1.23756151387536</v>
      </c>
      <c r="AQ153" s="28">
        <v>0.36403051581951601</v>
      </c>
      <c r="AR153" s="28">
        <v>0.2318072038309</v>
      </c>
      <c r="AS153" s="28">
        <v>1.15933627674418E-2</v>
      </c>
      <c r="AT153" s="28">
        <v>44.060043839111898</v>
      </c>
      <c r="AU153" s="28">
        <v>25.432841569798502</v>
      </c>
      <c r="AV153" s="28">
        <v>28.663750884846401</v>
      </c>
      <c r="AW153" s="28">
        <v>12.791089977520601</v>
      </c>
      <c r="AX153" s="28">
        <v>70.468179446191897</v>
      </c>
      <c r="AY153" s="28">
        <v>0</v>
      </c>
      <c r="AZ153" s="28">
        <v>9.1909726637692302</v>
      </c>
      <c r="BA153" s="28">
        <v>3.78101872369152</v>
      </c>
      <c r="BB153" s="28">
        <v>0</v>
      </c>
      <c r="BC153" s="28">
        <v>86.678897333176906</v>
      </c>
      <c r="BD153" s="28">
        <v>0</v>
      </c>
      <c r="BE153" s="28">
        <v>0</v>
      </c>
      <c r="BF153" s="28">
        <v>0</v>
      </c>
      <c r="BG153" s="28">
        <v>0</v>
      </c>
      <c r="BH153" s="28">
        <v>6.3969214730727399</v>
      </c>
      <c r="BI153" s="28">
        <v>0.536480897723146</v>
      </c>
      <c r="BJ153" s="28">
        <v>0.423352178266242</v>
      </c>
      <c r="BK153" s="28">
        <v>0</v>
      </c>
      <c r="BL153" s="28">
        <v>0.22177872434115301</v>
      </c>
      <c r="BM153" s="28">
        <v>6.2960256128612099E-2</v>
      </c>
      <c r="BN153" s="28">
        <v>0.108744828194323</v>
      </c>
      <c r="BO153" s="28">
        <v>0.192160386154308</v>
      </c>
      <c r="BP153" s="28">
        <v>1.2328439569525599E-3</v>
      </c>
      <c r="BQ153" s="28">
        <v>6.8220668048818503E-2</v>
      </c>
      <c r="BR153" s="28">
        <v>0.179372470760681</v>
      </c>
      <c r="BS153" s="28">
        <v>0</v>
      </c>
      <c r="BT153" s="28">
        <v>0</v>
      </c>
      <c r="BU153" s="28">
        <v>6.2141550476903097E-2</v>
      </c>
      <c r="BV153" s="28">
        <v>1.7663371117215001</v>
      </c>
      <c r="BW153" s="28">
        <v>0</v>
      </c>
      <c r="BX153" s="28">
        <v>1.23029246390709E-2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1.4135823008241799</v>
      </c>
      <c r="CW153" s="28">
        <v>0</v>
      </c>
      <c r="CX153" s="28">
        <v>0</v>
      </c>
      <c r="CY153" s="28">
        <v>0</v>
      </c>
      <c r="CZ153" s="28">
        <v>0</v>
      </c>
      <c r="DA153" s="28">
        <v>0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0.16167960351057201</v>
      </c>
      <c r="DI153" s="28">
        <v>2.0565959351988399</v>
      </c>
      <c r="DJ153" s="28">
        <v>5.6090574035031402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3.79785735371942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11.865579335055299</v>
      </c>
      <c r="EE153" s="28">
        <v>0.349948316091033</v>
      </c>
      <c r="EF153" s="28">
        <v>40.098850177031402</v>
      </c>
      <c r="EG153" s="28">
        <v>1.4282847964065899</v>
      </c>
      <c r="EH153" s="28">
        <v>0.49317866144361699</v>
      </c>
      <c r="EI153" s="28">
        <v>0.23017665131244999</v>
      </c>
      <c r="EJ153" s="28">
        <v>6.8870338347421596</v>
      </c>
      <c r="EK153" s="28">
        <v>0</v>
      </c>
      <c r="EL153" s="28">
        <v>9.7315943861729107E-6</v>
      </c>
      <c r="EM153" s="28">
        <v>0.174722543665671</v>
      </c>
      <c r="EN153" s="28">
        <v>9.1261420036685397E-3</v>
      </c>
      <c r="EO153" s="28">
        <v>0</v>
      </c>
      <c r="EP153" s="28">
        <v>0</v>
      </c>
      <c r="EQ153" s="28">
        <v>0</v>
      </c>
      <c r="ER153" s="28">
        <v>1.1717009273071699</v>
      </c>
      <c r="ES153" s="28">
        <v>0</v>
      </c>
      <c r="ET153" s="28">
        <v>0</v>
      </c>
      <c r="EU153" s="28">
        <v>0</v>
      </c>
      <c r="EV153" s="28">
        <v>0.32224425250142702</v>
      </c>
      <c r="EW153" s="28">
        <v>0.828454102546617</v>
      </c>
      <c r="EX153" s="28">
        <v>2.6270643031926302E-2</v>
      </c>
      <c r="EY153" s="28">
        <v>6.7127696077143195E-2</v>
      </c>
      <c r="EZ153" s="28">
        <v>0.18215556241509201</v>
      </c>
      <c r="FA153" s="28">
        <v>2.9045147002334302</v>
      </c>
      <c r="FB153" s="28">
        <v>0.83329861229936897</v>
      </c>
      <c r="FC153" s="28">
        <v>1.48315605110603</v>
      </c>
      <c r="FD153" s="28">
        <v>14.8460464787929</v>
      </c>
      <c r="FE153" s="28">
        <v>21.7824491736488</v>
      </c>
      <c r="FF153" s="28">
        <v>158.59269880874001</v>
      </c>
      <c r="FG153" s="28">
        <v>36.1968700747707</v>
      </c>
      <c r="FH153" s="28">
        <v>0</v>
      </c>
      <c r="FI153" s="28">
        <v>110.856280564654</v>
      </c>
      <c r="FJ153" s="28">
        <v>0.98</v>
      </c>
      <c r="FK153" s="28">
        <v>0</v>
      </c>
      <c r="FL153" s="28">
        <v>208.375450507886</v>
      </c>
      <c r="FM153" s="28">
        <v>404.77750573242702</v>
      </c>
      <c r="FN153" s="28">
        <v>10.3881138893816</v>
      </c>
      <c r="FO153" s="28">
        <v>0</v>
      </c>
      <c r="FP153" s="28">
        <v>3.8477335361108</v>
      </c>
      <c r="FQ153" s="28">
        <v>6.3506984282960701</v>
      </c>
      <c r="FR153" s="28">
        <v>3.4231034994908802E-2</v>
      </c>
      <c r="FS153" s="28">
        <v>4.7872618230149104</v>
      </c>
      <c r="FT153" s="28">
        <v>0.47025706941427298</v>
      </c>
      <c r="FU153" s="28">
        <v>4.4253785384259503E-3</v>
      </c>
      <c r="FV153" s="28">
        <v>0</v>
      </c>
      <c r="FW153" s="28">
        <v>8.9441999999999994E-2</v>
      </c>
      <c r="FX153" s="28">
        <v>9.7747915140515094</v>
      </c>
      <c r="FY153" s="28">
        <v>0</v>
      </c>
      <c r="FZ153" s="28">
        <v>0</v>
      </c>
      <c r="GA153" s="28">
        <v>6.8487453316537104E-3</v>
      </c>
      <c r="GB153" s="28">
        <v>0</v>
      </c>
      <c r="GC153" s="28">
        <v>0</v>
      </c>
      <c r="GD153" s="28">
        <v>0</v>
      </c>
      <c r="GE153" s="28">
        <v>6.2231152643755401</v>
      </c>
      <c r="GF153" s="28">
        <v>119.472478414557</v>
      </c>
      <c r="GG153" s="28">
        <v>73.478917236826803</v>
      </c>
      <c r="GH153" s="28">
        <v>4.5419876305727103</v>
      </c>
      <c r="GI153" s="28">
        <v>2.1048034086840799</v>
      </c>
      <c r="GJ153" s="28">
        <v>0.43418134055510099</v>
      </c>
      <c r="GK153" s="28">
        <v>6.1366437753674203</v>
      </c>
      <c r="GL153" s="28">
        <v>3.4308626852626798</v>
      </c>
      <c r="GM153" s="28">
        <v>0</v>
      </c>
      <c r="GN153" s="28">
        <v>0</v>
      </c>
      <c r="GO153" s="28">
        <v>0</v>
      </c>
      <c r="GP153" s="28">
        <v>0</v>
      </c>
      <c r="GQ153" s="21">
        <v>1586.8978295270842</v>
      </c>
      <c r="GR153" s="21">
        <v>432.14500405488798</v>
      </c>
      <c r="GS153" s="20">
        <v>432.14500405488798</v>
      </c>
      <c r="GT153" s="20">
        <v>0</v>
      </c>
      <c r="GU153" s="20">
        <v>0</v>
      </c>
      <c r="GV153" s="20">
        <v>0</v>
      </c>
      <c r="GW153" s="20">
        <v>0</v>
      </c>
      <c r="GX153" s="21">
        <v>22.521811841695904</v>
      </c>
      <c r="GY153" s="20">
        <v>0</v>
      </c>
      <c r="GZ153" s="20">
        <v>22.521811841695904</v>
      </c>
      <c r="HA153" s="20"/>
      <c r="HB153" s="21">
        <v>7.6716479592000004</v>
      </c>
      <c r="HC153" s="21">
        <v>2049.2362933828681</v>
      </c>
    </row>
    <row r="154" spans="1:211" s="7" customFormat="1" ht="17.25" customHeight="1">
      <c r="A154" s="7">
        <f t="shared" si="10"/>
        <v>154</v>
      </c>
      <c r="B154" s="26" t="s">
        <v>598</v>
      </c>
      <c r="C154" s="10" t="s">
        <v>599</v>
      </c>
      <c r="D154" s="28">
        <v>0.106449319238987</v>
      </c>
      <c r="E154" s="28">
        <v>0</v>
      </c>
      <c r="F154" s="28">
        <v>0</v>
      </c>
      <c r="G154" s="28">
        <v>0</v>
      </c>
      <c r="H154" s="28">
        <v>0.40168588774202602</v>
      </c>
      <c r="I154" s="28">
        <v>4.8761042455915504</v>
      </c>
      <c r="J154" s="28">
        <v>1.1485010633191</v>
      </c>
      <c r="K154" s="28">
        <v>2.9606586029802</v>
      </c>
      <c r="L154" s="28">
        <v>0</v>
      </c>
      <c r="M154" s="28">
        <v>0</v>
      </c>
      <c r="N154" s="28">
        <v>2.0056199642447901</v>
      </c>
      <c r="O154" s="28">
        <v>0</v>
      </c>
      <c r="P154" s="28">
        <v>7.9962428667722598</v>
      </c>
      <c r="Q154" s="28">
        <v>15.325350264141999</v>
      </c>
      <c r="R154" s="28">
        <v>14.43081008121</v>
      </c>
      <c r="S154" s="28">
        <v>3.9527812422070402E-2</v>
      </c>
      <c r="T154" s="28">
        <v>0</v>
      </c>
      <c r="U154" s="28">
        <v>0</v>
      </c>
      <c r="V154" s="28">
        <v>0</v>
      </c>
      <c r="W154" s="28">
        <v>10.7380277405058</v>
      </c>
      <c r="X154" s="28">
        <v>2.98173101393381</v>
      </c>
      <c r="Y154" s="28">
        <v>0.28097995444083002</v>
      </c>
      <c r="Z154" s="28">
        <v>16.222549268336799</v>
      </c>
      <c r="AA154" s="28">
        <v>0.70011123319230895</v>
      </c>
      <c r="AB154" s="28">
        <v>0</v>
      </c>
      <c r="AC154" s="28">
        <v>0</v>
      </c>
      <c r="AD154" s="28">
        <v>2.4212508215170798E-3</v>
      </c>
      <c r="AE154" s="28">
        <v>11.715263172777799</v>
      </c>
      <c r="AF154" s="28">
        <v>0</v>
      </c>
      <c r="AG154" s="28">
        <v>0</v>
      </c>
      <c r="AH154" s="28">
        <v>0</v>
      </c>
      <c r="AI154" s="28">
        <v>3.8264445585562199</v>
      </c>
      <c r="AJ154" s="28">
        <v>0</v>
      </c>
      <c r="AK154" s="28">
        <v>0.98495645708351098</v>
      </c>
      <c r="AL154" s="28">
        <v>3.5597832346685898</v>
      </c>
      <c r="AM154" s="28">
        <v>0</v>
      </c>
      <c r="AN154" s="28">
        <v>0.57550849428670203</v>
      </c>
      <c r="AO154" s="28">
        <v>1.41634750166913</v>
      </c>
      <c r="AP154" s="28">
        <v>14.086921919931401</v>
      </c>
      <c r="AQ154" s="28">
        <v>2.4158049572422802</v>
      </c>
      <c r="AR154" s="28">
        <v>2.3180720383089999</v>
      </c>
      <c r="AS154" s="28">
        <v>0</v>
      </c>
      <c r="AT154" s="28">
        <v>0.25493621477269202</v>
      </c>
      <c r="AU154" s="28">
        <v>3.5660713800332799</v>
      </c>
      <c r="AV154" s="28">
        <v>4.1597167331969596</v>
      </c>
      <c r="AW154" s="28">
        <v>0</v>
      </c>
      <c r="AX154" s="28">
        <v>0</v>
      </c>
      <c r="AY154" s="28">
        <v>0</v>
      </c>
      <c r="AZ154" s="28">
        <v>3.9017737316513901</v>
      </c>
      <c r="BA154" s="28">
        <v>0</v>
      </c>
      <c r="BB154" s="28">
        <v>0.57273008367609701</v>
      </c>
      <c r="BC154" s="28">
        <v>47.099147236591499</v>
      </c>
      <c r="BD154" s="28">
        <v>0</v>
      </c>
      <c r="BE154" s="28">
        <v>0</v>
      </c>
      <c r="BF154" s="28">
        <v>0</v>
      </c>
      <c r="BG154" s="28">
        <v>0</v>
      </c>
      <c r="BH154" s="28">
        <v>45.715065426799299</v>
      </c>
      <c r="BI154" s="28">
        <v>0</v>
      </c>
      <c r="BJ154" s="28">
        <v>59.504170907958802</v>
      </c>
      <c r="BK154" s="28">
        <v>0</v>
      </c>
      <c r="BL154" s="28">
        <v>181.43151991851801</v>
      </c>
      <c r="BM154" s="28">
        <v>0.39787739770722602</v>
      </c>
      <c r="BN154" s="28">
        <v>32.524433721102902</v>
      </c>
      <c r="BO154" s="28">
        <v>6.33268555242178</v>
      </c>
      <c r="BP154" s="28">
        <v>1.76523642082409E-2</v>
      </c>
      <c r="BQ154" s="28">
        <v>7.7025921580166896</v>
      </c>
      <c r="BR154" s="28">
        <v>0.74270162873901802</v>
      </c>
      <c r="BS154" s="28">
        <v>0</v>
      </c>
      <c r="BT154" s="28">
        <v>0</v>
      </c>
      <c r="BU154" s="28">
        <v>25.696261014640601</v>
      </c>
      <c r="BV154" s="28">
        <v>42.3079257140732</v>
      </c>
      <c r="BW154" s="28">
        <v>1.0428370759252899E-4</v>
      </c>
      <c r="BX154" s="28">
        <v>0</v>
      </c>
      <c r="BY154" s="28">
        <v>24.3019350525738</v>
      </c>
      <c r="BZ154" s="28">
        <v>0</v>
      </c>
      <c r="CA154" s="28">
        <v>22.9220912070714</v>
      </c>
      <c r="CB154" s="28">
        <v>3.3681044299146001</v>
      </c>
      <c r="CC154" s="28">
        <v>0.18462391027778599</v>
      </c>
      <c r="CD154" s="28">
        <v>2.4256133218975</v>
      </c>
      <c r="CE154" s="28">
        <v>0.82476984792300601</v>
      </c>
      <c r="CF154" s="28">
        <v>0</v>
      </c>
      <c r="CG154" s="28">
        <v>3.4523844191411501</v>
      </c>
      <c r="CH154" s="28">
        <v>8.2494507646148207</v>
      </c>
      <c r="CI154" s="28">
        <v>7.13568019866943</v>
      </c>
      <c r="CJ154" s="28">
        <v>3.4488962936110101</v>
      </c>
      <c r="CK154" s="28">
        <v>1.77983510494232</v>
      </c>
      <c r="CL154" s="28">
        <v>10.1796501213782</v>
      </c>
      <c r="CM154" s="28">
        <v>5.05083604190804</v>
      </c>
      <c r="CN154" s="28">
        <v>0.80673442962066999</v>
      </c>
      <c r="CO154" s="28">
        <v>6.7727360153693299</v>
      </c>
      <c r="CP154" s="28">
        <v>386.03348180319102</v>
      </c>
      <c r="CQ154" s="28">
        <v>0</v>
      </c>
      <c r="CR154" s="28">
        <v>0.60170164374313195</v>
      </c>
      <c r="CS154" s="28">
        <v>2.3491706115435902E-2</v>
      </c>
      <c r="CT154" s="28">
        <v>11.907269561258</v>
      </c>
      <c r="CU154" s="28">
        <v>0.366910704850056</v>
      </c>
      <c r="CV154" s="28">
        <v>1.7902536975152501</v>
      </c>
      <c r="CW154" s="28">
        <v>0</v>
      </c>
      <c r="CX154" s="28">
        <v>0.40692985897767597</v>
      </c>
      <c r="CY154" s="28">
        <v>2.9250572534070001</v>
      </c>
      <c r="CZ154" s="28">
        <v>0</v>
      </c>
      <c r="DA154" s="28">
        <v>1.06838540364248</v>
      </c>
      <c r="DB154" s="28">
        <v>4.2499862065715996</v>
      </c>
      <c r="DC154" s="28">
        <v>4.9550711851645097</v>
      </c>
      <c r="DD154" s="28">
        <v>0.62557343126601705</v>
      </c>
      <c r="DE154" s="28">
        <v>0</v>
      </c>
      <c r="DF154" s="28">
        <v>0</v>
      </c>
      <c r="DG154" s="28">
        <v>18.349877756727199</v>
      </c>
      <c r="DH154" s="28">
        <v>9.0671583212907407</v>
      </c>
      <c r="DI154" s="28">
        <v>7.6537904810328197</v>
      </c>
      <c r="DJ154" s="28">
        <v>1.3837232783594899</v>
      </c>
      <c r="DK154" s="28">
        <v>0</v>
      </c>
      <c r="DL154" s="28">
        <v>0.940110658247991</v>
      </c>
      <c r="DM154" s="28">
        <v>0.97535365475944602</v>
      </c>
      <c r="DN154" s="28">
        <v>0.25632591118507397</v>
      </c>
      <c r="DO154" s="28">
        <v>0</v>
      </c>
      <c r="DP154" s="28">
        <v>0</v>
      </c>
      <c r="DQ154" s="28">
        <v>9.6274766901959499</v>
      </c>
      <c r="DR154" s="28">
        <v>36.702093848897</v>
      </c>
      <c r="DS154" s="28">
        <v>1.0580120082701401</v>
      </c>
      <c r="DT154" s="28">
        <v>0</v>
      </c>
      <c r="DU154" s="28">
        <v>11.370096908461599</v>
      </c>
      <c r="DV154" s="28">
        <v>0</v>
      </c>
      <c r="DW154" s="28">
        <v>0</v>
      </c>
      <c r="DX154" s="28">
        <v>15.897973448771999</v>
      </c>
      <c r="DY154" s="28">
        <v>8.7405231504963208</v>
      </c>
      <c r="DZ154" s="28">
        <v>42.1808541979387</v>
      </c>
      <c r="EA154" s="28">
        <v>0</v>
      </c>
      <c r="EB154" s="28">
        <v>0</v>
      </c>
      <c r="EC154" s="28">
        <v>0</v>
      </c>
      <c r="ED154" s="28">
        <v>0.70979029893144796</v>
      </c>
      <c r="EE154" s="28">
        <v>0.55232701851132404</v>
      </c>
      <c r="EF154" s="28">
        <v>3.7886965725811401</v>
      </c>
      <c r="EG154" s="28">
        <v>0</v>
      </c>
      <c r="EH154" s="28">
        <v>0</v>
      </c>
      <c r="EI154" s="28">
        <v>0</v>
      </c>
      <c r="EJ154" s="28">
        <v>0.90465976071813003</v>
      </c>
      <c r="EK154" s="28">
        <v>1.96749576252331</v>
      </c>
      <c r="EL154" s="28">
        <v>0.17564799867638201</v>
      </c>
      <c r="EM154" s="28">
        <v>8.0259684621290101E-2</v>
      </c>
      <c r="EN154" s="28">
        <v>0.12574693929557601</v>
      </c>
      <c r="EO154" s="28">
        <v>29.242722427035002</v>
      </c>
      <c r="EP154" s="28">
        <v>0</v>
      </c>
      <c r="EQ154" s="28">
        <v>0.15864751688343801</v>
      </c>
      <c r="ER154" s="28">
        <v>1.28071407805294</v>
      </c>
      <c r="ES154" s="28">
        <v>11.167908080509401</v>
      </c>
      <c r="ET154" s="28">
        <v>1.3659237632254499</v>
      </c>
      <c r="EU154" s="28">
        <v>9.5053997777810092E-3</v>
      </c>
      <c r="EV154" s="28">
        <v>40.908390589664698</v>
      </c>
      <c r="EW154" s="28">
        <v>0</v>
      </c>
      <c r="EX154" s="28">
        <v>1.70314390407169</v>
      </c>
      <c r="EY154" s="28">
        <v>0.128504353196921</v>
      </c>
      <c r="EZ154" s="28">
        <v>0.31311451195081003</v>
      </c>
      <c r="FA154" s="28">
        <v>23.885978349472101</v>
      </c>
      <c r="FB154" s="28">
        <v>18.7617174675398</v>
      </c>
      <c r="FC154" s="28">
        <v>326.24057707388198</v>
      </c>
      <c r="FD154" s="28">
        <v>257.15205873144902</v>
      </c>
      <c r="FE154" s="28">
        <v>41.142319894997797</v>
      </c>
      <c r="FF154" s="28">
        <v>0</v>
      </c>
      <c r="FG154" s="28">
        <v>484.53545198352998</v>
      </c>
      <c r="FH154" s="28">
        <v>3.3690543406232697E-2</v>
      </c>
      <c r="FI154" s="28">
        <v>65.778824086092101</v>
      </c>
      <c r="FJ154" s="28">
        <v>0</v>
      </c>
      <c r="FK154" s="28">
        <v>0</v>
      </c>
      <c r="FL154" s="28">
        <v>0</v>
      </c>
      <c r="FM154" s="28">
        <v>0.46786549999999999</v>
      </c>
      <c r="FN154" s="28">
        <v>4.6129639271705098</v>
      </c>
      <c r="FO154" s="28">
        <v>0</v>
      </c>
      <c r="FP154" s="28">
        <v>3.9390599244084998</v>
      </c>
      <c r="FQ154" s="28">
        <v>5.9018057673753104</v>
      </c>
      <c r="FR154" s="28">
        <v>10.7763359085247</v>
      </c>
      <c r="FS154" s="28">
        <v>0.12530319757307701</v>
      </c>
      <c r="FT154" s="28">
        <v>206.64889862382</v>
      </c>
      <c r="FU154" s="28">
        <v>34.176474003967499</v>
      </c>
      <c r="FV154" s="28">
        <v>0.90164281402394697</v>
      </c>
      <c r="FW154" s="28">
        <v>0.10502356</v>
      </c>
      <c r="FX154" s="28">
        <v>8.4969814450214791</v>
      </c>
      <c r="FY154" s="28">
        <v>0</v>
      </c>
      <c r="FZ154" s="28">
        <v>0</v>
      </c>
      <c r="GA154" s="28">
        <v>0.49858111696035901</v>
      </c>
      <c r="GB154" s="28">
        <v>0</v>
      </c>
      <c r="GC154" s="28">
        <v>3.6241568242148601</v>
      </c>
      <c r="GD154" s="28">
        <v>64.204115686696397</v>
      </c>
      <c r="GE154" s="28">
        <v>14.423071613088799</v>
      </c>
      <c r="GF154" s="28">
        <v>4.4433747845344698</v>
      </c>
      <c r="GG154" s="28">
        <v>163.1554354852</v>
      </c>
      <c r="GH154" s="28">
        <v>1.8689386321386401</v>
      </c>
      <c r="GI154" s="28">
        <v>2.6756422396248198</v>
      </c>
      <c r="GJ154" s="28">
        <v>11.417958189798799</v>
      </c>
      <c r="GK154" s="28">
        <v>27.552630727149001</v>
      </c>
      <c r="GL154" s="28">
        <v>0.20829774062683801</v>
      </c>
      <c r="GM154" s="28">
        <v>0</v>
      </c>
      <c r="GN154" s="28">
        <v>0</v>
      </c>
      <c r="GO154" s="28">
        <v>0.354685334072744</v>
      </c>
      <c r="GP154" s="28">
        <v>0</v>
      </c>
      <c r="GQ154" s="21">
        <v>3145.7971221370708</v>
      </c>
      <c r="GR154" s="21">
        <v>2691.2194148010499</v>
      </c>
      <c r="GS154" s="20">
        <v>2691.2194148010499</v>
      </c>
      <c r="GT154" s="20">
        <v>0</v>
      </c>
      <c r="GU154" s="20">
        <v>0</v>
      </c>
      <c r="GV154" s="20">
        <v>0</v>
      </c>
      <c r="GW154" s="20">
        <v>0</v>
      </c>
      <c r="GX154" s="21">
        <v>7.9026310466024583</v>
      </c>
      <c r="GY154" s="20">
        <v>0</v>
      </c>
      <c r="GZ154" s="20">
        <v>7.9026310466024583</v>
      </c>
      <c r="HA154" s="20"/>
      <c r="HB154" s="21">
        <v>15.714208308</v>
      </c>
      <c r="HC154" s="21">
        <v>5860.6333762927234</v>
      </c>
    </row>
    <row r="155" spans="1:211" s="7" customFormat="1" ht="17.25" customHeight="1">
      <c r="A155" s="7">
        <f t="shared" si="10"/>
        <v>155</v>
      </c>
      <c r="B155" s="26" t="s">
        <v>600</v>
      </c>
      <c r="C155" s="9" t="s">
        <v>601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1.0406788392983599E-3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0.79386375777684404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10.1034362872433</v>
      </c>
      <c r="AU155" s="28">
        <v>0.107310170309937</v>
      </c>
      <c r="AV155" s="28">
        <v>25.8244006160186</v>
      </c>
      <c r="AW155" s="28">
        <v>246.198295598486</v>
      </c>
      <c r="AX155" s="28">
        <v>261.965313118084</v>
      </c>
      <c r="AY155" s="28">
        <v>0.28573248741297502</v>
      </c>
      <c r="AZ155" s="28">
        <v>55.900627901820499</v>
      </c>
      <c r="BA155" s="28">
        <v>26.297320109975299</v>
      </c>
      <c r="BB155" s="28">
        <v>6.9836416014987304</v>
      </c>
      <c r="BC155" s="28">
        <v>65.448900694660495</v>
      </c>
      <c r="BD155" s="28">
        <v>0</v>
      </c>
      <c r="BE155" s="28">
        <v>0</v>
      </c>
      <c r="BF155" s="28">
        <v>0</v>
      </c>
      <c r="BG155" s="28">
        <v>0</v>
      </c>
      <c r="BH155" s="28">
        <v>0.99299986089657699</v>
      </c>
      <c r="BI155" s="28">
        <v>0.13240513204676099</v>
      </c>
      <c r="BJ155" s="28">
        <v>14.172180576266101</v>
      </c>
      <c r="BK155" s="28">
        <v>0</v>
      </c>
      <c r="BL155" s="28">
        <v>5.3540092803732703E-2</v>
      </c>
      <c r="BM155" s="28">
        <v>4.4736194308474898E-2</v>
      </c>
      <c r="BN155" s="28">
        <v>5.7718408810833198E-2</v>
      </c>
      <c r="BO155" s="28">
        <v>0.105764060527008</v>
      </c>
      <c r="BP155" s="28">
        <v>6.0027533189061595E-4</v>
      </c>
      <c r="BQ155" s="28">
        <v>1.07906786788617</v>
      </c>
      <c r="BR155" s="28">
        <v>3.5776118781081001E-2</v>
      </c>
      <c r="BS155" s="28">
        <v>0</v>
      </c>
      <c r="BT155" s="28">
        <v>0</v>
      </c>
      <c r="BU155" s="28">
        <v>0.154548865687126</v>
      </c>
      <c r="BV155" s="28">
        <v>1.45293439313501</v>
      </c>
      <c r="BW155" s="28">
        <v>0</v>
      </c>
      <c r="BX155" s="28">
        <v>1.9370883494033798E-2</v>
      </c>
      <c r="BY155" s="28">
        <v>0.32659399237435899</v>
      </c>
      <c r="BZ155" s="28">
        <v>0</v>
      </c>
      <c r="CA155" s="28">
        <v>4.06419992402021</v>
      </c>
      <c r="CB155" s="28">
        <v>8.4237192391549094</v>
      </c>
      <c r="CC155" s="28">
        <v>0.46174933627412301</v>
      </c>
      <c r="CD155" s="28">
        <v>6.0665237766800901</v>
      </c>
      <c r="CE155" s="28">
        <v>2.0627714432239399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0.44820411651216502</v>
      </c>
      <c r="CN155" s="28">
        <v>7.5545549392700195E-2</v>
      </c>
      <c r="CO155" s="28">
        <v>0</v>
      </c>
      <c r="CP155" s="28">
        <v>0</v>
      </c>
      <c r="CQ155" s="28">
        <v>0.69359952211380005</v>
      </c>
      <c r="CR155" s="28">
        <v>0</v>
      </c>
      <c r="CS155" s="28">
        <v>0</v>
      </c>
      <c r="CT155" s="28">
        <v>0</v>
      </c>
      <c r="CU155" s="28">
        <v>3.1951588705159</v>
      </c>
      <c r="CV155" s="28">
        <v>0</v>
      </c>
      <c r="CW155" s="28">
        <v>2.1</v>
      </c>
      <c r="CX155" s="28">
        <v>0.33470553903481898</v>
      </c>
      <c r="CY155" s="28">
        <v>3.4666119247905001</v>
      </c>
      <c r="CZ155" s="28">
        <v>0</v>
      </c>
      <c r="DA155" s="28">
        <v>18.219193816297501</v>
      </c>
      <c r="DB155" s="28">
        <v>94.324616992897703</v>
      </c>
      <c r="DC155" s="28">
        <v>16.990687444209001</v>
      </c>
      <c r="DD155" s="28">
        <v>0.11595017704965201</v>
      </c>
      <c r="DE155" s="28">
        <v>0</v>
      </c>
      <c r="DF155" s="28">
        <v>0.87915999489524799</v>
      </c>
      <c r="DG155" s="28">
        <v>20.234864079079099</v>
      </c>
      <c r="DH155" s="28">
        <v>7.3611212817027996</v>
      </c>
      <c r="DI155" s="28">
        <v>9.1770596774354605</v>
      </c>
      <c r="DJ155" s="28">
        <v>25.48203054</v>
      </c>
      <c r="DK155" s="28">
        <v>4.5384949181146004</v>
      </c>
      <c r="DL155" s="28">
        <v>0</v>
      </c>
      <c r="DM155" s="28">
        <v>19.9328534820695</v>
      </c>
      <c r="DN155" s="28">
        <v>0</v>
      </c>
      <c r="DO155" s="28">
        <v>0</v>
      </c>
      <c r="DP155" s="28">
        <v>0</v>
      </c>
      <c r="DQ155" s="28">
        <v>32.332181068625403</v>
      </c>
      <c r="DR155" s="28">
        <v>127.530361822065</v>
      </c>
      <c r="DS155" s="28">
        <v>151.423719045844</v>
      </c>
      <c r="DT155" s="28">
        <v>0</v>
      </c>
      <c r="DU155" s="28">
        <v>66.364851178119807</v>
      </c>
      <c r="DV155" s="28">
        <v>73.739619522442894</v>
      </c>
      <c r="DW155" s="28">
        <v>0</v>
      </c>
      <c r="DX155" s="28">
        <v>0.25593250570048698</v>
      </c>
      <c r="DY155" s="28">
        <v>0</v>
      </c>
      <c r="DZ155" s="28">
        <v>1.4010364992340301</v>
      </c>
      <c r="EA155" s="28">
        <v>0</v>
      </c>
      <c r="EB155" s="28">
        <v>5.29174538291839</v>
      </c>
      <c r="EC155" s="28">
        <v>8.8222255965311205E-2</v>
      </c>
      <c r="ED155" s="28">
        <v>7.8024667747598802</v>
      </c>
      <c r="EE155" s="28">
        <v>6.2657843782947804</v>
      </c>
      <c r="EF155" s="28">
        <v>29.002560902776001</v>
      </c>
      <c r="EG155" s="28">
        <v>0.34125700266035403</v>
      </c>
      <c r="EH155" s="28">
        <v>0.117834112778993</v>
      </c>
      <c r="EI155" s="28">
        <v>5.4882952716503799E-2</v>
      </c>
      <c r="EJ155" s="28">
        <v>5.4337906521335402</v>
      </c>
      <c r="EK155" s="28">
        <v>0</v>
      </c>
      <c r="EL155" s="28">
        <v>4.9322326575388802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1.2451040604951</v>
      </c>
      <c r="ES155" s="28">
        <v>8.2721910079394707</v>
      </c>
      <c r="ET155" s="28">
        <v>4.8525758010192401E-3</v>
      </c>
      <c r="EU155" s="28">
        <v>0</v>
      </c>
      <c r="EV155" s="28">
        <v>8.8957364999321609</v>
      </c>
      <c r="EW155" s="28">
        <v>0</v>
      </c>
      <c r="EX155" s="28">
        <v>0</v>
      </c>
      <c r="EY155" s="28">
        <v>0</v>
      </c>
      <c r="EZ155" s="28">
        <v>0</v>
      </c>
      <c r="FA155" s="28">
        <v>0</v>
      </c>
      <c r="FB155" s="28">
        <v>0</v>
      </c>
      <c r="FC155" s="28">
        <v>75.602085931183694</v>
      </c>
      <c r="FD155" s="28">
        <v>17.055907562649701</v>
      </c>
      <c r="FE155" s="28">
        <v>8.3277761337584693</v>
      </c>
      <c r="FF155" s="28">
        <v>0</v>
      </c>
      <c r="FG155" s="28">
        <v>62.2377076082917</v>
      </c>
      <c r="FH155" s="28">
        <v>0.22643452289343499</v>
      </c>
      <c r="FI155" s="28">
        <v>0</v>
      </c>
      <c r="FJ155" s="28">
        <v>0</v>
      </c>
      <c r="FK155" s="28">
        <v>0</v>
      </c>
      <c r="FL155" s="28">
        <v>0</v>
      </c>
      <c r="FM155" s="28">
        <v>0</v>
      </c>
      <c r="FN155" s="28">
        <v>0</v>
      </c>
      <c r="FO155" s="28">
        <v>0</v>
      </c>
      <c r="FP155" s="28">
        <v>0</v>
      </c>
      <c r="FQ155" s="28">
        <v>0</v>
      </c>
      <c r="FR155" s="28">
        <v>0</v>
      </c>
      <c r="FS155" s="28">
        <v>0</v>
      </c>
      <c r="FT155" s="28">
        <v>5.44379966952686</v>
      </c>
      <c r="FU155" s="28">
        <v>0</v>
      </c>
      <c r="FV155" s="28">
        <v>0</v>
      </c>
      <c r="FW155" s="28">
        <v>2.8146600000000001E-2</v>
      </c>
      <c r="FX155" s="28">
        <v>0</v>
      </c>
      <c r="FY155" s="28">
        <v>0</v>
      </c>
      <c r="FZ155" s="28">
        <v>0</v>
      </c>
      <c r="GA155" s="28">
        <v>1.7393054152940499</v>
      </c>
      <c r="GB155" s="28">
        <v>0</v>
      </c>
      <c r="GC155" s="28">
        <v>0</v>
      </c>
      <c r="GD155" s="28">
        <v>0</v>
      </c>
      <c r="GE155" s="28">
        <v>0.134711156368371</v>
      </c>
      <c r="GF155" s="28">
        <v>25.235011449398399</v>
      </c>
      <c r="GG155" s="28">
        <v>3.2787278961498298</v>
      </c>
      <c r="GH155" s="28">
        <v>3.3253207626243002</v>
      </c>
      <c r="GI155" s="28">
        <v>0</v>
      </c>
      <c r="GJ155" s="28">
        <v>0</v>
      </c>
      <c r="GK155" s="28">
        <v>3.7998642570949599</v>
      </c>
      <c r="GL155" s="28">
        <v>0</v>
      </c>
      <c r="GM155" s="28">
        <v>0</v>
      </c>
      <c r="GN155" s="28">
        <v>0</v>
      </c>
      <c r="GO155" s="28">
        <v>0</v>
      </c>
      <c r="GP155" s="28">
        <v>0</v>
      </c>
      <c r="GQ155" s="21">
        <v>1704.4181032139149</v>
      </c>
      <c r="GR155" s="21">
        <v>379.35613845142802</v>
      </c>
      <c r="GS155" s="20">
        <v>379.35613845142802</v>
      </c>
      <c r="GT155" s="20">
        <v>0</v>
      </c>
      <c r="GU155" s="20">
        <v>0</v>
      </c>
      <c r="GV155" s="20">
        <v>0</v>
      </c>
      <c r="GW155" s="20">
        <v>0</v>
      </c>
      <c r="GX155" s="21">
        <v>11.926631853794564</v>
      </c>
      <c r="GY155" s="20">
        <v>0</v>
      </c>
      <c r="GZ155" s="20">
        <v>11.926631853794564</v>
      </c>
      <c r="HA155" s="20"/>
      <c r="HB155" s="21">
        <v>68.350994104799994</v>
      </c>
      <c r="HC155" s="21">
        <v>2164.0518676239376</v>
      </c>
    </row>
    <row r="156" spans="1:211" s="7" customFormat="1" ht="17.25" customHeight="1">
      <c r="A156" s="7">
        <f t="shared" si="10"/>
        <v>156</v>
      </c>
      <c r="B156" s="26" t="s">
        <v>602</v>
      </c>
      <c r="C156" s="10" t="s">
        <v>603</v>
      </c>
      <c r="D156" s="28">
        <v>0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  <c r="EU156" s="28">
        <v>0</v>
      </c>
      <c r="EV156" s="28">
        <v>0</v>
      </c>
      <c r="EW156" s="28">
        <v>0</v>
      </c>
      <c r="EX156" s="28">
        <v>0</v>
      </c>
      <c r="EY156" s="28">
        <v>0</v>
      </c>
      <c r="EZ156" s="28">
        <v>0</v>
      </c>
      <c r="FA156" s="28">
        <v>0</v>
      </c>
      <c r="FB156" s="28">
        <v>0</v>
      </c>
      <c r="FC156" s="28">
        <v>0</v>
      </c>
      <c r="FD156" s="28">
        <v>0</v>
      </c>
      <c r="FE156" s="28">
        <v>0</v>
      </c>
      <c r="FF156" s="28">
        <v>0</v>
      </c>
      <c r="FG156" s="28">
        <v>0</v>
      </c>
      <c r="FH156" s="28">
        <v>0</v>
      </c>
      <c r="FI156" s="28">
        <v>0</v>
      </c>
      <c r="FJ156" s="28">
        <v>0</v>
      </c>
      <c r="FK156" s="28">
        <v>0</v>
      </c>
      <c r="FL156" s="28">
        <v>0</v>
      </c>
      <c r="FM156" s="28">
        <v>0</v>
      </c>
      <c r="FN156" s="28">
        <v>0</v>
      </c>
      <c r="FO156" s="28">
        <v>0</v>
      </c>
      <c r="FP156" s="28">
        <v>0</v>
      </c>
      <c r="FQ156" s="28">
        <v>0</v>
      </c>
      <c r="FR156" s="28">
        <v>0</v>
      </c>
      <c r="FS156" s="28">
        <v>0</v>
      </c>
      <c r="FT156" s="28">
        <v>0</v>
      </c>
      <c r="FU156" s="28">
        <v>0</v>
      </c>
      <c r="FV156" s="28">
        <v>0</v>
      </c>
      <c r="FW156" s="28">
        <v>0</v>
      </c>
      <c r="FX156" s="28">
        <v>0</v>
      </c>
      <c r="FY156" s="28">
        <v>0</v>
      </c>
      <c r="FZ156" s="28">
        <v>0</v>
      </c>
      <c r="GA156" s="28">
        <v>0</v>
      </c>
      <c r="GB156" s="28">
        <v>0</v>
      </c>
      <c r="GC156" s="28">
        <v>0</v>
      </c>
      <c r="GD156" s="28">
        <v>0</v>
      </c>
      <c r="GE156" s="28">
        <v>0</v>
      </c>
      <c r="GF156" s="28">
        <v>0</v>
      </c>
      <c r="GG156" s="28">
        <v>0</v>
      </c>
      <c r="GH156" s="28">
        <v>0</v>
      </c>
      <c r="GI156" s="28">
        <v>0</v>
      </c>
      <c r="GJ156" s="28">
        <v>0</v>
      </c>
      <c r="GK156" s="28">
        <v>0</v>
      </c>
      <c r="GL156" s="28">
        <v>0</v>
      </c>
      <c r="GM156" s="28">
        <v>0</v>
      </c>
      <c r="GN156" s="28">
        <v>0</v>
      </c>
      <c r="GO156" s="28">
        <v>0</v>
      </c>
      <c r="GP156" s="28">
        <v>0</v>
      </c>
      <c r="GQ156" s="21">
        <v>0</v>
      </c>
      <c r="GR156" s="21">
        <v>0</v>
      </c>
      <c r="GS156" s="20">
        <v>0</v>
      </c>
      <c r="GT156" s="20">
        <v>0</v>
      </c>
      <c r="GU156" s="20">
        <v>0</v>
      </c>
      <c r="GV156" s="20">
        <v>0</v>
      </c>
      <c r="GW156" s="20">
        <v>0</v>
      </c>
      <c r="GX156" s="21">
        <v>0</v>
      </c>
      <c r="GY156" s="20">
        <v>0</v>
      </c>
      <c r="GZ156" s="20">
        <v>0</v>
      </c>
      <c r="HA156" s="20"/>
      <c r="HB156" s="21">
        <v>0</v>
      </c>
      <c r="HC156" s="21">
        <v>0</v>
      </c>
    </row>
    <row r="157" spans="1:211" s="7" customFormat="1" ht="17.25" customHeight="1">
      <c r="A157" s="7">
        <f t="shared" si="10"/>
        <v>157</v>
      </c>
      <c r="B157" s="26" t="s">
        <v>134</v>
      </c>
      <c r="C157" s="10" t="s">
        <v>604</v>
      </c>
      <c r="D157" s="28">
        <v>0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0.21201977103993599</v>
      </c>
      <c r="Q157" s="28">
        <v>0</v>
      </c>
      <c r="R157" s="28">
        <v>0</v>
      </c>
      <c r="S157" s="28">
        <v>5.3952815233305603E-3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1.9904196156692502E-2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0.35391322879985698</v>
      </c>
      <c r="AU157" s="28">
        <v>1.10463751795637E-2</v>
      </c>
      <c r="AV157" s="28">
        <v>3.5600721601247098</v>
      </c>
      <c r="AW157" s="28">
        <v>0.13323664258040399</v>
      </c>
      <c r="AX157" s="28">
        <v>4.49592262119934E-2</v>
      </c>
      <c r="AY157" s="28">
        <v>7.0725601744857203E-2</v>
      </c>
      <c r="AZ157" s="28">
        <v>0.39383858442240199</v>
      </c>
      <c r="BA157" s="28">
        <v>0.157542230874817</v>
      </c>
      <c r="BB157" s="28">
        <v>6.4354825741733804E-2</v>
      </c>
      <c r="BC157" s="28">
        <v>0.21423652719974901</v>
      </c>
      <c r="BD157" s="28">
        <v>1.88082112930305E-3</v>
      </c>
      <c r="BE157" s="28">
        <v>0</v>
      </c>
      <c r="BF157" s="28">
        <v>0</v>
      </c>
      <c r="BG157" s="28">
        <v>0</v>
      </c>
      <c r="BH157" s="28">
        <v>0.78800448995817995</v>
      </c>
      <c r="BI157" s="28">
        <v>5.7901518884697599E-2</v>
      </c>
      <c r="BJ157" s="28">
        <v>7.8121047180083003E-2</v>
      </c>
      <c r="BK157" s="28">
        <v>0</v>
      </c>
      <c r="BL157" s="28">
        <v>3.9996353912669799E-2</v>
      </c>
      <c r="BM157" s="28">
        <v>3.00503147034176E-2</v>
      </c>
      <c r="BN157" s="28">
        <v>3.1249200629467701E-2</v>
      </c>
      <c r="BO157" s="28">
        <v>7.7964834477881398E-2</v>
      </c>
      <c r="BP157" s="28">
        <v>5.8982750174694999E-4</v>
      </c>
      <c r="BQ157" s="28">
        <v>1.18959549638582E-2</v>
      </c>
      <c r="BR157" s="28">
        <v>3.28834925185887E-2</v>
      </c>
      <c r="BS157" s="28">
        <v>0</v>
      </c>
      <c r="BT157" s="28">
        <v>0</v>
      </c>
      <c r="BU157" s="28">
        <v>0</v>
      </c>
      <c r="BV157" s="28">
        <v>0.30691487578847498</v>
      </c>
      <c r="BW157" s="28">
        <v>0</v>
      </c>
      <c r="BX157" s="28">
        <v>6.6572111329232502E-3</v>
      </c>
      <c r="BY157" s="28">
        <v>0.22793392749295799</v>
      </c>
      <c r="BZ157" s="28">
        <v>1.5752841051877301E-2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27.760705947876001</v>
      </c>
      <c r="CJ157" s="28">
        <v>0</v>
      </c>
      <c r="CK157" s="28">
        <v>0</v>
      </c>
      <c r="CL157" s="28">
        <v>0</v>
      </c>
      <c r="CM157" s="28">
        <v>16.945423570520799</v>
      </c>
      <c r="CN157" s="28">
        <v>15.6772012710571</v>
      </c>
      <c r="CO157" s="28">
        <v>13.640627102658399</v>
      </c>
      <c r="CP157" s="28">
        <v>30.089992887710899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0.36809388755269801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4.1360093659088299</v>
      </c>
      <c r="DS157" s="28">
        <v>3.012</v>
      </c>
      <c r="DT157" s="28">
        <v>0</v>
      </c>
      <c r="DU157" s="28">
        <v>1.71090621291211</v>
      </c>
      <c r="DV157" s="28">
        <v>0</v>
      </c>
      <c r="DW157" s="28">
        <v>0</v>
      </c>
      <c r="DX157" s="28">
        <v>204.220579502455</v>
      </c>
      <c r="DY157" s="28">
        <v>0</v>
      </c>
      <c r="DZ157" s="28">
        <v>0</v>
      </c>
      <c r="EA157" s="28">
        <v>0</v>
      </c>
      <c r="EB157" s="28">
        <v>0</v>
      </c>
      <c r="EC157" s="28">
        <v>7.6672474759937497E-4</v>
      </c>
      <c r="ED157" s="28">
        <v>1.57369902551957</v>
      </c>
      <c r="EE157" s="28">
        <v>4.9497145417820999E-2</v>
      </c>
      <c r="EF157" s="28">
        <v>0.79118043294807705</v>
      </c>
      <c r="EG157" s="28">
        <v>3.4157323420950299E-2</v>
      </c>
      <c r="EH157" s="28">
        <v>1.17943305744225E-2</v>
      </c>
      <c r="EI157" s="28">
        <v>5.5945637175082597E-3</v>
      </c>
      <c r="EJ157" s="28">
        <v>0.76125467904591404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13.8661650684372</v>
      </c>
      <c r="ER157" s="28">
        <v>0.47931982185382899</v>
      </c>
      <c r="ES157" s="28">
        <v>11.794597727515299</v>
      </c>
      <c r="ET157" s="28">
        <v>0</v>
      </c>
      <c r="EU157" s="28">
        <v>0</v>
      </c>
      <c r="EV157" s="28">
        <v>12.616504712651199</v>
      </c>
      <c r="EW157" s="28">
        <v>0</v>
      </c>
      <c r="EX157" s="28">
        <v>0</v>
      </c>
      <c r="EY157" s="28">
        <v>0</v>
      </c>
      <c r="EZ157" s="28">
        <v>0</v>
      </c>
      <c r="FA157" s="28">
        <v>0</v>
      </c>
      <c r="FB157" s="28">
        <v>0</v>
      </c>
      <c r="FC157" s="28">
        <v>230.87494317842999</v>
      </c>
      <c r="FD157" s="28">
        <v>94.748950881789298</v>
      </c>
      <c r="FE157" s="28">
        <v>56.067308240606799</v>
      </c>
      <c r="FF157" s="28">
        <v>0</v>
      </c>
      <c r="FG157" s="28">
        <v>31.225324969316102</v>
      </c>
      <c r="FH157" s="28">
        <v>0.10287602748687601</v>
      </c>
      <c r="FI157" s="28">
        <v>23.871273056845698</v>
      </c>
      <c r="FJ157" s="28">
        <v>0</v>
      </c>
      <c r="FK157" s="28">
        <v>0</v>
      </c>
      <c r="FL157" s="28">
        <v>0</v>
      </c>
      <c r="FM157" s="28">
        <v>0</v>
      </c>
      <c r="FN157" s="28">
        <v>0</v>
      </c>
      <c r="FO157" s="28">
        <v>0</v>
      </c>
      <c r="FP157" s="28">
        <v>0</v>
      </c>
      <c r="FQ157" s="28">
        <v>0</v>
      </c>
      <c r="FR157" s="28">
        <v>0</v>
      </c>
      <c r="FS157" s="28">
        <v>4.5562087213841904</v>
      </c>
      <c r="FT157" s="28">
        <v>23.807856955430001</v>
      </c>
      <c r="FU157" s="28">
        <v>17.709107370120101</v>
      </c>
      <c r="FV157" s="28">
        <v>0</v>
      </c>
      <c r="FW157" s="28">
        <v>3.7470000000000003E-2</v>
      </c>
      <c r="FX157" s="28">
        <v>8.4962972954264409</v>
      </c>
      <c r="FY157" s="28">
        <v>0</v>
      </c>
      <c r="FZ157" s="28">
        <v>0</v>
      </c>
      <c r="GA157" s="28">
        <v>1.04897905242895</v>
      </c>
      <c r="GB157" s="28">
        <v>0</v>
      </c>
      <c r="GC157" s="28">
        <v>0</v>
      </c>
      <c r="GD157" s="28">
        <v>0</v>
      </c>
      <c r="GE157" s="28">
        <v>1.9216595776612899</v>
      </c>
      <c r="GF157" s="28">
        <v>17.658221175734202</v>
      </c>
      <c r="GG157" s="28">
        <v>5.0540000000000003</v>
      </c>
      <c r="GH157" s="28">
        <v>13.575824263576999</v>
      </c>
      <c r="GI157" s="28">
        <v>8.1618944374057705</v>
      </c>
      <c r="GJ157" s="28">
        <v>0.12988340766067299</v>
      </c>
      <c r="GK157" s="28">
        <v>3.2236124338269101</v>
      </c>
      <c r="GL157" s="28">
        <v>0</v>
      </c>
      <c r="GM157" s="28">
        <v>207.64749924121699</v>
      </c>
      <c r="GN157" s="28">
        <v>0</v>
      </c>
      <c r="GO157" s="28">
        <v>0</v>
      </c>
      <c r="GP157" s="28">
        <v>0</v>
      </c>
      <c r="GQ157" s="21">
        <v>1116.4143029537752</v>
      </c>
      <c r="GR157" s="21">
        <v>24.4584360213981</v>
      </c>
      <c r="GS157" s="20">
        <v>24.4584360213981</v>
      </c>
      <c r="GT157" s="20">
        <v>0</v>
      </c>
      <c r="GU157" s="20">
        <v>0</v>
      </c>
      <c r="GV157" s="20">
        <v>0</v>
      </c>
      <c r="GW157" s="20">
        <v>0</v>
      </c>
      <c r="GX157" s="21">
        <v>31.163695444855474</v>
      </c>
      <c r="GY157" s="20">
        <v>0</v>
      </c>
      <c r="GZ157" s="20">
        <v>31.163695444855474</v>
      </c>
      <c r="HA157" s="20"/>
      <c r="HB157" s="21">
        <v>2.0684910048191498</v>
      </c>
      <c r="HC157" s="21">
        <v>1174.1049254248478</v>
      </c>
    </row>
    <row r="158" spans="1:211" s="7" customFormat="1" ht="17.25" customHeight="1">
      <c r="A158" s="7">
        <f t="shared" si="10"/>
        <v>158</v>
      </c>
      <c r="B158" s="26" t="s">
        <v>135</v>
      </c>
      <c r="C158" s="10" t="s">
        <v>605</v>
      </c>
      <c r="D158" s="28">
        <v>0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1.2026005235217701E-3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2.07030098667144E-2</v>
      </c>
      <c r="AU158" s="28">
        <v>0</v>
      </c>
      <c r="AV158" s="28">
        <v>4.98433759550449E-2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7.3536355135075407E-2</v>
      </c>
      <c r="CV158" s="28">
        <v>0</v>
      </c>
      <c r="CW158" s="28">
        <v>0</v>
      </c>
      <c r="CX158" s="28">
        <v>0.56300871054011303</v>
      </c>
      <c r="CY158" s="28">
        <v>0</v>
      </c>
      <c r="CZ158" s="28">
        <v>0</v>
      </c>
      <c r="DA158" s="28">
        <v>3.8292807768105203E-2</v>
      </c>
      <c r="DB158" s="28">
        <v>0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0.102342972039871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0.33603469405940301</v>
      </c>
      <c r="EK158" s="28">
        <v>0.20502706993794001</v>
      </c>
      <c r="EL158" s="28">
        <v>0.32821168257029498</v>
      </c>
      <c r="EM158" s="28">
        <v>1.0096420658456701E-2</v>
      </c>
      <c r="EN158" s="28">
        <v>0</v>
      </c>
      <c r="EO158" s="28">
        <v>0</v>
      </c>
      <c r="EP158" s="28">
        <v>0</v>
      </c>
      <c r="EQ158" s="28">
        <v>0</v>
      </c>
      <c r="ER158" s="28">
        <v>2.3066979726799599</v>
      </c>
      <c r="ES158" s="28">
        <v>1.0739110145200701</v>
      </c>
      <c r="ET158" s="28">
        <v>0</v>
      </c>
      <c r="EU158" s="28">
        <v>0</v>
      </c>
      <c r="EV158" s="28">
        <v>0</v>
      </c>
      <c r="EW158" s="28">
        <v>0</v>
      </c>
      <c r="EX158" s="28">
        <v>0</v>
      </c>
      <c r="EY158" s="28">
        <v>0</v>
      </c>
      <c r="EZ158" s="28">
        <v>0.113536</v>
      </c>
      <c r="FA158" s="28">
        <v>3.6425330126299599E-3</v>
      </c>
      <c r="FB158" s="28">
        <v>6.1423086159947602E-4</v>
      </c>
      <c r="FC158" s="28">
        <v>691.52811393329</v>
      </c>
      <c r="FD158" s="28">
        <v>423.96226693429003</v>
      </c>
      <c r="FE158" s="28">
        <v>100.58427133458</v>
      </c>
      <c r="FF158" s="28">
        <v>0</v>
      </c>
      <c r="FG158" s="28">
        <v>213.15310180211301</v>
      </c>
      <c r="FH158" s="28">
        <v>4.3458665735743501E-2</v>
      </c>
      <c r="FI158" s="28">
        <v>0</v>
      </c>
      <c r="FJ158" s="28">
        <v>0</v>
      </c>
      <c r="FK158" s="28">
        <v>0</v>
      </c>
      <c r="FL158" s="28">
        <v>0</v>
      </c>
      <c r="FM158" s="28">
        <v>0</v>
      </c>
      <c r="FN158" s="28">
        <v>0</v>
      </c>
      <c r="FO158" s="28">
        <v>0</v>
      </c>
      <c r="FP158" s="28">
        <v>0</v>
      </c>
      <c r="FQ158" s="28">
        <v>0</v>
      </c>
      <c r="FR158" s="28">
        <v>0</v>
      </c>
      <c r="FS158" s="28">
        <v>5.7142713382230603</v>
      </c>
      <c r="FT158" s="28">
        <v>0.75376049255176303</v>
      </c>
      <c r="FU158" s="28">
        <v>0</v>
      </c>
      <c r="FV158" s="28">
        <v>0</v>
      </c>
      <c r="FW158" s="28">
        <v>9.8700000000000003E-3</v>
      </c>
      <c r="FX158" s="28">
        <v>0</v>
      </c>
      <c r="FY158" s="28">
        <v>0</v>
      </c>
      <c r="FZ158" s="28">
        <v>0</v>
      </c>
      <c r="GA158" s="28">
        <v>1.93684581818622</v>
      </c>
      <c r="GB158" s="28">
        <v>0</v>
      </c>
      <c r="GC158" s="28">
        <v>0</v>
      </c>
      <c r="GD158" s="28">
        <v>0</v>
      </c>
      <c r="GE158" s="28">
        <v>1.3338733003968701E-2</v>
      </c>
      <c r="GF158" s="28">
        <v>0</v>
      </c>
      <c r="GG158" s="28">
        <v>61.280999999999999</v>
      </c>
      <c r="GH158" s="28">
        <v>4.9850846349631404</v>
      </c>
      <c r="GI158" s="28">
        <v>6.1442484758258296</v>
      </c>
      <c r="GJ158" s="28">
        <v>0</v>
      </c>
      <c r="GK158" s="28">
        <v>2.3606850434391999</v>
      </c>
      <c r="GL158" s="28">
        <v>0</v>
      </c>
      <c r="GM158" s="28">
        <v>0</v>
      </c>
      <c r="GN158" s="28">
        <v>0</v>
      </c>
      <c r="GO158" s="28">
        <v>0</v>
      </c>
      <c r="GP158" s="28">
        <v>0</v>
      </c>
      <c r="GQ158" s="21">
        <v>1517.697018656331</v>
      </c>
      <c r="GR158" s="21">
        <v>428.84336458480198</v>
      </c>
      <c r="GS158" s="20">
        <v>428.84336458480198</v>
      </c>
      <c r="GT158" s="20">
        <v>0</v>
      </c>
      <c r="GU158" s="20">
        <v>0</v>
      </c>
      <c r="GV158" s="20">
        <v>0</v>
      </c>
      <c r="GW158" s="20">
        <v>0</v>
      </c>
      <c r="GX158" s="21">
        <v>-38.969050105868469</v>
      </c>
      <c r="GY158" s="20">
        <v>0</v>
      </c>
      <c r="GZ158" s="20">
        <v>-38.969050105868469</v>
      </c>
      <c r="HA158" s="20"/>
      <c r="HB158" s="21">
        <v>29.963608465746699</v>
      </c>
      <c r="HC158" s="21">
        <v>1937.5349416010113</v>
      </c>
    </row>
    <row r="159" spans="1:211" s="7" customFormat="1" ht="17.25" customHeight="1">
      <c r="A159" s="7">
        <f t="shared" si="10"/>
        <v>159</v>
      </c>
      <c r="B159" s="26" t="s">
        <v>140</v>
      </c>
      <c r="C159" s="9" t="s">
        <v>606</v>
      </c>
      <c r="D159" s="28">
        <v>0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3.6443381286172198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1.2700416972300801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8.9219736369523996</v>
      </c>
      <c r="AU159" s="28">
        <v>0</v>
      </c>
      <c r="AV159" s="28">
        <v>19.877920902215301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0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0</v>
      </c>
      <c r="DI159" s="28">
        <v>0</v>
      </c>
      <c r="DJ159" s="28">
        <v>0</v>
      </c>
      <c r="DK159" s="28">
        <v>0</v>
      </c>
      <c r="DL159" s="28">
        <v>0</v>
      </c>
      <c r="DM159" s="28">
        <v>0</v>
      </c>
      <c r="DN159" s="28">
        <v>0</v>
      </c>
      <c r="DO159" s="28">
        <v>0</v>
      </c>
      <c r="DP159" s="28">
        <v>0</v>
      </c>
      <c r="DQ159" s="28">
        <v>0.75555929984178505</v>
      </c>
      <c r="DR159" s="28">
        <v>0</v>
      </c>
      <c r="DS159" s="28">
        <v>0</v>
      </c>
      <c r="DT159" s="28">
        <v>0</v>
      </c>
      <c r="DU159" s="28">
        <v>0</v>
      </c>
      <c r="DV159" s="28">
        <v>0</v>
      </c>
      <c r="DW159" s="28">
        <v>0</v>
      </c>
      <c r="DX159" s="28">
        <v>0</v>
      </c>
      <c r="DY159" s="28">
        <v>65.447645783572895</v>
      </c>
      <c r="DZ159" s="28">
        <v>4.875E-3</v>
      </c>
      <c r="EA159" s="28">
        <v>0</v>
      </c>
      <c r="EB159" s="28">
        <v>0</v>
      </c>
      <c r="EC159" s="28">
        <v>551.30844356167199</v>
      </c>
      <c r="ED159" s="28">
        <v>0</v>
      </c>
      <c r="EE159" s="28">
        <v>0</v>
      </c>
      <c r="EF159" s="28">
        <v>0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0</v>
      </c>
      <c r="EU159" s="28">
        <v>0</v>
      </c>
      <c r="EV159" s="28">
        <v>0</v>
      </c>
      <c r="EW159" s="28">
        <v>0</v>
      </c>
      <c r="EX159" s="28">
        <v>0</v>
      </c>
      <c r="EY159" s="28">
        <v>0</v>
      </c>
      <c r="EZ159" s="28">
        <v>0</v>
      </c>
      <c r="FA159" s="28">
        <v>0</v>
      </c>
      <c r="FB159" s="28">
        <v>0</v>
      </c>
      <c r="FC159" s="28">
        <v>813.24281654419599</v>
      </c>
      <c r="FD159" s="28">
        <v>491.15883509947201</v>
      </c>
      <c r="FE159" s="28">
        <v>324.29763034379999</v>
      </c>
      <c r="FF159" s="28">
        <v>0</v>
      </c>
      <c r="FG159" s="28">
        <v>1438.52348967787</v>
      </c>
      <c r="FH159" s="28">
        <v>49.2871917722738</v>
      </c>
      <c r="FI159" s="28">
        <v>0</v>
      </c>
      <c r="FJ159" s="28">
        <v>0</v>
      </c>
      <c r="FK159" s="28">
        <v>0</v>
      </c>
      <c r="FL159" s="28">
        <v>0</v>
      </c>
      <c r="FM159" s="28">
        <v>0</v>
      </c>
      <c r="FN159" s="28">
        <v>0</v>
      </c>
      <c r="FO159" s="28">
        <v>0</v>
      </c>
      <c r="FP159" s="28">
        <v>0</v>
      </c>
      <c r="FQ159" s="28">
        <v>0</v>
      </c>
      <c r="FR159" s="28">
        <v>0</v>
      </c>
      <c r="FS159" s="28">
        <v>0</v>
      </c>
      <c r="FT159" s="28">
        <v>0</v>
      </c>
      <c r="FU159" s="28">
        <v>0</v>
      </c>
      <c r="FV159" s="28">
        <v>0</v>
      </c>
      <c r="FW159" s="28">
        <v>0</v>
      </c>
      <c r="FX159" s="28">
        <v>0</v>
      </c>
      <c r="FY159" s="28">
        <v>0</v>
      </c>
      <c r="FZ159" s="28">
        <v>0</v>
      </c>
      <c r="GA159" s="28">
        <v>0.60278250754108198</v>
      </c>
      <c r="GB159" s="28">
        <v>0</v>
      </c>
      <c r="GC159" s="28">
        <v>0</v>
      </c>
      <c r="GD159" s="28">
        <v>0</v>
      </c>
      <c r="GE159" s="28">
        <v>0</v>
      </c>
      <c r="GF159" s="28">
        <v>0</v>
      </c>
      <c r="GG159" s="28">
        <v>113.233491531</v>
      </c>
      <c r="GH159" s="28">
        <v>6.5115612677665098</v>
      </c>
      <c r="GI159" s="28">
        <v>6.5488619055699502</v>
      </c>
      <c r="GJ159" s="28">
        <v>0</v>
      </c>
      <c r="GK159" s="28">
        <v>4.8092234197474397</v>
      </c>
      <c r="GL159" s="28">
        <v>0</v>
      </c>
      <c r="GM159" s="28">
        <v>0</v>
      </c>
      <c r="GN159" s="28">
        <v>0</v>
      </c>
      <c r="GO159" s="28">
        <v>0</v>
      </c>
      <c r="GP159" s="28">
        <v>0</v>
      </c>
      <c r="GQ159" s="21">
        <v>3899.4466820793355</v>
      </c>
      <c r="GR159" s="21">
        <v>0</v>
      </c>
      <c r="GS159" s="20">
        <v>0</v>
      </c>
      <c r="GT159" s="20">
        <v>0</v>
      </c>
      <c r="GU159" s="20">
        <v>0</v>
      </c>
      <c r="GV159" s="20">
        <v>0</v>
      </c>
      <c r="GW159" s="20">
        <v>0</v>
      </c>
      <c r="GX159" s="21">
        <v>-11.451630275542859</v>
      </c>
      <c r="GY159" s="20">
        <v>0</v>
      </c>
      <c r="GZ159" s="20">
        <v>-11.451630275542859</v>
      </c>
      <c r="HA159" s="20"/>
      <c r="HB159" s="21">
        <v>1.95230610445621</v>
      </c>
      <c r="HC159" s="21">
        <v>3889.9473579082487</v>
      </c>
    </row>
    <row r="160" spans="1:211" s="7" customFormat="1" ht="17.25" customHeight="1">
      <c r="A160" s="7">
        <f t="shared" si="10"/>
        <v>160</v>
      </c>
      <c r="B160" s="26" t="s">
        <v>607</v>
      </c>
      <c r="C160" s="10" t="s">
        <v>608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0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0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1.0421419999999999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0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0</v>
      </c>
      <c r="ET160" s="28">
        <v>0</v>
      </c>
      <c r="EU160" s="28">
        <v>0</v>
      </c>
      <c r="EV160" s="28">
        <v>0</v>
      </c>
      <c r="EW160" s="28">
        <v>0</v>
      </c>
      <c r="EX160" s="28">
        <v>0</v>
      </c>
      <c r="EY160" s="28">
        <v>0</v>
      </c>
      <c r="EZ160" s="28">
        <v>0</v>
      </c>
      <c r="FA160" s="28">
        <v>0</v>
      </c>
      <c r="FB160" s="28">
        <v>0</v>
      </c>
      <c r="FC160" s="28">
        <v>0</v>
      </c>
      <c r="FD160" s="28">
        <v>0</v>
      </c>
      <c r="FE160" s="28">
        <v>0</v>
      </c>
      <c r="FF160" s="28">
        <v>0</v>
      </c>
      <c r="FG160" s="28">
        <v>0</v>
      </c>
      <c r="FH160" s="28">
        <v>0</v>
      </c>
      <c r="FI160" s="28">
        <v>0</v>
      </c>
      <c r="FJ160" s="28">
        <v>0</v>
      </c>
      <c r="FK160" s="28">
        <v>0</v>
      </c>
      <c r="FL160" s="28">
        <v>0</v>
      </c>
      <c r="FM160" s="28">
        <v>0</v>
      </c>
      <c r="FN160" s="28">
        <v>0</v>
      </c>
      <c r="FO160" s="28">
        <v>0</v>
      </c>
      <c r="FP160" s="28">
        <v>0</v>
      </c>
      <c r="FQ160" s="28">
        <v>0</v>
      </c>
      <c r="FR160" s="28">
        <v>0</v>
      </c>
      <c r="FS160" s="28">
        <v>0</v>
      </c>
      <c r="FT160" s="28">
        <v>0</v>
      </c>
      <c r="FU160" s="28">
        <v>0</v>
      </c>
      <c r="FV160" s="28">
        <v>0</v>
      </c>
      <c r="FW160" s="28">
        <v>0</v>
      </c>
      <c r="FX160" s="28">
        <v>0</v>
      </c>
      <c r="FY160" s="28">
        <v>0</v>
      </c>
      <c r="FZ160" s="28">
        <v>0</v>
      </c>
      <c r="GA160" s="28">
        <v>0</v>
      </c>
      <c r="GB160" s="28">
        <v>0</v>
      </c>
      <c r="GC160" s="28">
        <v>0</v>
      </c>
      <c r="GD160" s="28">
        <v>0</v>
      </c>
      <c r="GE160" s="28">
        <v>0</v>
      </c>
      <c r="GF160" s="28">
        <v>0</v>
      </c>
      <c r="GG160" s="28">
        <v>0</v>
      </c>
      <c r="GH160" s="28">
        <v>0</v>
      </c>
      <c r="GI160" s="28">
        <v>0</v>
      </c>
      <c r="GJ160" s="28">
        <v>0</v>
      </c>
      <c r="GK160" s="28">
        <v>0</v>
      </c>
      <c r="GL160" s="28">
        <v>0</v>
      </c>
      <c r="GM160" s="28">
        <v>0</v>
      </c>
      <c r="GN160" s="28">
        <v>0</v>
      </c>
      <c r="GO160" s="28">
        <v>0</v>
      </c>
      <c r="GP160" s="28">
        <v>0</v>
      </c>
      <c r="GQ160" s="21">
        <v>1.0421419999999999</v>
      </c>
      <c r="GR160" s="21">
        <v>0</v>
      </c>
      <c r="GS160" s="20">
        <v>0</v>
      </c>
      <c r="GT160" s="20">
        <v>0</v>
      </c>
      <c r="GU160" s="20">
        <v>0</v>
      </c>
      <c r="GV160" s="20">
        <v>0</v>
      </c>
      <c r="GW160" s="20">
        <v>0</v>
      </c>
      <c r="GX160" s="21">
        <v>1.0322283513153092</v>
      </c>
      <c r="GY160" s="20">
        <v>0</v>
      </c>
      <c r="GZ160" s="20">
        <v>1.0322283513153092</v>
      </c>
      <c r="HA160" s="20"/>
      <c r="HB160" s="21">
        <v>71.482495142399998</v>
      </c>
      <c r="HC160" s="21">
        <v>73.556865493715307</v>
      </c>
    </row>
    <row r="161" spans="1:211" s="7" customFormat="1" ht="17.25" customHeight="1">
      <c r="A161" s="7">
        <f t="shared" si="10"/>
        <v>161</v>
      </c>
      <c r="B161" s="26" t="s">
        <v>609</v>
      </c>
      <c r="C161" s="10" t="s">
        <v>610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2.2189723926495E-2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4.3152819192641099E-2</v>
      </c>
      <c r="AO161" s="28">
        <v>0</v>
      </c>
      <c r="AP161" s="28">
        <v>0</v>
      </c>
      <c r="AQ161" s="28">
        <v>4.93051456865524E-2</v>
      </c>
      <c r="AR161" s="28">
        <v>0</v>
      </c>
      <c r="AS161" s="28">
        <v>0</v>
      </c>
      <c r="AT161" s="28">
        <v>9.5402759245024702E-3</v>
      </c>
      <c r="AU161" s="28">
        <v>0</v>
      </c>
      <c r="AV161" s="28">
        <v>1.9860185381755598E-2</v>
      </c>
      <c r="AW161" s="28">
        <v>0</v>
      </c>
      <c r="AX161" s="28">
        <v>54.545065861827098</v>
      </c>
      <c r="AY161" s="28">
        <v>0</v>
      </c>
      <c r="AZ161" s="28">
        <v>5.4775840837940404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8.5883608891360197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3.569</v>
      </c>
      <c r="CX161" s="28">
        <v>0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0</v>
      </c>
      <c r="DN161" s="28">
        <v>0</v>
      </c>
      <c r="DO161" s="28">
        <v>0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3.9635867961766502</v>
      </c>
      <c r="DZ161" s="28">
        <v>1.3148184325269301</v>
      </c>
      <c r="EA161" s="28">
        <v>0</v>
      </c>
      <c r="EB161" s="28">
        <v>0</v>
      </c>
      <c r="EC161" s="28">
        <v>1.9938990407381198E-3</v>
      </c>
      <c r="ED161" s="28">
        <v>11.075044920980901</v>
      </c>
      <c r="EE161" s="28">
        <v>0.13614774191234</v>
      </c>
      <c r="EF161" s="28">
        <v>18.7304035749105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5.8353658432472297</v>
      </c>
      <c r="EP161" s="28">
        <v>0</v>
      </c>
      <c r="EQ161" s="28">
        <v>0</v>
      </c>
      <c r="ER161" s="28">
        <v>0.13222754639987</v>
      </c>
      <c r="ES161" s="28">
        <v>0</v>
      </c>
      <c r="ET161" s="28">
        <v>0.18987317182569299</v>
      </c>
      <c r="EU161" s="28">
        <v>0</v>
      </c>
      <c r="EV161" s="28">
        <v>0</v>
      </c>
      <c r="EW161" s="28">
        <v>0</v>
      </c>
      <c r="EX161" s="28">
        <v>0</v>
      </c>
      <c r="EY161" s="28">
        <v>0</v>
      </c>
      <c r="EZ161" s="28">
        <v>0</v>
      </c>
      <c r="FA161" s="28">
        <v>0</v>
      </c>
      <c r="FB161" s="28">
        <v>0</v>
      </c>
      <c r="FC161" s="28">
        <v>187.78525686703901</v>
      </c>
      <c r="FD161" s="28">
        <v>34.3796405525338</v>
      </c>
      <c r="FE161" s="28">
        <v>9.4155892970156394</v>
      </c>
      <c r="FF161" s="28">
        <v>0</v>
      </c>
      <c r="FG161" s="28">
        <v>2.2544356969011998</v>
      </c>
      <c r="FH161" s="28">
        <v>0.15877561693032399</v>
      </c>
      <c r="FI161" s="28">
        <v>0</v>
      </c>
      <c r="FJ161" s="28">
        <v>0</v>
      </c>
      <c r="FK161" s="28">
        <v>0</v>
      </c>
      <c r="FL161" s="28">
        <v>0</v>
      </c>
      <c r="FM161" s="28">
        <v>0</v>
      </c>
      <c r="FN161" s="28">
        <v>0</v>
      </c>
      <c r="FO161" s="28">
        <v>0</v>
      </c>
      <c r="FP161" s="28">
        <v>0</v>
      </c>
      <c r="FQ161" s="28">
        <v>0</v>
      </c>
      <c r="FR161" s="28">
        <v>0</v>
      </c>
      <c r="FS161" s="28">
        <v>0</v>
      </c>
      <c r="FT161" s="28">
        <v>0</v>
      </c>
      <c r="FU161" s="28">
        <v>0</v>
      </c>
      <c r="FV161" s="28">
        <v>0</v>
      </c>
      <c r="FW161" s="28">
        <v>0</v>
      </c>
      <c r="FX161" s="28">
        <v>0</v>
      </c>
      <c r="FY161" s="28">
        <v>0</v>
      </c>
      <c r="FZ161" s="28">
        <v>0</v>
      </c>
      <c r="GA161" s="28">
        <v>0.184430710068235</v>
      </c>
      <c r="GB161" s="28">
        <v>0</v>
      </c>
      <c r="GC161" s="28">
        <v>0</v>
      </c>
      <c r="GD161" s="28">
        <v>0</v>
      </c>
      <c r="GE161" s="28">
        <v>0</v>
      </c>
      <c r="GF161" s="28">
        <v>0</v>
      </c>
      <c r="GG161" s="28">
        <v>2.2330000000000001</v>
      </c>
      <c r="GH161" s="28">
        <v>1.92150020596102</v>
      </c>
      <c r="GI161" s="28">
        <v>1.13864197157363</v>
      </c>
      <c r="GJ161" s="28">
        <v>0</v>
      </c>
      <c r="GK161" s="28">
        <v>0.760465362626917</v>
      </c>
      <c r="GL161" s="28">
        <v>0</v>
      </c>
      <c r="GM161" s="28">
        <v>0</v>
      </c>
      <c r="GN161" s="28">
        <v>0</v>
      </c>
      <c r="GO161" s="28">
        <v>0</v>
      </c>
      <c r="GP161" s="28">
        <v>0</v>
      </c>
      <c r="GQ161" s="21">
        <v>353.93525719253932</v>
      </c>
      <c r="GR161" s="21">
        <v>0</v>
      </c>
      <c r="GS161" s="20">
        <v>0</v>
      </c>
      <c r="GT161" s="20">
        <v>0</v>
      </c>
      <c r="GU161" s="20">
        <v>0</v>
      </c>
      <c r="GV161" s="20">
        <v>0</v>
      </c>
      <c r="GW161" s="20">
        <v>0</v>
      </c>
      <c r="GX161" s="21">
        <v>-0.69400934612941823</v>
      </c>
      <c r="GY161" s="20">
        <v>0</v>
      </c>
      <c r="GZ161" s="20">
        <v>-0.69400934612941823</v>
      </c>
      <c r="HA161" s="20"/>
      <c r="HB161" s="21">
        <v>0</v>
      </c>
      <c r="HC161" s="21">
        <v>353.24124784640992</v>
      </c>
    </row>
    <row r="162" spans="1:211" s="7" customFormat="1" ht="17.25" customHeight="1">
      <c r="A162" s="7">
        <f t="shared" si="10"/>
        <v>162</v>
      </c>
      <c r="B162" s="26" t="s">
        <v>611</v>
      </c>
      <c r="C162" s="10" t="s">
        <v>612</v>
      </c>
      <c r="D162" s="28">
        <v>0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1.71188753312695E-3</v>
      </c>
      <c r="T162" s="28">
        <v>0</v>
      </c>
      <c r="U162" s="28">
        <v>2.4429151257952699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0.684124275064524</v>
      </c>
      <c r="AE162" s="28">
        <v>4.4287939745665299E-2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1.7381263454111701E-2</v>
      </c>
      <c r="AU162" s="28">
        <v>0</v>
      </c>
      <c r="AV162" s="28">
        <v>3.7523723377068698E-2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1.6873555018748099E-2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4.8245027343877103E-2</v>
      </c>
      <c r="EP162" s="28">
        <v>0</v>
      </c>
      <c r="EQ162" s="28">
        <v>0</v>
      </c>
      <c r="ER162" s="28">
        <v>0</v>
      </c>
      <c r="ES162" s="28">
        <v>0</v>
      </c>
      <c r="ET162" s="28">
        <v>0.242074748168736</v>
      </c>
      <c r="EU162" s="28">
        <v>0</v>
      </c>
      <c r="EV162" s="28">
        <v>0</v>
      </c>
      <c r="EW162" s="28">
        <v>0</v>
      </c>
      <c r="EX162" s="28">
        <v>1.7848668615591301</v>
      </c>
      <c r="EY162" s="28">
        <v>1.8384457454350599E-2</v>
      </c>
      <c r="EZ162" s="28">
        <v>6.1650167979954004E-3</v>
      </c>
      <c r="FA162" s="28">
        <v>0.97195112598876898</v>
      </c>
      <c r="FB162" s="28">
        <v>0.17834498142773</v>
      </c>
      <c r="FC162" s="28">
        <v>538.750550639013</v>
      </c>
      <c r="FD162" s="28">
        <v>196.336128604679</v>
      </c>
      <c r="FE162" s="28">
        <v>1.4112529749848199</v>
      </c>
      <c r="FF162" s="28">
        <v>0</v>
      </c>
      <c r="FG162" s="28">
        <v>1130.7590110446699</v>
      </c>
      <c r="FH162" s="28">
        <v>0.21141178707570399</v>
      </c>
      <c r="FI162" s="28">
        <v>0</v>
      </c>
      <c r="FJ162" s="28">
        <v>0</v>
      </c>
      <c r="FK162" s="28">
        <v>0</v>
      </c>
      <c r="FL162" s="28">
        <v>0</v>
      </c>
      <c r="FM162" s="28">
        <v>0</v>
      </c>
      <c r="FN162" s="28">
        <v>0</v>
      </c>
      <c r="FO162" s="28">
        <v>0</v>
      </c>
      <c r="FP162" s="28">
        <v>0</v>
      </c>
      <c r="FQ162" s="28">
        <v>0.106199054175175</v>
      </c>
      <c r="FR162" s="28">
        <v>0</v>
      </c>
      <c r="FS162" s="28">
        <v>0</v>
      </c>
      <c r="FT162" s="28">
        <v>8.9548979331479508</v>
      </c>
      <c r="FU162" s="28">
        <v>0</v>
      </c>
      <c r="FV162" s="28">
        <v>0</v>
      </c>
      <c r="FW162" s="28">
        <v>1.143402E-2</v>
      </c>
      <c r="FX162" s="28">
        <v>0</v>
      </c>
      <c r="FY162" s="28">
        <v>0</v>
      </c>
      <c r="FZ162" s="28">
        <v>0</v>
      </c>
      <c r="GA162" s="28">
        <v>2.5803504786138801E-2</v>
      </c>
      <c r="GB162" s="28">
        <v>0</v>
      </c>
      <c r="GC162" s="28">
        <v>0</v>
      </c>
      <c r="GD162" s="28">
        <v>0</v>
      </c>
      <c r="GE162" s="28">
        <v>0</v>
      </c>
      <c r="GF162" s="28">
        <v>0</v>
      </c>
      <c r="GG162" s="28">
        <v>0</v>
      </c>
      <c r="GH162" s="28">
        <v>3.9530002916962999</v>
      </c>
      <c r="GI162" s="28">
        <v>0</v>
      </c>
      <c r="GJ162" s="28">
        <v>0</v>
      </c>
      <c r="GK162" s="28">
        <v>0</v>
      </c>
      <c r="GL162" s="28">
        <v>0</v>
      </c>
      <c r="GM162" s="28">
        <v>0</v>
      </c>
      <c r="GN162" s="28">
        <v>0</v>
      </c>
      <c r="GO162" s="28">
        <v>0</v>
      </c>
      <c r="GP162" s="28">
        <v>0</v>
      </c>
      <c r="GQ162" s="21">
        <v>1887.0145398429518</v>
      </c>
      <c r="GR162" s="21">
        <v>0</v>
      </c>
      <c r="GS162" s="20">
        <v>0</v>
      </c>
      <c r="GT162" s="20">
        <v>0</v>
      </c>
      <c r="GU162" s="20">
        <v>0</v>
      </c>
      <c r="GV162" s="20">
        <v>0</v>
      </c>
      <c r="GW162" s="20">
        <v>0</v>
      </c>
      <c r="GX162" s="21">
        <v>-133.73804823345174</v>
      </c>
      <c r="GY162" s="20">
        <v>0</v>
      </c>
      <c r="GZ162" s="20">
        <v>-133.73804823345174</v>
      </c>
      <c r="HA162" s="20"/>
      <c r="HB162" s="21">
        <v>20.084623449599999</v>
      </c>
      <c r="HC162" s="21">
        <v>1773.3611150591</v>
      </c>
    </row>
    <row r="163" spans="1:211" s="7" customFormat="1" ht="17.25" customHeight="1">
      <c r="A163" s="7">
        <f t="shared" si="10"/>
        <v>163</v>
      </c>
      <c r="B163" s="26" t="s">
        <v>141</v>
      </c>
      <c r="C163" s="9" t="s">
        <v>613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6.3493047259533203E-4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1.29865016994897E-2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5.7405409960973201E-2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56.774799749794902</v>
      </c>
      <c r="AU163" s="28">
        <v>38.370712103890497</v>
      </c>
      <c r="AV163" s="28">
        <v>18.7787813588332</v>
      </c>
      <c r="AW163" s="28">
        <v>23.806883517291499</v>
      </c>
      <c r="AX163" s="28">
        <v>614.64100612299205</v>
      </c>
      <c r="AY163" s="28">
        <v>0</v>
      </c>
      <c r="AZ163" s="28">
        <v>1.5076461350614501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22.4517508278491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2.8429450569531198</v>
      </c>
      <c r="CC163" s="28">
        <v>0.155837101859961</v>
      </c>
      <c r="CD163" s="28">
        <v>2.04740843019021</v>
      </c>
      <c r="CE163" s="28">
        <v>0.69617062388298301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14.502678326237699</v>
      </c>
      <c r="CN163" s="28">
        <v>0.99753651701978396</v>
      </c>
      <c r="CO163" s="28">
        <v>0.909454228292226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3.3181401296340201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1.78022363833068</v>
      </c>
      <c r="DI163" s="28">
        <v>1.6231671743789999</v>
      </c>
      <c r="DJ163" s="28">
        <v>0</v>
      </c>
      <c r="DK163" s="28">
        <v>0</v>
      </c>
      <c r="DL163" s="28">
        <v>0</v>
      </c>
      <c r="DM163" s="28">
        <v>0</v>
      </c>
      <c r="DN163" s="28">
        <v>5.7699733449295101</v>
      </c>
      <c r="DO163" s="28">
        <v>0</v>
      </c>
      <c r="DP163" s="28">
        <v>0</v>
      </c>
      <c r="DQ163" s="28">
        <v>3.6210387034221898</v>
      </c>
      <c r="DR163" s="28">
        <v>11.4511996570335</v>
      </c>
      <c r="DS163" s="28">
        <v>0</v>
      </c>
      <c r="DT163" s="28">
        <v>0</v>
      </c>
      <c r="DU163" s="28">
        <v>0</v>
      </c>
      <c r="DV163" s="28">
        <v>12.680719414451101</v>
      </c>
      <c r="DW163" s="28">
        <v>0</v>
      </c>
      <c r="DX163" s="28">
        <v>0</v>
      </c>
      <c r="DY163" s="28">
        <v>11.8159939822547</v>
      </c>
      <c r="DZ163" s="28">
        <v>0</v>
      </c>
      <c r="EA163" s="28">
        <v>0</v>
      </c>
      <c r="EB163" s="28">
        <v>0</v>
      </c>
      <c r="EC163" s="28">
        <v>3.0227096341039199</v>
      </c>
      <c r="ED163" s="28">
        <v>181.819494550223</v>
      </c>
      <c r="EE163" s="28">
        <v>3.1815376830494002</v>
      </c>
      <c r="EF163" s="28">
        <v>9.9739756452430495</v>
      </c>
      <c r="EG163" s="28">
        <v>0</v>
      </c>
      <c r="EH163" s="28">
        <v>0</v>
      </c>
      <c r="EI163" s="28">
        <v>0</v>
      </c>
      <c r="EJ163" s="28">
        <v>592.28717579843396</v>
      </c>
      <c r="EK163" s="28">
        <v>6.7048822985441401</v>
      </c>
      <c r="EL163" s="28">
        <v>52.775142979272204</v>
      </c>
      <c r="EM163" s="28">
        <v>0.537708822991536</v>
      </c>
      <c r="EN163" s="28">
        <v>0</v>
      </c>
      <c r="EO163" s="28">
        <v>0.21000847749755</v>
      </c>
      <c r="EP163" s="28">
        <v>0</v>
      </c>
      <c r="EQ163" s="28">
        <v>0.311889453929942</v>
      </c>
      <c r="ER163" s="28">
        <v>64.770548526286007</v>
      </c>
      <c r="ES163" s="28">
        <v>16.340588055152701</v>
      </c>
      <c r="ET163" s="28">
        <v>5.6414007126747201</v>
      </c>
      <c r="EU163" s="28">
        <v>0</v>
      </c>
      <c r="EV163" s="28">
        <v>18.2573865067741</v>
      </c>
      <c r="EW163" s="28">
        <v>1.0971876804643199</v>
      </c>
      <c r="EX163" s="28">
        <v>6.3772596424046604E-2</v>
      </c>
      <c r="EY163" s="28">
        <v>0</v>
      </c>
      <c r="EZ163" s="28">
        <v>0</v>
      </c>
      <c r="FA163" s="28">
        <v>0</v>
      </c>
      <c r="FB163" s="28">
        <v>0</v>
      </c>
      <c r="FC163" s="28">
        <v>1119.56493121427</v>
      </c>
      <c r="FD163" s="28">
        <v>977.618599655656</v>
      </c>
      <c r="FE163" s="28">
        <v>140.64009955945599</v>
      </c>
      <c r="FF163" s="28">
        <v>0</v>
      </c>
      <c r="FG163" s="28">
        <v>1679.4236976662201</v>
      </c>
      <c r="FH163" s="28">
        <v>39.141662135858901</v>
      </c>
      <c r="FI163" s="28">
        <v>0</v>
      </c>
      <c r="FJ163" s="28">
        <v>0</v>
      </c>
      <c r="FK163" s="28">
        <v>0</v>
      </c>
      <c r="FL163" s="28">
        <v>0</v>
      </c>
      <c r="FM163" s="28">
        <v>0</v>
      </c>
      <c r="FN163" s="28">
        <v>0</v>
      </c>
      <c r="FO163" s="28">
        <v>0</v>
      </c>
      <c r="FP163" s="28">
        <v>0</v>
      </c>
      <c r="FQ163" s="28">
        <v>0</v>
      </c>
      <c r="FR163" s="28">
        <v>0</v>
      </c>
      <c r="FS163" s="28">
        <v>0</v>
      </c>
      <c r="FT163" s="28">
        <v>3.3213265864206498</v>
      </c>
      <c r="FU163" s="28">
        <v>0</v>
      </c>
      <c r="FV163" s="28">
        <v>0</v>
      </c>
      <c r="FW163" s="28">
        <v>0</v>
      </c>
      <c r="FX163" s="28">
        <v>0</v>
      </c>
      <c r="FY163" s="28">
        <v>0</v>
      </c>
      <c r="FZ163" s="28">
        <v>0</v>
      </c>
      <c r="GA163" s="28">
        <v>1.57756146710051</v>
      </c>
      <c r="GB163" s="28">
        <v>0</v>
      </c>
      <c r="GC163" s="28">
        <v>0</v>
      </c>
      <c r="GD163" s="28">
        <v>0</v>
      </c>
      <c r="GE163" s="28">
        <v>0</v>
      </c>
      <c r="GF163" s="28">
        <v>0</v>
      </c>
      <c r="GG163" s="28">
        <v>54.813488999400001</v>
      </c>
      <c r="GH163" s="28">
        <v>1.10711121025922</v>
      </c>
      <c r="GI163" s="28">
        <v>7.0555849768202004</v>
      </c>
      <c r="GJ163" s="28">
        <v>0</v>
      </c>
      <c r="GK163" s="28">
        <v>4.1212423420137396</v>
      </c>
      <c r="GL163" s="28">
        <v>0</v>
      </c>
      <c r="GM163" s="28">
        <v>0</v>
      </c>
      <c r="GN163" s="28">
        <v>0</v>
      </c>
      <c r="GO163" s="28">
        <v>0</v>
      </c>
      <c r="GP163" s="28">
        <v>0</v>
      </c>
      <c r="GQ163" s="21">
        <v>5835.9958082212534</v>
      </c>
      <c r="GR163" s="21">
        <v>0</v>
      </c>
      <c r="GS163" s="20">
        <v>0</v>
      </c>
      <c r="GT163" s="20">
        <v>0</v>
      </c>
      <c r="GU163" s="20">
        <v>0</v>
      </c>
      <c r="GV163" s="20">
        <v>0</v>
      </c>
      <c r="GW163" s="20">
        <v>0</v>
      </c>
      <c r="GX163" s="21">
        <v>103.51547743745563</v>
      </c>
      <c r="GY163" s="20">
        <v>0</v>
      </c>
      <c r="GZ163" s="20">
        <v>103.51547743745563</v>
      </c>
      <c r="HA163" s="20"/>
      <c r="HB163" s="21">
        <v>4.1662273688000004</v>
      </c>
      <c r="HC163" s="21">
        <v>5943.6775130275091</v>
      </c>
    </row>
    <row r="164" spans="1:211" s="7" customFormat="1" ht="17.25" customHeight="1">
      <c r="A164" s="7">
        <f t="shared" si="10"/>
        <v>164</v>
      </c>
      <c r="B164" s="26" t="s">
        <v>142</v>
      </c>
      <c r="C164" s="10" t="s">
        <v>614</v>
      </c>
      <c r="D164" s="28">
        <v>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2.7193565330237699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5.2793330628503403</v>
      </c>
      <c r="EK164" s="28">
        <v>0</v>
      </c>
      <c r="EL164" s="28">
        <v>0</v>
      </c>
      <c r="EM164" s="28">
        <v>0</v>
      </c>
      <c r="EN164" s="28">
        <v>0</v>
      </c>
      <c r="EO164" s="28">
        <v>1.0202453038334101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  <c r="EU164" s="28">
        <v>0</v>
      </c>
      <c r="EV164" s="28">
        <v>3.2565682275653698</v>
      </c>
      <c r="EW164" s="28">
        <v>0</v>
      </c>
      <c r="EX164" s="28">
        <v>0</v>
      </c>
      <c r="EY164" s="28">
        <v>0</v>
      </c>
      <c r="EZ164" s="28">
        <v>0</v>
      </c>
      <c r="FA164" s="28">
        <v>0</v>
      </c>
      <c r="FB164" s="28">
        <v>0</v>
      </c>
      <c r="FC164" s="28">
        <v>0</v>
      </c>
      <c r="FD164" s="28">
        <v>0</v>
      </c>
      <c r="FE164" s="28">
        <v>0</v>
      </c>
      <c r="FF164" s="28">
        <v>0</v>
      </c>
      <c r="FG164" s="28">
        <v>0</v>
      </c>
      <c r="FH164" s="28">
        <v>0</v>
      </c>
      <c r="FI164" s="28">
        <v>0</v>
      </c>
      <c r="FJ164" s="28">
        <v>0</v>
      </c>
      <c r="FK164" s="28">
        <v>0</v>
      </c>
      <c r="FL164" s="28">
        <v>0</v>
      </c>
      <c r="FM164" s="28">
        <v>0</v>
      </c>
      <c r="FN164" s="28">
        <v>0</v>
      </c>
      <c r="FO164" s="28">
        <v>0</v>
      </c>
      <c r="FP164" s="28">
        <v>0</v>
      </c>
      <c r="FQ164" s="28">
        <v>0</v>
      </c>
      <c r="FR164" s="28">
        <v>0</v>
      </c>
      <c r="FS164" s="28">
        <v>0</v>
      </c>
      <c r="FT164" s="28">
        <v>0</v>
      </c>
      <c r="FU164" s="28">
        <v>0</v>
      </c>
      <c r="FV164" s="28">
        <v>0</v>
      </c>
      <c r="FW164" s="28">
        <v>0</v>
      </c>
      <c r="FX164" s="28">
        <v>0</v>
      </c>
      <c r="FY164" s="28">
        <v>0</v>
      </c>
      <c r="FZ164" s="28">
        <v>0</v>
      </c>
      <c r="GA164" s="28">
        <v>0</v>
      </c>
      <c r="GB164" s="28">
        <v>0</v>
      </c>
      <c r="GC164" s="28">
        <v>0</v>
      </c>
      <c r="GD164" s="28">
        <v>0</v>
      </c>
      <c r="GE164" s="28">
        <v>0</v>
      </c>
      <c r="GF164" s="28">
        <v>0</v>
      </c>
      <c r="GG164" s="28">
        <v>0</v>
      </c>
      <c r="GH164" s="28">
        <v>0</v>
      </c>
      <c r="GI164" s="28">
        <v>0</v>
      </c>
      <c r="GJ164" s="28">
        <v>0</v>
      </c>
      <c r="GK164" s="28">
        <v>0</v>
      </c>
      <c r="GL164" s="28">
        <v>0</v>
      </c>
      <c r="GM164" s="28">
        <v>0</v>
      </c>
      <c r="GN164" s="28">
        <v>0</v>
      </c>
      <c r="GO164" s="28">
        <v>0</v>
      </c>
      <c r="GP164" s="28">
        <v>0</v>
      </c>
      <c r="GQ164" s="21">
        <v>12.275503127272891</v>
      </c>
      <c r="GR164" s="21">
        <v>0</v>
      </c>
      <c r="GS164" s="20">
        <v>0</v>
      </c>
      <c r="GT164" s="20">
        <v>0</v>
      </c>
      <c r="GU164" s="20">
        <v>0</v>
      </c>
      <c r="GV164" s="20">
        <v>0</v>
      </c>
      <c r="GW164" s="20">
        <v>0</v>
      </c>
      <c r="GX164" s="21">
        <v>11.1938934880378</v>
      </c>
      <c r="GY164" s="20">
        <v>0</v>
      </c>
      <c r="GZ164" s="20">
        <v>11.1938934880378</v>
      </c>
      <c r="HA164" s="20"/>
      <c r="HB164" s="21">
        <v>2272.54168568352</v>
      </c>
      <c r="HC164" s="21">
        <v>2296.0110822988308</v>
      </c>
    </row>
    <row r="165" spans="1:211" s="7" customFormat="1" ht="17.25" customHeight="1">
      <c r="A165" s="7">
        <f t="shared" si="10"/>
        <v>165</v>
      </c>
      <c r="B165" s="26" t="s">
        <v>615</v>
      </c>
      <c r="C165" s="10" t="s">
        <v>616</v>
      </c>
      <c r="D165" s="28">
        <v>0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868.10192502510301</v>
      </c>
      <c r="EU165" s="28">
        <v>0</v>
      </c>
      <c r="EV165" s="28">
        <v>0</v>
      </c>
      <c r="EW165" s="28">
        <v>0</v>
      </c>
      <c r="EX165" s="28">
        <v>0</v>
      </c>
      <c r="EY165" s="28">
        <v>0</v>
      </c>
      <c r="EZ165" s="28">
        <v>0</v>
      </c>
      <c r="FA165" s="28">
        <v>0</v>
      </c>
      <c r="FB165" s="28">
        <v>0</v>
      </c>
      <c r="FC165" s="28">
        <v>0</v>
      </c>
      <c r="FD165" s="28">
        <v>0</v>
      </c>
      <c r="FE165" s="28">
        <v>0</v>
      </c>
      <c r="FF165" s="28">
        <v>0</v>
      </c>
      <c r="FG165" s="28">
        <v>0</v>
      </c>
      <c r="FH165" s="28">
        <v>0</v>
      </c>
      <c r="FI165" s="28">
        <v>0</v>
      </c>
      <c r="FJ165" s="28">
        <v>0</v>
      </c>
      <c r="FK165" s="28">
        <v>0</v>
      </c>
      <c r="FL165" s="28">
        <v>0</v>
      </c>
      <c r="FM165" s="28">
        <v>0</v>
      </c>
      <c r="FN165" s="28">
        <v>0</v>
      </c>
      <c r="FO165" s="28">
        <v>0</v>
      </c>
      <c r="FP165" s="28">
        <v>0</v>
      </c>
      <c r="FQ165" s="28">
        <v>0</v>
      </c>
      <c r="FR165" s="28">
        <v>0</v>
      </c>
      <c r="FS165" s="28">
        <v>0</v>
      </c>
      <c r="FT165" s="28">
        <v>0</v>
      </c>
      <c r="FU165" s="28">
        <v>0</v>
      </c>
      <c r="FV165" s="28">
        <v>0</v>
      </c>
      <c r="FW165" s="28">
        <v>0</v>
      </c>
      <c r="FX165" s="28">
        <v>0</v>
      </c>
      <c r="FY165" s="28">
        <v>0</v>
      </c>
      <c r="FZ165" s="28">
        <v>0</v>
      </c>
      <c r="GA165" s="28">
        <v>0</v>
      </c>
      <c r="GB165" s="28">
        <v>0</v>
      </c>
      <c r="GC165" s="28">
        <v>0</v>
      </c>
      <c r="GD165" s="28">
        <v>0</v>
      </c>
      <c r="GE165" s="28">
        <v>0</v>
      </c>
      <c r="GF165" s="28">
        <v>0</v>
      </c>
      <c r="GG165" s="28">
        <v>0</v>
      </c>
      <c r="GH165" s="28">
        <v>0</v>
      </c>
      <c r="GI165" s="28">
        <v>0</v>
      </c>
      <c r="GJ165" s="28">
        <v>0</v>
      </c>
      <c r="GK165" s="28">
        <v>0</v>
      </c>
      <c r="GL165" s="28">
        <v>0</v>
      </c>
      <c r="GM165" s="28">
        <v>0</v>
      </c>
      <c r="GN165" s="28">
        <v>0</v>
      </c>
      <c r="GO165" s="28">
        <v>0</v>
      </c>
      <c r="GP165" s="28">
        <v>0</v>
      </c>
      <c r="GQ165" s="21">
        <v>868.10192502510301</v>
      </c>
      <c r="GR165" s="21">
        <v>0</v>
      </c>
      <c r="GS165" s="20">
        <v>0</v>
      </c>
      <c r="GT165" s="20">
        <v>0</v>
      </c>
      <c r="GU165" s="20">
        <v>0</v>
      </c>
      <c r="GV165" s="20">
        <v>0</v>
      </c>
      <c r="GW165" s="20">
        <v>0</v>
      </c>
      <c r="GX165" s="21">
        <v>0</v>
      </c>
      <c r="GY165" s="20">
        <v>0</v>
      </c>
      <c r="GZ165" s="20">
        <v>0</v>
      </c>
      <c r="HA165" s="20"/>
      <c r="HB165" s="21">
        <v>7308.8669422172698</v>
      </c>
      <c r="HC165" s="21">
        <v>8176.9688672423727</v>
      </c>
    </row>
    <row r="166" spans="1:211" s="7" customFormat="1" ht="17.25" customHeight="1">
      <c r="A166" s="7">
        <f t="shared" si="10"/>
        <v>166</v>
      </c>
      <c r="B166" s="26" t="s">
        <v>617</v>
      </c>
      <c r="C166" s="10" t="s">
        <v>618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28.248438750705901</v>
      </c>
      <c r="EU166" s="28">
        <v>0</v>
      </c>
      <c r="EV166" s="28">
        <v>0</v>
      </c>
      <c r="EW166" s="28">
        <v>0</v>
      </c>
      <c r="EX166" s="28">
        <v>0</v>
      </c>
      <c r="EY166" s="28">
        <v>0</v>
      </c>
      <c r="EZ166" s="28">
        <v>0</v>
      </c>
      <c r="FA166" s="28">
        <v>0</v>
      </c>
      <c r="FB166" s="28">
        <v>0</v>
      </c>
      <c r="FC166" s="28">
        <v>0</v>
      </c>
      <c r="FD166" s="28">
        <v>0</v>
      </c>
      <c r="FE166" s="28">
        <v>0</v>
      </c>
      <c r="FF166" s="28">
        <v>0</v>
      </c>
      <c r="FG166" s="28">
        <v>0</v>
      </c>
      <c r="FH166" s="28">
        <v>0</v>
      </c>
      <c r="FI166" s="28">
        <v>0</v>
      </c>
      <c r="FJ166" s="28">
        <v>0</v>
      </c>
      <c r="FK166" s="28">
        <v>0</v>
      </c>
      <c r="FL166" s="28">
        <v>0</v>
      </c>
      <c r="FM166" s="28">
        <v>0</v>
      </c>
      <c r="FN166" s="28">
        <v>0</v>
      </c>
      <c r="FO166" s="28">
        <v>0</v>
      </c>
      <c r="FP166" s="28">
        <v>0</v>
      </c>
      <c r="FQ166" s="28">
        <v>0</v>
      </c>
      <c r="FR166" s="28">
        <v>0</v>
      </c>
      <c r="FS166" s="28">
        <v>0</v>
      </c>
      <c r="FT166" s="28">
        <v>0</v>
      </c>
      <c r="FU166" s="28">
        <v>0</v>
      </c>
      <c r="FV166" s="28">
        <v>0</v>
      </c>
      <c r="FW166" s="28">
        <v>0</v>
      </c>
      <c r="FX166" s="28">
        <v>0</v>
      </c>
      <c r="FY166" s="28">
        <v>0</v>
      </c>
      <c r="FZ166" s="28">
        <v>0</v>
      </c>
      <c r="GA166" s="28">
        <v>0</v>
      </c>
      <c r="GB166" s="28">
        <v>0</v>
      </c>
      <c r="GC166" s="28">
        <v>0</v>
      </c>
      <c r="GD166" s="28">
        <v>0</v>
      </c>
      <c r="GE166" s="28">
        <v>0</v>
      </c>
      <c r="GF166" s="28">
        <v>0</v>
      </c>
      <c r="GG166" s="28">
        <v>0</v>
      </c>
      <c r="GH166" s="28">
        <v>0</v>
      </c>
      <c r="GI166" s="28">
        <v>0</v>
      </c>
      <c r="GJ166" s="28">
        <v>0</v>
      </c>
      <c r="GK166" s="28">
        <v>0</v>
      </c>
      <c r="GL166" s="28">
        <v>0</v>
      </c>
      <c r="GM166" s="28">
        <v>0</v>
      </c>
      <c r="GN166" s="28">
        <v>0</v>
      </c>
      <c r="GO166" s="28">
        <v>0</v>
      </c>
      <c r="GP166" s="28">
        <v>0</v>
      </c>
      <c r="GQ166" s="21">
        <v>28.248438750705901</v>
      </c>
      <c r="GR166" s="21">
        <v>0</v>
      </c>
      <c r="GS166" s="20">
        <v>0</v>
      </c>
      <c r="GT166" s="20">
        <v>0</v>
      </c>
      <c r="GU166" s="20">
        <v>0</v>
      </c>
      <c r="GV166" s="20">
        <v>0</v>
      </c>
      <c r="GW166" s="20">
        <v>0</v>
      </c>
      <c r="GX166" s="21">
        <v>9.5397557938953206</v>
      </c>
      <c r="GY166" s="20">
        <v>0</v>
      </c>
      <c r="GZ166" s="20">
        <v>9.5397557938953206</v>
      </c>
      <c r="HA166" s="20"/>
      <c r="HB166" s="21">
        <v>570.35429688921602</v>
      </c>
      <c r="HC166" s="21">
        <v>608.14249143381721</v>
      </c>
    </row>
    <row r="167" spans="1:211" s="7" customFormat="1" ht="17.25" customHeight="1">
      <c r="A167" s="7">
        <f t="shared" si="10"/>
        <v>167</v>
      </c>
      <c r="B167" s="26" t="s">
        <v>619</v>
      </c>
      <c r="C167" s="9" t="s">
        <v>620</v>
      </c>
      <c r="D167" s="28">
        <v>0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14.3425240121505</v>
      </c>
      <c r="EP167" s="28">
        <v>0</v>
      </c>
      <c r="EQ167" s="28">
        <v>0</v>
      </c>
      <c r="ER167" s="28">
        <v>0</v>
      </c>
      <c r="ES167" s="28">
        <v>0</v>
      </c>
      <c r="ET167" s="28">
        <v>1.14012899509032</v>
      </c>
      <c r="EU167" s="28">
        <v>0</v>
      </c>
      <c r="EV167" s="28">
        <v>0</v>
      </c>
      <c r="EW167" s="28">
        <v>0</v>
      </c>
      <c r="EX167" s="28">
        <v>0</v>
      </c>
      <c r="EY167" s="28">
        <v>0</v>
      </c>
      <c r="EZ167" s="28">
        <v>0</v>
      </c>
      <c r="FA167" s="28">
        <v>0</v>
      </c>
      <c r="FB167" s="28">
        <v>0</v>
      </c>
      <c r="FC167" s="28">
        <v>0</v>
      </c>
      <c r="FD167" s="28">
        <v>0</v>
      </c>
      <c r="FE167" s="28">
        <v>0</v>
      </c>
      <c r="FF167" s="28">
        <v>0</v>
      </c>
      <c r="FG167" s="28">
        <v>0</v>
      </c>
      <c r="FH167" s="28">
        <v>0</v>
      </c>
      <c r="FI167" s="28">
        <v>0</v>
      </c>
      <c r="FJ167" s="28">
        <v>0</v>
      </c>
      <c r="FK167" s="28">
        <v>0</v>
      </c>
      <c r="FL167" s="28">
        <v>0</v>
      </c>
      <c r="FM167" s="28">
        <v>0</v>
      </c>
      <c r="FN167" s="28">
        <v>0</v>
      </c>
      <c r="FO167" s="28">
        <v>0</v>
      </c>
      <c r="FP167" s="28">
        <v>0</v>
      </c>
      <c r="FQ167" s="28">
        <v>0</v>
      </c>
      <c r="FR167" s="28">
        <v>0</v>
      </c>
      <c r="FS167" s="28">
        <v>0</v>
      </c>
      <c r="FT167" s="28">
        <v>0</v>
      </c>
      <c r="FU167" s="28">
        <v>0</v>
      </c>
      <c r="FV167" s="28">
        <v>0</v>
      </c>
      <c r="FW167" s="28">
        <v>0</v>
      </c>
      <c r="FX167" s="28">
        <v>0</v>
      </c>
      <c r="FY167" s="28">
        <v>0</v>
      </c>
      <c r="FZ167" s="28">
        <v>0</v>
      </c>
      <c r="GA167" s="28">
        <v>0</v>
      </c>
      <c r="GB167" s="28">
        <v>0</v>
      </c>
      <c r="GC167" s="28">
        <v>0</v>
      </c>
      <c r="GD167" s="28">
        <v>0</v>
      </c>
      <c r="GE167" s="28">
        <v>0</v>
      </c>
      <c r="GF167" s="28">
        <v>0</v>
      </c>
      <c r="GG167" s="28">
        <v>0</v>
      </c>
      <c r="GH167" s="28">
        <v>0</v>
      </c>
      <c r="GI167" s="28">
        <v>0</v>
      </c>
      <c r="GJ167" s="28">
        <v>0</v>
      </c>
      <c r="GK167" s="28">
        <v>0</v>
      </c>
      <c r="GL167" s="28">
        <v>0</v>
      </c>
      <c r="GM167" s="28">
        <v>0</v>
      </c>
      <c r="GN167" s="28">
        <v>0</v>
      </c>
      <c r="GO167" s="28">
        <v>0</v>
      </c>
      <c r="GP167" s="28">
        <v>0</v>
      </c>
      <c r="GQ167" s="21">
        <v>15.48265300724082</v>
      </c>
      <c r="GR167" s="21">
        <v>0</v>
      </c>
      <c r="GS167" s="20">
        <v>0</v>
      </c>
      <c r="GT167" s="20">
        <v>0</v>
      </c>
      <c r="GU167" s="20">
        <v>0</v>
      </c>
      <c r="GV167" s="20">
        <v>0</v>
      </c>
      <c r="GW167" s="20">
        <v>0</v>
      </c>
      <c r="GX167" s="21">
        <v>-15.8865350842648</v>
      </c>
      <c r="GY167" s="20">
        <v>0</v>
      </c>
      <c r="GZ167" s="20">
        <v>-15.8865350842648</v>
      </c>
      <c r="HA167" s="20"/>
      <c r="HB167" s="21">
        <v>83.695798077023994</v>
      </c>
      <c r="HC167" s="21">
        <v>83.291916000000015</v>
      </c>
    </row>
    <row r="168" spans="1:211" s="7" customFormat="1" ht="17.25" customHeight="1">
      <c r="A168" s="7">
        <f t="shared" si="10"/>
        <v>168</v>
      </c>
      <c r="B168" s="26" t="s">
        <v>621</v>
      </c>
      <c r="C168" s="10" t="s">
        <v>622</v>
      </c>
      <c r="D168" s="28">
        <v>0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0.10968128949101801</v>
      </c>
      <c r="AZ168" s="28">
        <v>0</v>
      </c>
      <c r="BA168" s="28">
        <v>0</v>
      </c>
      <c r="BB168" s="28">
        <v>0.31454066119372398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3.1417948027732998</v>
      </c>
      <c r="DY168" s="28">
        <v>0</v>
      </c>
      <c r="DZ168" s="28">
        <v>0</v>
      </c>
      <c r="EA168" s="28">
        <v>0</v>
      </c>
      <c r="EB168" s="28">
        <v>2.8655406570980699</v>
      </c>
      <c r="EC168" s="28">
        <v>0</v>
      </c>
      <c r="ED168" s="28">
        <v>0</v>
      </c>
      <c r="EE168" s="28">
        <v>0.176321497520776</v>
      </c>
      <c r="EF168" s="28">
        <v>0</v>
      </c>
      <c r="EG168" s="28">
        <v>0</v>
      </c>
      <c r="EH168" s="28">
        <v>0</v>
      </c>
      <c r="EI168" s="28">
        <v>0</v>
      </c>
      <c r="EJ168" s="28">
        <v>19.2752558752642</v>
      </c>
      <c r="EK168" s="28">
        <v>0</v>
      </c>
      <c r="EL168" s="28">
        <v>0</v>
      </c>
      <c r="EM168" s="28">
        <v>0</v>
      </c>
      <c r="EN168" s="28">
        <v>1.8252020223136E-2</v>
      </c>
      <c r="EO168" s="28">
        <v>10.9157765727899</v>
      </c>
      <c r="EP168" s="28">
        <v>0</v>
      </c>
      <c r="EQ168" s="28">
        <v>0</v>
      </c>
      <c r="ER168" s="28">
        <v>0</v>
      </c>
      <c r="ES168" s="28">
        <v>0</v>
      </c>
      <c r="ET168" s="28">
        <v>11.270027244312599</v>
      </c>
      <c r="EU168" s="28">
        <v>0</v>
      </c>
      <c r="EV168" s="28">
        <v>12.2729943256941</v>
      </c>
      <c r="EW168" s="28">
        <v>0.57306483180865098</v>
      </c>
      <c r="EX168" s="28">
        <v>0</v>
      </c>
      <c r="EY168" s="28">
        <v>0</v>
      </c>
      <c r="EZ168" s="28">
        <v>0</v>
      </c>
      <c r="FA168" s="28">
        <v>0</v>
      </c>
      <c r="FB168" s="28">
        <v>0</v>
      </c>
      <c r="FC168" s="28">
        <v>0</v>
      </c>
      <c r="FD168" s="28">
        <v>0</v>
      </c>
      <c r="FE168" s="28">
        <v>0</v>
      </c>
      <c r="FF168" s="28">
        <v>0</v>
      </c>
      <c r="FG168" s="28">
        <v>0</v>
      </c>
      <c r="FH168" s="28">
        <v>0</v>
      </c>
      <c r="FI168" s="28">
        <v>0</v>
      </c>
      <c r="FJ168" s="28">
        <v>0</v>
      </c>
      <c r="FK168" s="28">
        <v>0</v>
      </c>
      <c r="FL168" s="28">
        <v>0</v>
      </c>
      <c r="FM168" s="28">
        <v>0</v>
      </c>
      <c r="FN168" s="28">
        <v>0</v>
      </c>
      <c r="FO168" s="28">
        <v>0</v>
      </c>
      <c r="FP168" s="28">
        <v>0</v>
      </c>
      <c r="FQ168" s="28">
        <v>0.17850033154136299</v>
      </c>
      <c r="FR168" s="28">
        <v>0</v>
      </c>
      <c r="FS168" s="28">
        <v>0</v>
      </c>
      <c r="FT168" s="28">
        <v>0</v>
      </c>
      <c r="FU168" s="28">
        <v>0</v>
      </c>
      <c r="FV168" s="28">
        <v>0</v>
      </c>
      <c r="FW168" s="28">
        <v>0</v>
      </c>
      <c r="FX168" s="28">
        <v>0</v>
      </c>
      <c r="FY168" s="28">
        <v>0</v>
      </c>
      <c r="FZ168" s="28">
        <v>0</v>
      </c>
      <c r="GA168" s="28">
        <v>0</v>
      </c>
      <c r="GB168" s="28">
        <v>0</v>
      </c>
      <c r="GC168" s="28">
        <v>0</v>
      </c>
      <c r="GD168" s="28">
        <v>0</v>
      </c>
      <c r="GE168" s="28">
        <v>0</v>
      </c>
      <c r="GF168" s="28">
        <v>0</v>
      </c>
      <c r="GG168" s="28">
        <v>0</v>
      </c>
      <c r="GH168" s="28">
        <v>0</v>
      </c>
      <c r="GI168" s="28">
        <v>0</v>
      </c>
      <c r="GJ168" s="28">
        <v>0</v>
      </c>
      <c r="GK168" s="28">
        <v>0</v>
      </c>
      <c r="GL168" s="28">
        <v>0</v>
      </c>
      <c r="GM168" s="28">
        <v>0</v>
      </c>
      <c r="GN168" s="28">
        <v>0</v>
      </c>
      <c r="GO168" s="28">
        <v>0</v>
      </c>
      <c r="GP168" s="28">
        <v>0</v>
      </c>
      <c r="GQ168" s="21">
        <v>61.111750109710982</v>
      </c>
      <c r="GR168" s="21">
        <v>0</v>
      </c>
      <c r="GS168" s="20">
        <v>0</v>
      </c>
      <c r="GT168" s="20">
        <v>0</v>
      </c>
      <c r="GU168" s="20">
        <v>0</v>
      </c>
      <c r="GV168" s="20">
        <v>0</v>
      </c>
      <c r="GW168" s="20">
        <v>0</v>
      </c>
      <c r="GX168" s="21">
        <v>24.3588052043931</v>
      </c>
      <c r="GY168" s="20">
        <v>0</v>
      </c>
      <c r="GZ168" s="20">
        <v>24.3588052043931</v>
      </c>
      <c r="HA168" s="20"/>
      <c r="HB168" s="21">
        <v>34.527216685896001</v>
      </c>
      <c r="HC168" s="21">
        <v>119.99777200000008</v>
      </c>
    </row>
    <row r="169" spans="1:211" s="7" customFormat="1" ht="17.25" customHeight="1">
      <c r="A169" s="7">
        <f t="shared" si="10"/>
        <v>169</v>
      </c>
      <c r="B169" s="26" t="s">
        <v>143</v>
      </c>
      <c r="C169" s="10" t="s">
        <v>623</v>
      </c>
      <c r="D169" s="28">
        <v>2.0913171512558799E-2</v>
      </c>
      <c r="E169" s="28">
        <v>0</v>
      </c>
      <c r="F169" s="28">
        <v>10.354986999999999</v>
      </c>
      <c r="G169" s="28">
        <v>5.6549870000000002</v>
      </c>
      <c r="H169" s="28">
        <v>27.059184109706901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2.3997207394740898</v>
      </c>
      <c r="Q169" s="28">
        <v>10.65465</v>
      </c>
      <c r="R169" s="28">
        <v>44.626855903121502</v>
      </c>
      <c r="S169" s="28">
        <v>25.339169727125199</v>
      </c>
      <c r="T169" s="28">
        <v>1.6666055416883101</v>
      </c>
      <c r="U169" s="28">
        <v>0</v>
      </c>
      <c r="V169" s="28">
        <v>2.8772969651383502E-2</v>
      </c>
      <c r="W169" s="28">
        <v>8.0440557891195397</v>
      </c>
      <c r="X169" s="28">
        <v>4.5781408213820196</v>
      </c>
      <c r="Y169" s="28">
        <v>0.50587102205083001</v>
      </c>
      <c r="Z169" s="28">
        <v>17.383642719100301</v>
      </c>
      <c r="AA169" s="28">
        <v>1.8783756004733101</v>
      </c>
      <c r="AB169" s="28">
        <v>0</v>
      </c>
      <c r="AC169" s="28">
        <v>0</v>
      </c>
      <c r="AD169" s="28">
        <v>0.46787771759788899</v>
      </c>
      <c r="AE169" s="28">
        <v>35.275527704502501</v>
      </c>
      <c r="AF169" s="28">
        <v>4.0924703707900401</v>
      </c>
      <c r="AG169" s="28">
        <v>0</v>
      </c>
      <c r="AH169" s="28">
        <v>0.90775721513601904</v>
      </c>
      <c r="AI169" s="28">
        <v>0.21953074369841</v>
      </c>
      <c r="AJ169" s="28">
        <v>0</v>
      </c>
      <c r="AK169" s="28">
        <v>2.99794478828573</v>
      </c>
      <c r="AL169" s="28">
        <v>0.66305696126161495</v>
      </c>
      <c r="AM169" s="28">
        <v>0</v>
      </c>
      <c r="AN169" s="28">
        <v>18.522105904428301</v>
      </c>
      <c r="AO169" s="28">
        <v>0.44539489836031299</v>
      </c>
      <c r="AP169" s="28">
        <v>0</v>
      </c>
      <c r="AQ169" s="28">
        <v>0.29577479410334301</v>
      </c>
      <c r="AR169" s="28">
        <v>10.7558542577537</v>
      </c>
      <c r="AS169" s="28">
        <v>0</v>
      </c>
      <c r="AT169" s="28">
        <v>191.32979199451401</v>
      </c>
      <c r="AU169" s="28">
        <v>15.850840004419499</v>
      </c>
      <c r="AV169" s="28">
        <v>7.7199750171205297</v>
      </c>
      <c r="AW169" s="28">
        <v>9.19337245582782</v>
      </c>
      <c r="AX169" s="28">
        <v>249.212724696847</v>
      </c>
      <c r="AY169" s="28">
        <v>0</v>
      </c>
      <c r="AZ169" s="28">
        <v>0.78404332287600798</v>
      </c>
      <c r="BA169" s="28">
        <v>4.9328529182890701</v>
      </c>
      <c r="BB169" s="28">
        <v>0.83322661644795004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11.734332104235101</v>
      </c>
      <c r="BY169" s="28">
        <v>0</v>
      </c>
      <c r="BZ169" s="28">
        <v>0</v>
      </c>
      <c r="CA169" s="28">
        <v>0</v>
      </c>
      <c r="CB169" s="28">
        <v>2.86172107749604</v>
      </c>
      <c r="CC169" s="28">
        <v>0.15686631648326699</v>
      </c>
      <c r="CD169" s="28">
        <v>2.0609303878696101</v>
      </c>
      <c r="CE169" s="28">
        <v>0.70076843132334599</v>
      </c>
      <c r="CF169" s="28">
        <v>0</v>
      </c>
      <c r="CG169" s="28">
        <v>0</v>
      </c>
      <c r="CH169" s="28">
        <v>0</v>
      </c>
      <c r="CI169" s="28">
        <v>24.8938388824463</v>
      </c>
      <c r="CJ169" s="28">
        <v>0</v>
      </c>
      <c r="CK169" s="28">
        <v>0</v>
      </c>
      <c r="CL169" s="28">
        <v>0</v>
      </c>
      <c r="CM169" s="28">
        <v>46.375048449062099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51.616111367155902</v>
      </c>
      <c r="CU169" s="28">
        <v>0.437497010935394</v>
      </c>
      <c r="CV169" s="28">
        <v>0.35087533369177798</v>
      </c>
      <c r="CW169" s="28">
        <v>0</v>
      </c>
      <c r="CX169" s="28">
        <v>1.0734189574428199</v>
      </c>
      <c r="CY169" s="28">
        <v>2.8081425007929002</v>
      </c>
      <c r="CZ169" s="28">
        <v>4.7139414925843601</v>
      </c>
      <c r="DA169" s="28">
        <v>3.00357537294372</v>
      </c>
      <c r="DB169" s="28">
        <v>45.898585702427098</v>
      </c>
      <c r="DC169" s="28">
        <v>6.6785691461347403</v>
      </c>
      <c r="DD169" s="28">
        <v>1.05152038965865E-2</v>
      </c>
      <c r="DE169" s="28">
        <v>0</v>
      </c>
      <c r="DF169" s="28">
        <v>0</v>
      </c>
      <c r="DG169" s="28">
        <v>0</v>
      </c>
      <c r="DH169" s="28">
        <v>0.43005100066059099</v>
      </c>
      <c r="DI169" s="28">
        <v>0.65053932615557297</v>
      </c>
      <c r="DJ169" s="28">
        <v>0.54775702902924595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16.655163958881499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3.41568153667869E-2</v>
      </c>
      <c r="EF169" s="28">
        <v>0</v>
      </c>
      <c r="EG169" s="28">
        <v>0</v>
      </c>
      <c r="EH169" s="28">
        <v>0</v>
      </c>
      <c r="EI169" s="28">
        <v>0</v>
      </c>
      <c r="EJ169" s="28">
        <v>0.30629223369365999</v>
      </c>
      <c r="EK169" s="28">
        <v>0.246648721224803</v>
      </c>
      <c r="EL169" s="28">
        <v>2.7884211911272301</v>
      </c>
      <c r="EM169" s="28">
        <v>0</v>
      </c>
      <c r="EN169" s="28">
        <v>1.26790514075883E-2</v>
      </c>
      <c r="EO169" s="28">
        <v>3.6263651453537098</v>
      </c>
      <c r="EP169" s="28">
        <v>0</v>
      </c>
      <c r="EQ169" s="28">
        <v>0</v>
      </c>
      <c r="ER169" s="28">
        <v>0.113678259674972</v>
      </c>
      <c r="ES169" s="28">
        <v>5.8673169666451903</v>
      </c>
      <c r="ET169" s="28">
        <v>0</v>
      </c>
      <c r="EU169" s="28">
        <v>0</v>
      </c>
      <c r="EV169" s="28">
        <v>12.842420162213999</v>
      </c>
      <c r="EW169" s="28">
        <v>0.24857725547246201</v>
      </c>
      <c r="EX169" s="28">
        <v>0.49991753662035898</v>
      </c>
      <c r="EY169" s="28">
        <v>1.29385487375471</v>
      </c>
      <c r="EZ169" s="28">
        <v>0.43492338157393601</v>
      </c>
      <c r="FA169" s="28">
        <v>3.8670420763411499</v>
      </c>
      <c r="FB169" s="28">
        <v>0.91267620472536803</v>
      </c>
      <c r="FC169" s="28">
        <v>601.72588118034105</v>
      </c>
      <c r="FD169" s="28">
        <v>448.18526198820399</v>
      </c>
      <c r="FE169" s="28">
        <v>2.0366400457799099</v>
      </c>
      <c r="FF169" s="28">
        <v>26.466783430188901</v>
      </c>
      <c r="FG169" s="28">
        <v>1321.13198710643</v>
      </c>
      <c r="FH169" s="28">
        <v>0.57630970199966602</v>
      </c>
      <c r="FI169" s="28">
        <v>3.2106164255902701</v>
      </c>
      <c r="FJ169" s="28">
        <v>0</v>
      </c>
      <c r="FK169" s="28">
        <v>0</v>
      </c>
      <c r="FL169" s="28">
        <v>0</v>
      </c>
      <c r="FM169" s="28">
        <v>0.10093906</v>
      </c>
      <c r="FN169" s="28">
        <v>1.49572690390122</v>
      </c>
      <c r="FO169" s="28">
        <v>0</v>
      </c>
      <c r="FP169" s="28">
        <v>0.34123218760648699</v>
      </c>
      <c r="FQ169" s="28">
        <v>0.491387894126043</v>
      </c>
      <c r="FR169" s="28">
        <v>6.4491361489641102E-2</v>
      </c>
      <c r="FS169" s="28">
        <v>9.1896120670608692</v>
      </c>
      <c r="FT169" s="28">
        <v>33.895640232759199</v>
      </c>
      <c r="FU169" s="28">
        <v>1.15711202402699E-2</v>
      </c>
      <c r="FV169" s="28">
        <v>0</v>
      </c>
      <c r="FW169" s="28">
        <v>1.83603538</v>
      </c>
      <c r="FX169" s="28">
        <v>3.6900000000000002E-2</v>
      </c>
      <c r="FY169" s="28">
        <v>2.5468000000000001E-3</v>
      </c>
      <c r="FZ169" s="28">
        <v>0</v>
      </c>
      <c r="GA169" s="28">
        <v>2.1497799724359998</v>
      </c>
      <c r="GB169" s="28">
        <v>0</v>
      </c>
      <c r="GC169" s="28">
        <v>0</v>
      </c>
      <c r="GD169" s="28">
        <v>0</v>
      </c>
      <c r="GE169" s="28">
        <v>3.61507245975762</v>
      </c>
      <c r="GF169" s="28">
        <v>16.552010184057998</v>
      </c>
      <c r="GG169" s="28">
        <v>89.436269324037099</v>
      </c>
      <c r="GH169" s="28">
        <v>1.2301132567059001</v>
      </c>
      <c r="GI169" s="28">
        <v>15.1893578580148</v>
      </c>
      <c r="GJ169" s="28">
        <v>5.7681835121455096</v>
      </c>
      <c r="GK169" s="28">
        <v>8.8243988476927608</v>
      </c>
      <c r="GL169" s="28">
        <v>9.8415821912194196E-2</v>
      </c>
      <c r="GM169" s="28">
        <v>0</v>
      </c>
      <c r="GN169" s="28">
        <v>0</v>
      </c>
      <c r="GO169" s="28">
        <v>0</v>
      </c>
      <c r="GP169" s="28">
        <v>0</v>
      </c>
      <c r="GQ169" s="21">
        <v>3565.1124375459849</v>
      </c>
      <c r="GR169" s="21">
        <v>440.62481111534902</v>
      </c>
      <c r="GS169" s="20">
        <v>440.62481111534902</v>
      </c>
      <c r="GT169" s="20">
        <v>0</v>
      </c>
      <c r="GU169" s="20">
        <v>0</v>
      </c>
      <c r="GV169" s="20">
        <v>0</v>
      </c>
      <c r="GW169" s="20">
        <v>0</v>
      </c>
      <c r="GX169" s="21">
        <v>725.24289271832026</v>
      </c>
      <c r="GY169" s="20">
        <v>560.37788307333801</v>
      </c>
      <c r="GZ169" s="20">
        <v>164.86500964498225</v>
      </c>
      <c r="HA169" s="20"/>
      <c r="HB169" s="21">
        <v>17.981169256800001</v>
      </c>
      <c r="HC169" s="21">
        <v>4748.9613106364541</v>
      </c>
    </row>
    <row r="170" spans="1:211" s="7" customFormat="1" ht="17.25" customHeight="1">
      <c r="A170" s="7">
        <f t="shared" si="10"/>
        <v>170</v>
      </c>
      <c r="B170" s="26" t="s">
        <v>149</v>
      </c>
      <c r="C170" s="10" t="s">
        <v>624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2.90971469319725E-2</v>
      </c>
      <c r="AU170" s="28">
        <v>0</v>
      </c>
      <c r="AV170" s="28">
        <v>0</v>
      </c>
      <c r="AW170" s="28">
        <v>17.420958856720901</v>
      </c>
      <c r="AX170" s="28">
        <v>36.539527071224001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6.9864290536354101</v>
      </c>
      <c r="DB170" s="28">
        <v>23.017191742447402</v>
      </c>
      <c r="DC170" s="28">
        <v>8.2914174780458492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3.0594829966365702</v>
      </c>
      <c r="DY170" s="28">
        <v>0</v>
      </c>
      <c r="DZ170" s="28">
        <v>0</v>
      </c>
      <c r="EA170" s="28">
        <v>0</v>
      </c>
      <c r="EB170" s="28">
        <v>2.3280666110305099</v>
      </c>
      <c r="EC170" s="28">
        <v>0</v>
      </c>
      <c r="ED170" s="28">
        <v>0</v>
      </c>
      <c r="EE170" s="28">
        <v>1.21352150294863E-3</v>
      </c>
      <c r="EF170" s="28">
        <v>0</v>
      </c>
      <c r="EG170" s="28">
        <v>0</v>
      </c>
      <c r="EH170" s="28">
        <v>0</v>
      </c>
      <c r="EI170" s="28">
        <v>0</v>
      </c>
      <c r="EJ170" s="28">
        <v>0.38189062324622802</v>
      </c>
      <c r="EK170" s="28">
        <v>0.35366768448251901</v>
      </c>
      <c r="EL170" s="28">
        <v>14.717412528708101</v>
      </c>
      <c r="EM170" s="28">
        <v>1.8854428288623599</v>
      </c>
      <c r="EN170" s="28">
        <v>0</v>
      </c>
      <c r="EO170" s="28">
        <v>0</v>
      </c>
      <c r="EP170" s="28">
        <v>0</v>
      </c>
      <c r="EQ170" s="28">
        <v>0</v>
      </c>
      <c r="ER170" s="28">
        <v>0.84804096365016002</v>
      </c>
      <c r="ES170" s="28">
        <v>0</v>
      </c>
      <c r="ET170" s="28">
        <v>0</v>
      </c>
      <c r="EU170" s="28">
        <v>0</v>
      </c>
      <c r="EV170" s="28">
        <v>0</v>
      </c>
      <c r="EW170" s="28">
        <v>1.36378992254954</v>
      </c>
      <c r="EX170" s="28">
        <v>4.6355293453937598</v>
      </c>
      <c r="EY170" s="28">
        <v>20.9870201543911</v>
      </c>
      <c r="EZ170" s="28">
        <v>5.8989534106496899</v>
      </c>
      <c r="FA170" s="28">
        <v>26.8763651309294</v>
      </c>
      <c r="FB170" s="28">
        <v>18.607734713495201</v>
      </c>
      <c r="FC170" s="28">
        <v>196.72378956335999</v>
      </c>
      <c r="FD170" s="28">
        <v>41.528288020676399</v>
      </c>
      <c r="FE170" s="28">
        <v>0</v>
      </c>
      <c r="FF170" s="28">
        <v>0</v>
      </c>
      <c r="FG170" s="28">
        <v>237.79202557687901</v>
      </c>
      <c r="FH170" s="28">
        <v>0</v>
      </c>
      <c r="FI170" s="28">
        <v>14.568873747831301</v>
      </c>
      <c r="FJ170" s="28">
        <v>0</v>
      </c>
      <c r="FK170" s="28">
        <v>0</v>
      </c>
      <c r="FL170" s="28">
        <v>973.45857771409396</v>
      </c>
      <c r="FM170" s="28">
        <v>3.0568673400000002</v>
      </c>
      <c r="FN170" s="28">
        <v>104.57776175417899</v>
      </c>
      <c r="FO170" s="28">
        <v>0.88953734706449905</v>
      </c>
      <c r="FP170" s="28">
        <v>0.16487391933874601</v>
      </c>
      <c r="FQ170" s="28">
        <v>5.4079166890459103</v>
      </c>
      <c r="FR170" s="28">
        <v>0.135063117782075</v>
      </c>
      <c r="FS170" s="28">
        <v>0</v>
      </c>
      <c r="FT170" s="28">
        <v>0</v>
      </c>
      <c r="FU170" s="28">
        <v>2.3422606603928702</v>
      </c>
      <c r="FV170" s="28">
        <v>0.59104073940883906</v>
      </c>
      <c r="FW170" s="28">
        <v>0</v>
      </c>
      <c r="FX170" s="28">
        <v>0</v>
      </c>
      <c r="FY170" s="28">
        <v>0</v>
      </c>
      <c r="FZ170" s="28">
        <v>0</v>
      </c>
      <c r="GA170" s="28">
        <v>0</v>
      </c>
      <c r="GB170" s="28">
        <v>1.75576307670478</v>
      </c>
      <c r="GC170" s="28">
        <v>1.2607302912712199</v>
      </c>
      <c r="GD170" s="28">
        <v>28.181138471548898</v>
      </c>
      <c r="GE170" s="28">
        <v>1.65482460583476</v>
      </c>
      <c r="GF170" s="28">
        <v>0</v>
      </c>
      <c r="GG170" s="28">
        <v>90.300442338254001</v>
      </c>
      <c r="GH170" s="28">
        <v>0</v>
      </c>
      <c r="GI170" s="28">
        <v>0</v>
      </c>
      <c r="GJ170" s="28">
        <v>0</v>
      </c>
      <c r="GK170" s="28">
        <v>0</v>
      </c>
      <c r="GL170" s="28">
        <v>1.97073416215153</v>
      </c>
      <c r="GM170" s="28">
        <v>0.89576900598187204</v>
      </c>
      <c r="GN170" s="28">
        <v>8.1528451845921897</v>
      </c>
      <c r="GO170" s="28">
        <v>0.76591228851007198</v>
      </c>
      <c r="GP170" s="28">
        <v>0</v>
      </c>
      <c r="GQ170" s="21">
        <v>1910.404267399432</v>
      </c>
      <c r="GR170" s="21">
        <v>115.06191845607</v>
      </c>
      <c r="GS170" s="20">
        <v>115.06191845607</v>
      </c>
      <c r="GT170" s="20">
        <v>0</v>
      </c>
      <c r="GU170" s="20">
        <v>0</v>
      </c>
      <c r="GV170" s="20">
        <v>0</v>
      </c>
      <c r="GW170" s="20">
        <v>0</v>
      </c>
      <c r="GX170" s="21">
        <v>4323.4107883510769</v>
      </c>
      <c r="GY170" s="20">
        <v>4315.7707097066505</v>
      </c>
      <c r="GZ170" s="20">
        <v>7.6400786444263993</v>
      </c>
      <c r="HA170" s="20"/>
      <c r="HB170" s="21">
        <v>157.931725704</v>
      </c>
      <c r="HC170" s="21">
        <v>6506.808699910579</v>
      </c>
    </row>
    <row r="171" spans="1:211" s="7" customFormat="1" ht="17.25" customHeight="1">
      <c r="A171" s="7">
        <f t="shared" si="10"/>
        <v>171</v>
      </c>
      <c r="B171" s="26" t="s">
        <v>150</v>
      </c>
      <c r="C171" s="9" t="s">
        <v>625</v>
      </c>
      <c r="D171" s="28">
        <v>0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6.2546249232844399E-4</v>
      </c>
      <c r="T171" s="28">
        <v>0</v>
      </c>
      <c r="U171" s="28">
        <v>0</v>
      </c>
      <c r="V171" s="28">
        <v>0</v>
      </c>
      <c r="W171" s="28">
        <v>0</v>
      </c>
      <c r="X171" s="28">
        <v>3.7090439650409399</v>
      </c>
      <c r="Y171" s="28">
        <v>1.17664824898322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0.33711828182825498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9.5729330303408808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1.73814932524503</v>
      </c>
      <c r="AU171" s="28">
        <v>19.378558804518899</v>
      </c>
      <c r="AV171" s="28">
        <v>22.136258861746199</v>
      </c>
      <c r="AW171" s="28">
        <v>0</v>
      </c>
      <c r="AX171" s="28">
        <v>14.266026173096099</v>
      </c>
      <c r="AY171" s="28">
        <v>0.14305076762194499</v>
      </c>
      <c r="AZ171" s="28">
        <v>30.814155189177001</v>
      </c>
      <c r="BA171" s="28">
        <v>15.0005037005775</v>
      </c>
      <c r="BB171" s="28">
        <v>1.2439679920609801</v>
      </c>
      <c r="BC171" s="28">
        <v>215.31063148841201</v>
      </c>
      <c r="BD171" s="28">
        <v>2.7751422892909798</v>
      </c>
      <c r="BE171" s="28">
        <v>0</v>
      </c>
      <c r="BF171" s="28">
        <v>0</v>
      </c>
      <c r="BG171" s="28">
        <v>0.35840716542828799</v>
      </c>
      <c r="BH171" s="28">
        <v>15.4150217113711</v>
      </c>
      <c r="BI171" s="28">
        <v>1.0920809238581699</v>
      </c>
      <c r="BJ171" s="28">
        <v>2.8472070089575698</v>
      </c>
      <c r="BK171" s="28">
        <v>0</v>
      </c>
      <c r="BL171" s="28">
        <v>2.6068394047238201</v>
      </c>
      <c r="BM171" s="28">
        <v>0.22035794182239399</v>
      </c>
      <c r="BN171" s="28">
        <v>0.63014873706560304</v>
      </c>
      <c r="BO171" s="28">
        <v>0</v>
      </c>
      <c r="BP171" s="28">
        <v>7.9719318503020699E-3</v>
      </c>
      <c r="BQ171" s="28">
        <v>0.57435144673796701</v>
      </c>
      <c r="BR171" s="28">
        <v>0.99147624926815303</v>
      </c>
      <c r="BS171" s="28">
        <v>0</v>
      </c>
      <c r="BT171" s="28">
        <v>0</v>
      </c>
      <c r="BU171" s="28">
        <v>0.22743074133697699</v>
      </c>
      <c r="BV171" s="28">
        <v>4.3158926293882702</v>
      </c>
      <c r="BW171" s="28">
        <v>0.84607901956933895</v>
      </c>
      <c r="BX171" s="28">
        <v>3.0112571907836201</v>
      </c>
      <c r="BY171" s="28">
        <v>0.97409385154752304</v>
      </c>
      <c r="BZ171" s="28">
        <v>4.0877812281653503</v>
      </c>
      <c r="CA171" s="28">
        <v>2.1332035035112602</v>
      </c>
      <c r="CB171" s="28">
        <v>16.693589593716201</v>
      </c>
      <c r="CC171" s="28">
        <v>0.91506538811286198</v>
      </c>
      <c r="CD171" s="28">
        <v>12.0222499484181</v>
      </c>
      <c r="CE171" s="28">
        <v>4.0878688998510402</v>
      </c>
      <c r="CF171" s="28">
        <v>0</v>
      </c>
      <c r="CG171" s="28">
        <v>1.08937135333727</v>
      </c>
      <c r="CH171" s="28">
        <v>1.16782444591607</v>
      </c>
      <c r="CI171" s="28">
        <v>1.1472241878509499</v>
      </c>
      <c r="CJ171" s="28">
        <v>0</v>
      </c>
      <c r="CK171" s="28">
        <v>0</v>
      </c>
      <c r="CL171" s="28">
        <v>0</v>
      </c>
      <c r="CM171" s="28">
        <v>11.182200007025701</v>
      </c>
      <c r="CN171" s="28">
        <v>1.5781114343553801E-3</v>
      </c>
      <c r="CO171" s="28">
        <v>0.187940565226763</v>
      </c>
      <c r="CP171" s="28">
        <v>9.2197972090321406E-3</v>
      </c>
      <c r="CQ171" s="28">
        <v>0.81959354877471902</v>
      </c>
      <c r="CR171" s="28">
        <v>0.68369244377355598</v>
      </c>
      <c r="CS171" s="28">
        <v>6.0086820588851397E-2</v>
      </c>
      <c r="CT171" s="28">
        <v>22.163737926889201</v>
      </c>
      <c r="CU171" s="28">
        <v>0.79335190793411703</v>
      </c>
      <c r="CV171" s="28">
        <v>2.1531550085357098</v>
      </c>
      <c r="CW171" s="28">
        <v>7.4770464334627604</v>
      </c>
      <c r="CX171" s="28">
        <v>0.57655403932382199</v>
      </c>
      <c r="CY171" s="28">
        <v>2.39485052866244</v>
      </c>
      <c r="CZ171" s="28">
        <v>1.27959315658172</v>
      </c>
      <c r="DA171" s="28">
        <v>89.521054449310796</v>
      </c>
      <c r="DB171" s="28">
        <v>0</v>
      </c>
      <c r="DC171" s="28">
        <v>2.4388814709011002</v>
      </c>
      <c r="DD171" s="28">
        <v>0.17345693000229701</v>
      </c>
      <c r="DE171" s="28">
        <v>0</v>
      </c>
      <c r="DF171" s="28">
        <v>0.24678359327584001</v>
      </c>
      <c r="DG171" s="28">
        <v>7.2053015034250896</v>
      </c>
      <c r="DH171" s="28">
        <v>1.48502087935773</v>
      </c>
      <c r="DI171" s="28">
        <v>0.179815028052251</v>
      </c>
      <c r="DJ171" s="28">
        <v>0</v>
      </c>
      <c r="DK171" s="28">
        <v>0</v>
      </c>
      <c r="DL171" s="28">
        <v>2.6172544958192501</v>
      </c>
      <c r="DM171" s="28">
        <v>0.39509142746393899</v>
      </c>
      <c r="DN171" s="28">
        <v>8.6221140790703803</v>
      </c>
      <c r="DO171" s="28">
        <v>1.92570556910636</v>
      </c>
      <c r="DP171" s="28">
        <v>0</v>
      </c>
      <c r="DQ171" s="28">
        <v>1.5098511960035801</v>
      </c>
      <c r="DR171" s="28">
        <v>25.9626818292422</v>
      </c>
      <c r="DS171" s="28">
        <v>1.1360053206240901</v>
      </c>
      <c r="DT171" s="28">
        <v>0.43585182569766501</v>
      </c>
      <c r="DU171" s="28">
        <v>7.8355783185801897</v>
      </c>
      <c r="DV171" s="28">
        <v>2.89874436163856E-2</v>
      </c>
      <c r="DW171" s="28">
        <v>0</v>
      </c>
      <c r="DX171" s="28">
        <v>3.1680786094749802</v>
      </c>
      <c r="DY171" s="28">
        <v>2.23727072468456</v>
      </c>
      <c r="DZ171" s="28">
        <v>65.240716650232002</v>
      </c>
      <c r="EA171" s="28">
        <v>0.108658802160177</v>
      </c>
      <c r="EB171" s="28">
        <v>1.2642328523983599</v>
      </c>
      <c r="EC171" s="28">
        <v>1.2024376024361001</v>
      </c>
      <c r="ED171" s="28">
        <v>10.3491603272884</v>
      </c>
      <c r="EE171" s="28">
        <v>1.9184767010186901</v>
      </c>
      <c r="EF171" s="28">
        <v>7.2264427673832996</v>
      </c>
      <c r="EG171" s="28">
        <v>9.7256741827549895</v>
      </c>
      <c r="EH171" s="28">
        <v>10.353034479543901</v>
      </c>
      <c r="EI171" s="28">
        <v>4.8836059040563198</v>
      </c>
      <c r="EJ171" s="28">
        <v>0.42213775507284301</v>
      </c>
      <c r="EK171" s="28">
        <v>0</v>
      </c>
      <c r="EL171" s="28">
        <v>25.700442050972999</v>
      </c>
      <c r="EM171" s="28">
        <v>1.32428304622546</v>
      </c>
      <c r="EN171" s="28">
        <v>3.5505173656166199E-3</v>
      </c>
      <c r="EO171" s="28">
        <v>0.94849017012921999</v>
      </c>
      <c r="EP171" s="28">
        <v>0</v>
      </c>
      <c r="EQ171" s="28">
        <v>1.39740446323951</v>
      </c>
      <c r="ER171" s="28">
        <v>17.225852375169801</v>
      </c>
      <c r="ES171" s="28">
        <v>5.5463363189362701E-2</v>
      </c>
      <c r="ET171" s="28">
        <v>0.62316682707813198</v>
      </c>
      <c r="EU171" s="28">
        <v>5.7587320049643197E-3</v>
      </c>
      <c r="EV171" s="28">
        <v>0.932996282742103</v>
      </c>
      <c r="EW171" s="28">
        <v>44.657309575908002</v>
      </c>
      <c r="EX171" s="28">
        <v>0</v>
      </c>
      <c r="EY171" s="28">
        <v>0</v>
      </c>
      <c r="EZ171" s="28">
        <v>0</v>
      </c>
      <c r="FA171" s="28">
        <v>0</v>
      </c>
      <c r="FB171" s="28">
        <v>0</v>
      </c>
      <c r="FC171" s="28">
        <v>2.95029745156533</v>
      </c>
      <c r="FD171" s="28">
        <v>5.4957556074858201E-2</v>
      </c>
      <c r="FE171" s="28">
        <v>3.2609209774021202</v>
      </c>
      <c r="FF171" s="28">
        <v>0</v>
      </c>
      <c r="FG171" s="28">
        <v>7.21826779521707</v>
      </c>
      <c r="FH171" s="28">
        <v>0.144195177561526</v>
      </c>
      <c r="FI171" s="28">
        <v>14.5696455230008</v>
      </c>
      <c r="FJ171" s="28">
        <v>0</v>
      </c>
      <c r="FK171" s="28">
        <v>0</v>
      </c>
      <c r="FL171" s="28">
        <v>0</v>
      </c>
      <c r="FM171" s="28">
        <v>0</v>
      </c>
      <c r="FN171" s="28">
        <v>0</v>
      </c>
      <c r="FO171" s="28">
        <v>0</v>
      </c>
      <c r="FP171" s="28">
        <v>0</v>
      </c>
      <c r="FQ171" s="28">
        <v>0</v>
      </c>
      <c r="FR171" s="28">
        <v>0</v>
      </c>
      <c r="FS171" s="28">
        <v>3.3765164635303502</v>
      </c>
      <c r="FT171" s="28">
        <v>0</v>
      </c>
      <c r="FU171" s="28">
        <v>21.676685985764301</v>
      </c>
      <c r="FV171" s="28">
        <v>0</v>
      </c>
      <c r="FW171" s="28">
        <v>0</v>
      </c>
      <c r="FX171" s="28">
        <v>0</v>
      </c>
      <c r="FY171" s="28">
        <v>0</v>
      </c>
      <c r="FZ171" s="28">
        <v>0</v>
      </c>
      <c r="GA171" s="28">
        <v>0</v>
      </c>
      <c r="GB171" s="28">
        <v>0</v>
      </c>
      <c r="GC171" s="28">
        <v>0</v>
      </c>
      <c r="GD171" s="28">
        <v>0</v>
      </c>
      <c r="GE171" s="28">
        <v>0</v>
      </c>
      <c r="GF171" s="28">
        <v>0</v>
      </c>
      <c r="GG171" s="28">
        <v>94.934743656103194</v>
      </c>
      <c r="GH171" s="28">
        <v>0.67570151389908095</v>
      </c>
      <c r="GI171" s="28">
        <v>0.45405098069236499</v>
      </c>
      <c r="GJ171" s="28">
        <v>0</v>
      </c>
      <c r="GK171" s="28">
        <v>0.50481524108979803</v>
      </c>
      <c r="GL171" s="28">
        <v>0</v>
      </c>
      <c r="GM171" s="28">
        <v>0</v>
      </c>
      <c r="GN171" s="28">
        <v>0</v>
      </c>
      <c r="GO171" s="28">
        <v>0</v>
      </c>
      <c r="GP171" s="28">
        <v>0</v>
      </c>
      <c r="GQ171" s="21">
        <v>977.36308682242316</v>
      </c>
      <c r="GR171" s="21">
        <v>69.61142375</v>
      </c>
      <c r="GS171" s="20">
        <v>69.61142375</v>
      </c>
      <c r="GT171" s="20">
        <v>0</v>
      </c>
      <c r="GU171" s="20">
        <v>0</v>
      </c>
      <c r="GV171" s="20">
        <v>0</v>
      </c>
      <c r="GW171" s="20">
        <v>0</v>
      </c>
      <c r="GX171" s="21">
        <v>5590.4919657981445</v>
      </c>
      <c r="GY171" s="20">
        <v>5519.9277896725598</v>
      </c>
      <c r="GZ171" s="20">
        <v>70.564176125584652</v>
      </c>
      <c r="HA171" s="20"/>
      <c r="HB171" s="21">
        <v>95.258530262400001</v>
      </c>
      <c r="HC171" s="21">
        <v>6732.725006632968</v>
      </c>
    </row>
    <row r="172" spans="1:211" s="7" customFormat="1" ht="17.25" customHeight="1">
      <c r="A172" s="7">
        <f t="shared" si="10"/>
        <v>172</v>
      </c>
      <c r="B172" s="26" t="s">
        <v>151</v>
      </c>
      <c r="C172" s="10" t="s">
        <v>626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0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0</v>
      </c>
      <c r="CY172" s="28">
        <v>0</v>
      </c>
      <c r="CZ172" s="28">
        <v>0</v>
      </c>
      <c r="DA172" s="28">
        <v>0</v>
      </c>
      <c r="DB172" s="28">
        <v>0</v>
      </c>
      <c r="DC172" s="28">
        <v>0</v>
      </c>
      <c r="DD172" s="28">
        <v>0</v>
      </c>
      <c r="DE172" s="28">
        <v>0</v>
      </c>
      <c r="DF172" s="28">
        <v>0</v>
      </c>
      <c r="DG172" s="28">
        <v>0</v>
      </c>
      <c r="DH172" s="28">
        <v>0</v>
      </c>
      <c r="DI172" s="28">
        <v>0</v>
      </c>
      <c r="DJ172" s="28">
        <v>0</v>
      </c>
      <c r="DK172" s="28">
        <v>0</v>
      </c>
      <c r="DL172" s="28">
        <v>0</v>
      </c>
      <c r="DM172" s="28">
        <v>0</v>
      </c>
      <c r="DN172" s="28">
        <v>0</v>
      </c>
      <c r="DO172" s="28">
        <v>0</v>
      </c>
      <c r="DP172" s="28">
        <v>0</v>
      </c>
      <c r="DQ172" s="28">
        <v>0</v>
      </c>
      <c r="DR172" s="28">
        <v>0</v>
      </c>
      <c r="DS172" s="28">
        <v>0</v>
      </c>
      <c r="DT172" s="28">
        <v>0</v>
      </c>
      <c r="DU172" s="28">
        <v>0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0</v>
      </c>
      <c r="EC172" s="28">
        <v>0</v>
      </c>
      <c r="ED172" s="28">
        <v>0</v>
      </c>
      <c r="EE172" s="28">
        <v>0</v>
      </c>
      <c r="EF172" s="28">
        <v>0</v>
      </c>
      <c r="EG172" s="28">
        <v>0</v>
      </c>
      <c r="EH172" s="28">
        <v>0</v>
      </c>
      <c r="EI172" s="28">
        <v>0</v>
      </c>
      <c r="EJ172" s="28">
        <v>9.8978693612796403E-2</v>
      </c>
      <c r="EK172" s="28">
        <v>0</v>
      </c>
      <c r="EL172" s="28">
        <v>0</v>
      </c>
      <c r="EM172" s="28">
        <v>0</v>
      </c>
      <c r="EN172" s="28">
        <v>0</v>
      </c>
      <c r="EO172" s="28">
        <v>0</v>
      </c>
      <c r="EP172" s="28">
        <v>0</v>
      </c>
      <c r="EQ172" s="28">
        <v>0</v>
      </c>
      <c r="ER172" s="28">
        <v>0</v>
      </c>
      <c r="ES172" s="28">
        <v>0</v>
      </c>
      <c r="ET172" s="28">
        <v>0</v>
      </c>
      <c r="EU172" s="28">
        <v>0</v>
      </c>
      <c r="EV172" s="28">
        <v>0</v>
      </c>
      <c r="EW172" s="28">
        <v>0</v>
      </c>
      <c r="EX172" s="28">
        <v>0</v>
      </c>
      <c r="EY172" s="28">
        <v>0</v>
      </c>
      <c r="EZ172" s="28">
        <v>0</v>
      </c>
      <c r="FA172" s="28">
        <v>0</v>
      </c>
      <c r="FB172" s="28">
        <v>0</v>
      </c>
      <c r="FC172" s="28">
        <v>0</v>
      </c>
      <c r="FD172" s="28">
        <v>0.56532535441044296</v>
      </c>
      <c r="FE172" s="28">
        <v>0</v>
      </c>
      <c r="FF172" s="28">
        <v>0</v>
      </c>
      <c r="FG172" s="28">
        <v>0.81456762080270695</v>
      </c>
      <c r="FH172" s="28">
        <v>0</v>
      </c>
      <c r="FI172" s="28">
        <v>0</v>
      </c>
      <c r="FJ172" s="28">
        <v>0</v>
      </c>
      <c r="FK172" s="28">
        <v>0</v>
      </c>
      <c r="FL172" s="28">
        <v>0</v>
      </c>
      <c r="FM172" s="28">
        <v>0</v>
      </c>
      <c r="FN172" s="28">
        <v>0</v>
      </c>
      <c r="FO172" s="28">
        <v>0</v>
      </c>
      <c r="FP172" s="28">
        <v>0</v>
      </c>
      <c r="FQ172" s="28">
        <v>0</v>
      </c>
      <c r="FR172" s="28">
        <v>0</v>
      </c>
      <c r="FS172" s="28">
        <v>0</v>
      </c>
      <c r="FT172" s="28">
        <v>20</v>
      </c>
      <c r="FU172" s="28">
        <v>0</v>
      </c>
      <c r="FV172" s="28">
        <v>0</v>
      </c>
      <c r="FW172" s="28">
        <v>0</v>
      </c>
      <c r="FX172" s="28">
        <v>0</v>
      </c>
      <c r="FY172" s="28">
        <v>0</v>
      </c>
      <c r="FZ172" s="28">
        <v>0</v>
      </c>
      <c r="GA172" s="28">
        <v>0</v>
      </c>
      <c r="GB172" s="28">
        <v>0</v>
      </c>
      <c r="GC172" s="28">
        <v>0</v>
      </c>
      <c r="GD172" s="28">
        <v>0</v>
      </c>
      <c r="GE172" s="28">
        <v>0</v>
      </c>
      <c r="GF172" s="28">
        <v>3.68028286680978</v>
      </c>
      <c r="GG172" s="28">
        <v>2.3643416791999998</v>
      </c>
      <c r="GH172" s="28">
        <v>0</v>
      </c>
      <c r="GI172" s="28">
        <v>0</v>
      </c>
      <c r="GJ172" s="28">
        <v>4.31739860638171</v>
      </c>
      <c r="GK172" s="28">
        <v>0.50080701697834895</v>
      </c>
      <c r="GL172" s="28">
        <v>0</v>
      </c>
      <c r="GM172" s="28">
        <v>0</v>
      </c>
      <c r="GN172" s="28">
        <v>9.2624534300000008</v>
      </c>
      <c r="GO172" s="28">
        <v>0</v>
      </c>
      <c r="GP172" s="28">
        <v>0</v>
      </c>
      <c r="GQ172" s="21">
        <v>41.604155268195782</v>
      </c>
      <c r="GR172" s="21">
        <v>689.20499294278102</v>
      </c>
      <c r="GS172" s="20">
        <v>689.20499294278102</v>
      </c>
      <c r="GT172" s="20">
        <v>0</v>
      </c>
      <c r="GU172" s="20">
        <v>0</v>
      </c>
      <c r="GV172" s="20">
        <v>0</v>
      </c>
      <c r="GW172" s="20">
        <v>0</v>
      </c>
      <c r="GX172" s="21">
        <v>470.35374421700567</v>
      </c>
      <c r="GY172" s="20">
        <v>335.309387301676</v>
      </c>
      <c r="GZ172" s="20">
        <v>135.0443569153297</v>
      </c>
      <c r="HA172" s="20"/>
      <c r="HB172" s="21">
        <v>0.30348996480000001</v>
      </c>
      <c r="HC172" s="21">
        <v>1201.4663823927826</v>
      </c>
    </row>
    <row r="173" spans="1:211" s="7" customFormat="1" ht="17.25" customHeight="1">
      <c r="A173" s="7">
        <f t="shared" si="10"/>
        <v>173</v>
      </c>
      <c r="B173" s="26" t="s">
        <v>152</v>
      </c>
      <c r="C173" s="10" t="s">
        <v>627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2.7572474716150102</v>
      </c>
      <c r="AW173" s="28">
        <v>0</v>
      </c>
      <c r="AX173" s="28">
        <v>0</v>
      </c>
      <c r="AY173" s="28">
        <v>0.16470149205314999</v>
      </c>
      <c r="AZ173" s="28">
        <v>0</v>
      </c>
      <c r="BA173" s="28">
        <v>0</v>
      </c>
      <c r="BB173" s="28">
        <v>0.31450068815028698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28">
        <v>0</v>
      </c>
      <c r="DG173" s="28">
        <v>0</v>
      </c>
      <c r="DH173" s="28">
        <v>0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6.3414467357127996E-2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57.529550349136898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  <c r="EU173" s="28">
        <v>0</v>
      </c>
      <c r="EV173" s="28">
        <v>0</v>
      </c>
      <c r="EW173" s="28">
        <v>80</v>
      </c>
      <c r="EX173" s="28">
        <v>0</v>
      </c>
      <c r="EY173" s="28">
        <v>0</v>
      </c>
      <c r="EZ173" s="28">
        <v>0</v>
      </c>
      <c r="FA173" s="28">
        <v>0</v>
      </c>
      <c r="FB173" s="28">
        <v>0</v>
      </c>
      <c r="FC173" s="28">
        <v>8.7262271321906901</v>
      </c>
      <c r="FD173" s="28">
        <v>0</v>
      </c>
      <c r="FE173" s="28">
        <v>0</v>
      </c>
      <c r="FF173" s="28">
        <v>0</v>
      </c>
      <c r="FG173" s="28">
        <v>0</v>
      </c>
      <c r="FH173" s="28">
        <v>0</v>
      </c>
      <c r="FI173" s="28">
        <v>3.3722527755507103E-2</v>
      </c>
      <c r="FJ173" s="28">
        <v>0</v>
      </c>
      <c r="FK173" s="28">
        <v>0</v>
      </c>
      <c r="FL173" s="28">
        <v>0</v>
      </c>
      <c r="FM173" s="28">
        <v>0</v>
      </c>
      <c r="FN173" s="28">
        <v>0</v>
      </c>
      <c r="FO173" s="28">
        <v>0</v>
      </c>
      <c r="FP173" s="28">
        <v>0</v>
      </c>
      <c r="FQ173" s="28">
        <v>0</v>
      </c>
      <c r="FR173" s="28">
        <v>0</v>
      </c>
      <c r="FS173" s="28">
        <v>0</v>
      </c>
      <c r="FT173" s="28">
        <v>0</v>
      </c>
      <c r="FU173" s="28">
        <v>0</v>
      </c>
      <c r="FV173" s="28">
        <v>0</v>
      </c>
      <c r="FW173" s="28">
        <v>0</v>
      </c>
      <c r="FX173" s="28">
        <v>8.4962972954264409</v>
      </c>
      <c r="FY173" s="28">
        <v>0</v>
      </c>
      <c r="FZ173" s="28">
        <v>0</v>
      </c>
      <c r="GA173" s="28">
        <v>0</v>
      </c>
      <c r="GB173" s="28">
        <v>0</v>
      </c>
      <c r="GC173" s="28">
        <v>0</v>
      </c>
      <c r="GD173" s="28">
        <v>0</v>
      </c>
      <c r="GE173" s="28">
        <v>0</v>
      </c>
      <c r="GF173" s="28">
        <v>0</v>
      </c>
      <c r="GG173" s="28">
        <v>138.86694746437399</v>
      </c>
      <c r="GH173" s="28">
        <v>0</v>
      </c>
      <c r="GI173" s="28">
        <v>0</v>
      </c>
      <c r="GJ173" s="28">
        <v>5.0551024921615999E-2</v>
      </c>
      <c r="GK173" s="28">
        <v>0</v>
      </c>
      <c r="GL173" s="28">
        <v>1.51535691331726</v>
      </c>
      <c r="GM173" s="28">
        <v>0.84648468093316798</v>
      </c>
      <c r="GN173" s="28">
        <v>1.0035774994228099</v>
      </c>
      <c r="GO173" s="28">
        <v>1.09457763579185</v>
      </c>
      <c r="GP173" s="28">
        <v>0</v>
      </c>
      <c r="GQ173" s="21">
        <v>301.46315664244582</v>
      </c>
      <c r="GR173" s="21">
        <v>113.494859144185</v>
      </c>
      <c r="GS173" s="20">
        <v>113.494859144185</v>
      </c>
      <c r="GT173" s="20">
        <v>0</v>
      </c>
      <c r="GU173" s="20">
        <v>0</v>
      </c>
      <c r="GV173" s="20">
        <v>0</v>
      </c>
      <c r="GW173" s="20">
        <v>0</v>
      </c>
      <c r="GX173" s="21">
        <v>796.25123586904363</v>
      </c>
      <c r="GY173" s="20">
        <v>794.40552089246398</v>
      </c>
      <c r="GZ173" s="20">
        <v>1.8457149765796568</v>
      </c>
      <c r="HA173" s="20"/>
      <c r="HB173" s="21">
        <v>11.9272692456</v>
      </c>
      <c r="HC173" s="21">
        <v>1223.1365209012745</v>
      </c>
    </row>
    <row r="174" spans="1:211" s="7" customFormat="1" ht="17.25" customHeight="1">
      <c r="A174" s="7">
        <f t="shared" si="10"/>
        <v>174</v>
      </c>
      <c r="B174" s="26" t="s">
        <v>153</v>
      </c>
      <c r="C174" s="10" t="s">
        <v>628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3.7957956896739202E-3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0.32643561584904301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3.6161923797620301</v>
      </c>
      <c r="AS174" s="28">
        <v>0</v>
      </c>
      <c r="AT174" s="28">
        <v>7.5693602893268004</v>
      </c>
      <c r="AU174" s="28">
        <v>4.8357650607582201</v>
      </c>
      <c r="AV174" s="28">
        <v>12.530380452244501</v>
      </c>
      <c r="AW174" s="28">
        <v>101</v>
      </c>
      <c r="AX174" s="28">
        <v>200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2.4953172909273801E-2</v>
      </c>
      <c r="BK174" s="28">
        <v>0</v>
      </c>
      <c r="BL174" s="28">
        <v>0.342825890680027</v>
      </c>
      <c r="BM174" s="28">
        <v>1.7125448164313301E-2</v>
      </c>
      <c r="BN174" s="28">
        <v>0</v>
      </c>
      <c r="BO174" s="28">
        <v>0</v>
      </c>
      <c r="BP174" s="28">
        <v>3.0740991213512402E-4</v>
      </c>
      <c r="BQ174" s="28">
        <v>0.89638588585713896</v>
      </c>
      <c r="BR174" s="28">
        <v>0</v>
      </c>
      <c r="BS174" s="28">
        <v>0</v>
      </c>
      <c r="BT174" s="28">
        <v>0</v>
      </c>
      <c r="BU174" s="28">
        <v>0</v>
      </c>
      <c r="BV174" s="28">
        <v>0.31113225192301602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0.241007686724348</v>
      </c>
      <c r="CH174" s="28">
        <v>0</v>
      </c>
      <c r="CI174" s="28">
        <v>0.45408824086189298</v>
      </c>
      <c r="CJ174" s="28">
        <v>0</v>
      </c>
      <c r="CK174" s="28">
        <v>0</v>
      </c>
      <c r="CL174" s="28">
        <v>0</v>
      </c>
      <c r="CM174" s="28">
        <v>0</v>
      </c>
      <c r="CN174" s="28">
        <v>5.3247362375259399E-2</v>
      </c>
      <c r="CO174" s="28">
        <v>5.3504763389251003E-2</v>
      </c>
      <c r="CP174" s="28">
        <v>3.01530049182475E-3</v>
      </c>
      <c r="CQ174" s="28">
        <v>0.61226373910903897</v>
      </c>
      <c r="CR174" s="28">
        <v>0</v>
      </c>
      <c r="CS174" s="28">
        <v>1.5417998826071E-2</v>
      </c>
      <c r="CT174" s="28">
        <v>4.5547635705009597</v>
      </c>
      <c r="CU174" s="28">
        <v>2.91577643575976</v>
      </c>
      <c r="CV174" s="28">
        <v>1.82328414533411</v>
      </c>
      <c r="CW174" s="28">
        <v>3.32110938807523</v>
      </c>
      <c r="CX174" s="28">
        <v>0.23657700353125899</v>
      </c>
      <c r="CY174" s="28">
        <v>4.5215138284371202E-2</v>
      </c>
      <c r="CZ174" s="28">
        <v>1.93306618364673</v>
      </c>
      <c r="DA174" s="28">
        <v>0</v>
      </c>
      <c r="DB174" s="28">
        <v>0</v>
      </c>
      <c r="DC174" s="28">
        <v>0</v>
      </c>
      <c r="DD174" s="28">
        <v>0.17182899691159301</v>
      </c>
      <c r="DE174" s="28">
        <v>0</v>
      </c>
      <c r="DF174" s="28">
        <v>3.6056739655440002</v>
      </c>
      <c r="DG174" s="28">
        <v>13.997123448633999</v>
      </c>
      <c r="DH174" s="28">
        <v>4.6072694124494102</v>
      </c>
      <c r="DI174" s="28">
        <v>0.15776167391335499</v>
      </c>
      <c r="DJ174" s="28">
        <v>0</v>
      </c>
      <c r="DK174" s="28">
        <v>0</v>
      </c>
      <c r="DL174" s="28">
        <v>0.97885746175007204</v>
      </c>
      <c r="DM174" s="28">
        <v>1.2480791786438601</v>
      </c>
      <c r="DN174" s="28">
        <v>0</v>
      </c>
      <c r="DO174" s="28">
        <v>0.82379055877428697</v>
      </c>
      <c r="DP174" s="28">
        <v>0</v>
      </c>
      <c r="DQ174" s="28">
        <v>0</v>
      </c>
      <c r="DR174" s="28">
        <v>4.38838987221202</v>
      </c>
      <c r="DS174" s="28">
        <v>2.6458234420197502</v>
      </c>
      <c r="DT174" s="28">
        <v>0.186451462152074</v>
      </c>
      <c r="DU174" s="28">
        <v>11.0785327591214</v>
      </c>
      <c r="DV174" s="28">
        <v>1.24004327334744E-2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3.4268983707639902</v>
      </c>
      <c r="EC174" s="28">
        <v>0</v>
      </c>
      <c r="ED174" s="28">
        <v>0</v>
      </c>
      <c r="EE174" s="28">
        <v>2.28962215191024</v>
      </c>
      <c r="EF174" s="28">
        <v>3.40840825420167</v>
      </c>
      <c r="EG174" s="28">
        <v>0</v>
      </c>
      <c r="EH174" s="28">
        <v>0</v>
      </c>
      <c r="EI174" s="28">
        <v>0</v>
      </c>
      <c r="EJ174" s="28">
        <v>47.036960514239397</v>
      </c>
      <c r="EK174" s="28">
        <v>1.74426696541377E-2</v>
      </c>
      <c r="EL174" s="28">
        <v>8.2241740945616097</v>
      </c>
      <c r="EM174" s="28">
        <v>6.4367741188737604</v>
      </c>
      <c r="EN174" s="28">
        <v>1.9546673081881201</v>
      </c>
      <c r="EO174" s="28">
        <v>13.5041633929669</v>
      </c>
      <c r="EP174" s="28">
        <v>0</v>
      </c>
      <c r="EQ174" s="28">
        <v>0</v>
      </c>
      <c r="ER174" s="28">
        <v>0.41633979751137501</v>
      </c>
      <c r="ES174" s="28">
        <v>0</v>
      </c>
      <c r="ET174" s="28">
        <v>0</v>
      </c>
      <c r="EU174" s="28">
        <v>0</v>
      </c>
      <c r="EV174" s="28">
        <v>0</v>
      </c>
      <c r="EW174" s="28">
        <v>77.739772000000002</v>
      </c>
      <c r="EX174" s="28">
        <v>22.0417020750088</v>
      </c>
      <c r="EY174" s="28">
        <v>0.38049066423288702</v>
      </c>
      <c r="EZ174" s="28">
        <v>87.208791932563898</v>
      </c>
      <c r="FA174" s="28">
        <v>2.7244852642543198</v>
      </c>
      <c r="FB174" s="28">
        <v>0.59971363855165405</v>
      </c>
      <c r="FC174" s="28">
        <v>114.179095264411</v>
      </c>
      <c r="FD174" s="28">
        <v>132.30854777853699</v>
      </c>
      <c r="FE174" s="28">
        <v>8.2873513457225698</v>
      </c>
      <c r="FF174" s="28">
        <v>0</v>
      </c>
      <c r="FG174" s="28">
        <v>292.83148518684902</v>
      </c>
      <c r="FH174" s="28">
        <v>9.8457307560621196E-2</v>
      </c>
      <c r="FI174" s="28">
        <v>1.2881301680317401</v>
      </c>
      <c r="FJ174" s="28">
        <v>0</v>
      </c>
      <c r="FK174" s="28">
        <v>0</v>
      </c>
      <c r="FL174" s="28">
        <v>0</v>
      </c>
      <c r="FM174" s="28">
        <v>148.73165080500399</v>
      </c>
      <c r="FN174" s="28">
        <v>0.34161895288349398</v>
      </c>
      <c r="FO174" s="28">
        <v>0</v>
      </c>
      <c r="FP174" s="28">
        <v>0</v>
      </c>
      <c r="FQ174" s="28">
        <v>3.1774390022432102</v>
      </c>
      <c r="FR174" s="28">
        <v>4.8010699556050099E-2</v>
      </c>
      <c r="FS174" s="28">
        <v>5.4375123078890697</v>
      </c>
      <c r="FT174" s="28">
        <v>31.080020026799801</v>
      </c>
      <c r="FU174" s="28">
        <v>30.039943439029201</v>
      </c>
      <c r="FV174" s="28">
        <v>0</v>
      </c>
      <c r="FW174" s="28">
        <v>0.59758250999999996</v>
      </c>
      <c r="FX174" s="28">
        <v>6.0769999999999999E-3</v>
      </c>
      <c r="FY174" s="28">
        <v>0</v>
      </c>
      <c r="FZ174" s="28">
        <v>0</v>
      </c>
      <c r="GA174" s="28">
        <v>0.27207246703327598</v>
      </c>
      <c r="GB174" s="28">
        <v>0</v>
      </c>
      <c r="GC174" s="28">
        <v>0</v>
      </c>
      <c r="GD174" s="28">
        <v>0</v>
      </c>
      <c r="GE174" s="28">
        <v>0</v>
      </c>
      <c r="GF174" s="28">
        <v>3.2509357329600999</v>
      </c>
      <c r="GG174" s="28">
        <v>204.75420925655999</v>
      </c>
      <c r="GH174" s="28">
        <v>0.63787224733054104</v>
      </c>
      <c r="GI174" s="28">
        <v>14.5977628604498</v>
      </c>
      <c r="GJ174" s="28">
        <v>49.2</v>
      </c>
      <c r="GK174" s="28">
        <v>9.0162674617269793</v>
      </c>
      <c r="GL174" s="28">
        <v>3.31974021090722</v>
      </c>
      <c r="GM174" s="28">
        <v>31.822973258793201</v>
      </c>
      <c r="GN174" s="28">
        <v>54.666346782303997</v>
      </c>
      <c r="GO174" s="28">
        <v>9.7396909479955607</v>
      </c>
      <c r="GP174" s="28">
        <v>0</v>
      </c>
      <c r="GQ174" s="21">
        <v>1818.7801785429065</v>
      </c>
      <c r="GR174" s="21">
        <v>246.68758717033899</v>
      </c>
      <c r="GS174" s="20">
        <v>246.68758717033899</v>
      </c>
      <c r="GT174" s="20">
        <v>0</v>
      </c>
      <c r="GU174" s="20">
        <v>0</v>
      </c>
      <c r="GV174" s="20">
        <v>0</v>
      </c>
      <c r="GW174" s="20">
        <v>0</v>
      </c>
      <c r="GX174" s="21">
        <v>1230.3907549547098</v>
      </c>
      <c r="GY174" s="20">
        <v>1233.2339358219001</v>
      </c>
      <c r="GZ174" s="20">
        <v>-2.8431808671903411</v>
      </c>
      <c r="HA174" s="20"/>
      <c r="HB174" s="21">
        <v>50.615007412799997</v>
      </c>
      <c r="HC174" s="21">
        <v>3346.4735280807554</v>
      </c>
    </row>
    <row r="175" spans="1:211" s="7" customFormat="1" ht="17.25" customHeight="1">
      <c r="A175" s="7">
        <f t="shared" si="10"/>
        <v>175</v>
      </c>
      <c r="B175" s="26" t="s">
        <v>629</v>
      </c>
      <c r="C175" s="9" t="s">
        <v>630</v>
      </c>
      <c r="D175" s="28">
        <v>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3.4102493727007903E-2</v>
      </c>
      <c r="AU175" s="28">
        <v>0</v>
      </c>
      <c r="AV175" s="28">
        <v>0.53530628202571395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9.56030359269152E-2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27.5921484550264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  <c r="EU175" s="28">
        <v>0</v>
      </c>
      <c r="EV175" s="28">
        <v>0</v>
      </c>
      <c r="EW175" s="28">
        <v>81.874713</v>
      </c>
      <c r="EX175" s="28">
        <v>0</v>
      </c>
      <c r="EY175" s="28">
        <v>0</v>
      </c>
      <c r="EZ175" s="28">
        <v>0</v>
      </c>
      <c r="FA175" s="28">
        <v>0</v>
      </c>
      <c r="FB175" s="28">
        <v>0</v>
      </c>
      <c r="FC175" s="28">
        <v>2.6092875332016501</v>
      </c>
      <c r="FD175" s="28">
        <v>2.9001710761069499</v>
      </c>
      <c r="FE175" s="28">
        <v>0</v>
      </c>
      <c r="FF175" s="28">
        <v>0.794919681151393</v>
      </c>
      <c r="FG175" s="28">
        <v>0.17121761604031699</v>
      </c>
      <c r="FH175" s="28">
        <v>0</v>
      </c>
      <c r="FI175" s="28">
        <v>0</v>
      </c>
      <c r="FJ175" s="28">
        <v>0</v>
      </c>
      <c r="FK175" s="28">
        <v>0</v>
      </c>
      <c r="FL175" s="28">
        <v>0</v>
      </c>
      <c r="FM175" s="28">
        <v>0</v>
      </c>
      <c r="FN175" s="28">
        <v>0</v>
      </c>
      <c r="FO175" s="28">
        <v>0</v>
      </c>
      <c r="FP175" s="28">
        <v>0</v>
      </c>
      <c r="FQ175" s="28">
        <v>0</v>
      </c>
      <c r="FR175" s="28">
        <v>0</v>
      </c>
      <c r="FS175" s="28">
        <v>0</v>
      </c>
      <c r="FT175" s="28">
        <v>3.9231051265383701</v>
      </c>
      <c r="FU175" s="28">
        <v>38.5998918854782</v>
      </c>
      <c r="FV175" s="28">
        <v>24.593239384184798</v>
      </c>
      <c r="FW175" s="28">
        <v>0</v>
      </c>
      <c r="FX175" s="28">
        <v>0</v>
      </c>
      <c r="FY175" s="28">
        <v>0</v>
      </c>
      <c r="FZ175" s="28">
        <v>0</v>
      </c>
      <c r="GA175" s="28">
        <v>3.47359934441499E-3</v>
      </c>
      <c r="GB175" s="28">
        <v>0</v>
      </c>
      <c r="GC175" s="28">
        <v>0</v>
      </c>
      <c r="GD175" s="28">
        <v>0</v>
      </c>
      <c r="GE175" s="28">
        <v>18.0753622987881</v>
      </c>
      <c r="GF175" s="28">
        <v>6.5244295303251496</v>
      </c>
      <c r="GG175" s="28">
        <v>72.753913879904701</v>
      </c>
      <c r="GH175" s="28">
        <v>2.32894348458768</v>
      </c>
      <c r="GI175" s="28">
        <v>0</v>
      </c>
      <c r="GJ175" s="28">
        <v>48</v>
      </c>
      <c r="GK175" s="28">
        <v>0.35577733541906098</v>
      </c>
      <c r="GL175" s="28">
        <v>5.2076269967821398</v>
      </c>
      <c r="GM175" s="28">
        <v>16.879636422017501</v>
      </c>
      <c r="GN175" s="28">
        <v>31.451275588049899</v>
      </c>
      <c r="GO175" s="28">
        <v>8.3379929931503796</v>
      </c>
      <c r="GP175" s="28">
        <v>0</v>
      </c>
      <c r="GQ175" s="21">
        <v>393.64213769777689</v>
      </c>
      <c r="GR175" s="21">
        <v>1284.15178226588</v>
      </c>
      <c r="GS175" s="20">
        <v>1284.15178226588</v>
      </c>
      <c r="GT175" s="20">
        <v>0</v>
      </c>
      <c r="GU175" s="20">
        <v>0</v>
      </c>
      <c r="GV175" s="20">
        <v>0</v>
      </c>
      <c r="GW175" s="20">
        <v>0</v>
      </c>
      <c r="GX175" s="21">
        <v>942.55410706217867</v>
      </c>
      <c r="GY175" s="20">
        <v>743.08145512449403</v>
      </c>
      <c r="GZ175" s="20">
        <v>199.4726519376847</v>
      </c>
      <c r="HA175" s="20"/>
      <c r="HB175" s="21">
        <v>50.994317459999998</v>
      </c>
      <c r="HC175" s="21">
        <v>2671.3423444858354</v>
      </c>
    </row>
    <row r="176" spans="1:211" s="7" customFormat="1" ht="17.25" customHeight="1">
      <c r="A176" s="7">
        <f t="shared" si="10"/>
        <v>176</v>
      </c>
      <c r="B176" s="26" t="s">
        <v>631</v>
      </c>
      <c r="C176" s="10" t="s">
        <v>632</v>
      </c>
      <c r="D176" s="28">
        <v>0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77.868028849854994</v>
      </c>
      <c r="DI176" s="28">
        <v>14.4711693840169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11.268562145569801</v>
      </c>
      <c r="ER176" s="28">
        <v>0</v>
      </c>
      <c r="ES176" s="28">
        <v>0</v>
      </c>
      <c r="ET176" s="28">
        <v>0</v>
      </c>
      <c r="EU176" s="28">
        <v>0</v>
      </c>
      <c r="EV176" s="28">
        <v>0</v>
      </c>
      <c r="EW176" s="28">
        <v>23.785143000000001</v>
      </c>
      <c r="EX176" s="28">
        <v>0</v>
      </c>
      <c r="EY176" s="28">
        <v>0</v>
      </c>
      <c r="EZ176" s="28">
        <v>0</v>
      </c>
      <c r="FA176" s="28">
        <v>0</v>
      </c>
      <c r="FB176" s="28">
        <v>0</v>
      </c>
      <c r="FC176" s="28">
        <v>0</v>
      </c>
      <c r="FD176" s="28">
        <v>0</v>
      </c>
      <c r="FE176" s="28">
        <v>0</v>
      </c>
      <c r="FF176" s="28">
        <v>0</v>
      </c>
      <c r="FG176" s="28">
        <v>0</v>
      </c>
      <c r="FH176" s="28">
        <v>0</v>
      </c>
      <c r="FI176" s="28">
        <v>0</v>
      </c>
      <c r="FJ176" s="28">
        <v>0</v>
      </c>
      <c r="FK176" s="28">
        <v>0</v>
      </c>
      <c r="FL176" s="28">
        <v>0</v>
      </c>
      <c r="FM176" s="28">
        <v>0</v>
      </c>
      <c r="FN176" s="28">
        <v>0</v>
      </c>
      <c r="FO176" s="28">
        <v>0</v>
      </c>
      <c r="FP176" s="28">
        <v>0</v>
      </c>
      <c r="FQ176" s="28">
        <v>0</v>
      </c>
      <c r="FR176" s="28">
        <v>0</v>
      </c>
      <c r="FS176" s="28">
        <v>0</v>
      </c>
      <c r="FT176" s="28">
        <v>0</v>
      </c>
      <c r="FU176" s="28">
        <v>0</v>
      </c>
      <c r="FV176" s="28">
        <v>0</v>
      </c>
      <c r="FW176" s="28">
        <v>0</v>
      </c>
      <c r="FX176" s="28">
        <v>0</v>
      </c>
      <c r="FY176" s="28">
        <v>0</v>
      </c>
      <c r="FZ176" s="28">
        <v>0</v>
      </c>
      <c r="GA176" s="28">
        <v>0</v>
      </c>
      <c r="GB176" s="28">
        <v>0</v>
      </c>
      <c r="GC176" s="28">
        <v>0</v>
      </c>
      <c r="GD176" s="28">
        <v>0</v>
      </c>
      <c r="GE176" s="28">
        <v>0</v>
      </c>
      <c r="GF176" s="28">
        <v>0</v>
      </c>
      <c r="GG176" s="28">
        <v>59.024285191895103</v>
      </c>
      <c r="GH176" s="28">
        <v>1.7667803513346899E-2</v>
      </c>
      <c r="GI176" s="28">
        <v>8.6810153242360002</v>
      </c>
      <c r="GJ176" s="28">
        <v>90.748679274914807</v>
      </c>
      <c r="GK176" s="28">
        <v>96.180183530755002</v>
      </c>
      <c r="GL176" s="28">
        <v>0</v>
      </c>
      <c r="GM176" s="28">
        <v>0</v>
      </c>
      <c r="GN176" s="28">
        <v>0</v>
      </c>
      <c r="GO176" s="28">
        <v>0</v>
      </c>
      <c r="GP176" s="28">
        <v>0</v>
      </c>
      <c r="GQ176" s="21">
        <v>382.04473450475598</v>
      </c>
      <c r="GR176" s="21">
        <v>290.44943305709398</v>
      </c>
      <c r="GS176" s="20">
        <v>290.44943305709398</v>
      </c>
      <c r="GT176" s="20">
        <v>0</v>
      </c>
      <c r="GU176" s="20">
        <v>0</v>
      </c>
      <c r="GV176" s="20">
        <v>0</v>
      </c>
      <c r="GW176" s="20">
        <v>0</v>
      </c>
      <c r="GX176" s="21">
        <v>900.31260684790175</v>
      </c>
      <c r="GY176" s="20">
        <v>692.92748149117995</v>
      </c>
      <c r="GZ176" s="20">
        <v>207.3851253567218</v>
      </c>
      <c r="HA176" s="20"/>
      <c r="HB176" s="21">
        <v>28.941762153599999</v>
      </c>
      <c r="HC176" s="21">
        <v>1601.7485365633515</v>
      </c>
    </row>
    <row r="177" spans="1:211" s="7" customFormat="1" ht="17.25" customHeight="1">
      <c r="A177" s="7">
        <f t="shared" si="10"/>
        <v>177</v>
      </c>
      <c r="B177" s="26" t="s">
        <v>633</v>
      </c>
      <c r="C177" s="10" t="s">
        <v>634</v>
      </c>
      <c r="D177" s="28">
        <v>0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2.2075132966425598E-3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0.83109126263108801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3.3973589977939998E-2</v>
      </c>
      <c r="AO177" s="28">
        <v>0</v>
      </c>
      <c r="AP177" s="28">
        <v>0</v>
      </c>
      <c r="AQ177" s="28">
        <v>1.20130070220441</v>
      </c>
      <c r="AR177" s="28">
        <v>2.7816864459707999</v>
      </c>
      <c r="AS177" s="28">
        <v>0</v>
      </c>
      <c r="AT177" s="28">
        <v>97.007360624333998</v>
      </c>
      <c r="AU177" s="28">
        <v>0</v>
      </c>
      <c r="AV177" s="28">
        <v>8.5890889914606099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  <c r="CR177" s="28">
        <v>0</v>
      </c>
      <c r="CS177" s="28">
        <v>0</v>
      </c>
      <c r="CT177" s="28">
        <v>0</v>
      </c>
      <c r="CU177" s="28">
        <v>0</v>
      </c>
      <c r="CV177" s="28">
        <v>0</v>
      </c>
      <c r="CW177" s="28">
        <v>0</v>
      </c>
      <c r="CX177" s="28">
        <v>0</v>
      </c>
      <c r="CY177" s="28">
        <v>0</v>
      </c>
      <c r="CZ177" s="28">
        <v>0</v>
      </c>
      <c r="DA177" s="28">
        <v>0</v>
      </c>
      <c r="DB177" s="28">
        <v>0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0</v>
      </c>
      <c r="DI177" s="28">
        <v>0</v>
      </c>
      <c r="DJ177" s="28">
        <v>0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0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0</v>
      </c>
      <c r="ED177" s="28">
        <v>0.64286906478498196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0</v>
      </c>
      <c r="EK177" s="28">
        <v>7.6116025575566404E-2</v>
      </c>
      <c r="EL177" s="28">
        <v>0</v>
      </c>
      <c r="EM177" s="28">
        <v>0</v>
      </c>
      <c r="EN177" s="28">
        <v>0</v>
      </c>
      <c r="EO177" s="28">
        <v>0</v>
      </c>
      <c r="EP177" s="28">
        <v>0</v>
      </c>
      <c r="EQ177" s="28">
        <v>0</v>
      </c>
      <c r="ER177" s="28">
        <v>3.46393705158843</v>
      </c>
      <c r="ES177" s="28">
        <v>0</v>
      </c>
      <c r="ET177" s="28">
        <v>0</v>
      </c>
      <c r="EU177" s="28">
        <v>0</v>
      </c>
      <c r="EV177" s="28">
        <v>0</v>
      </c>
      <c r="EW177" s="28">
        <v>0</v>
      </c>
      <c r="EX177" s="28">
        <v>7.0617343353477097E-3</v>
      </c>
      <c r="EY177" s="28">
        <v>0</v>
      </c>
      <c r="EZ177" s="28">
        <v>0</v>
      </c>
      <c r="FA177" s="28">
        <v>2.8705019842881798</v>
      </c>
      <c r="FB177" s="28">
        <v>0</v>
      </c>
      <c r="FC177" s="28">
        <v>0.65662822385280994</v>
      </c>
      <c r="FD177" s="28">
        <v>0.50097181721956896</v>
      </c>
      <c r="FE177" s="28">
        <v>2.6948807624825299</v>
      </c>
      <c r="FF177" s="28">
        <v>14.5817344251479</v>
      </c>
      <c r="FG177" s="28">
        <v>3.2152516216442999</v>
      </c>
      <c r="FH177" s="28">
        <v>7.3042591583508199E-3</v>
      </c>
      <c r="FI177" s="28">
        <v>6.4009903868456304</v>
      </c>
      <c r="FJ177" s="28">
        <v>1180.41178828172</v>
      </c>
      <c r="FK177" s="28">
        <v>6.3019999999999996</v>
      </c>
      <c r="FL177" s="28">
        <v>0</v>
      </c>
      <c r="FM177" s="28">
        <v>790.96445236010697</v>
      </c>
      <c r="FN177" s="28">
        <v>0</v>
      </c>
      <c r="FO177" s="28">
        <v>0</v>
      </c>
      <c r="FP177" s="28">
        <v>0</v>
      </c>
      <c r="FQ177" s="28">
        <v>0</v>
      </c>
      <c r="FR177" s="28">
        <v>0</v>
      </c>
      <c r="FS177" s="28">
        <v>0.58165704004749497</v>
      </c>
      <c r="FT177" s="28">
        <v>5.7255025187698303</v>
      </c>
      <c r="FU177" s="28">
        <v>6.8091530307147297</v>
      </c>
      <c r="FV177" s="28">
        <v>0</v>
      </c>
      <c r="FW177" s="28">
        <v>0</v>
      </c>
      <c r="FX177" s="28">
        <v>0</v>
      </c>
      <c r="FY177" s="28">
        <v>0</v>
      </c>
      <c r="FZ177" s="28">
        <v>0</v>
      </c>
      <c r="GA177" s="28">
        <v>2.7788794755319998E-3</v>
      </c>
      <c r="GB177" s="28">
        <v>0</v>
      </c>
      <c r="GC177" s="28">
        <v>0</v>
      </c>
      <c r="GD177" s="28">
        <v>0</v>
      </c>
      <c r="GE177" s="28">
        <v>14.4602898390305</v>
      </c>
      <c r="GF177" s="28">
        <v>33.122545801287998</v>
      </c>
      <c r="GG177" s="28">
        <v>54.423292417101401</v>
      </c>
      <c r="GH177" s="28">
        <v>0.564739790059261</v>
      </c>
      <c r="GI177" s="28">
        <v>13.8152131921512</v>
      </c>
      <c r="GJ177" s="28">
        <v>0</v>
      </c>
      <c r="GK177" s="28">
        <v>42.678143036377598</v>
      </c>
      <c r="GL177" s="28">
        <v>8.7801404789756204E-2</v>
      </c>
      <c r="GM177" s="28">
        <v>1.16650437792105</v>
      </c>
      <c r="GN177" s="28">
        <v>0</v>
      </c>
      <c r="GO177" s="28">
        <v>0</v>
      </c>
      <c r="GP177" s="28">
        <v>0</v>
      </c>
      <c r="GQ177" s="21">
        <v>2296.6808184563565</v>
      </c>
      <c r="GR177" s="21">
        <v>3808.5575386252899</v>
      </c>
      <c r="GS177" s="20">
        <v>3803.9170003852901</v>
      </c>
      <c r="GT177" s="20">
        <v>0</v>
      </c>
      <c r="GU177" s="20">
        <v>4.6405382399999997</v>
      </c>
      <c r="GV177" s="20">
        <v>4.6405382399999997</v>
      </c>
      <c r="GW177" s="20">
        <v>0</v>
      </c>
      <c r="GX177" s="21">
        <v>7241.0259579628373</v>
      </c>
      <c r="GY177" s="20">
        <v>7423.2190507278701</v>
      </c>
      <c r="GZ177" s="20">
        <v>-182.19309276503319</v>
      </c>
      <c r="HA177" s="20"/>
      <c r="HB177" s="21">
        <v>12.2720457216</v>
      </c>
      <c r="HC177" s="21">
        <v>13358.536360766084</v>
      </c>
    </row>
    <row r="178" spans="1:211" s="7" customFormat="1" ht="17.25" customHeight="1">
      <c r="A178" s="7">
        <f t="shared" si="10"/>
        <v>178</v>
      </c>
      <c r="B178" s="26" t="s">
        <v>154</v>
      </c>
      <c r="C178" s="10" t="s">
        <v>346</v>
      </c>
      <c r="D178" s="28">
        <v>0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2.3456469441070502E-3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  <c r="EU178" s="28">
        <v>0</v>
      </c>
      <c r="EV178" s="28">
        <v>0</v>
      </c>
      <c r="EW178" s="28">
        <v>0</v>
      </c>
      <c r="EX178" s="28">
        <v>2.0469323889598399E-2</v>
      </c>
      <c r="EY178" s="28">
        <v>0</v>
      </c>
      <c r="EZ178" s="28">
        <v>0</v>
      </c>
      <c r="FA178" s="28">
        <v>0</v>
      </c>
      <c r="FB178" s="28">
        <v>0</v>
      </c>
      <c r="FC178" s="28">
        <v>289.28861893653499</v>
      </c>
      <c r="FD178" s="28">
        <v>233.87879450323601</v>
      </c>
      <c r="FE178" s="28">
        <v>0</v>
      </c>
      <c r="FF178" s="28">
        <v>0</v>
      </c>
      <c r="FG178" s="28">
        <v>121.007757834711</v>
      </c>
      <c r="FH178" s="28">
        <v>0</v>
      </c>
      <c r="FI178" s="28">
        <v>0</v>
      </c>
      <c r="FJ178" s="28">
        <v>0</v>
      </c>
      <c r="FK178" s="28">
        <v>0</v>
      </c>
      <c r="FL178" s="28">
        <v>0</v>
      </c>
      <c r="FM178" s="28">
        <v>0</v>
      </c>
      <c r="FN178" s="28">
        <v>0</v>
      </c>
      <c r="FO178" s="28">
        <v>0</v>
      </c>
      <c r="FP178" s="28">
        <v>0</v>
      </c>
      <c r="FQ178" s="28">
        <v>2.0104156103747499</v>
      </c>
      <c r="FR178" s="28">
        <v>0</v>
      </c>
      <c r="FS178" s="28">
        <v>12.662814511742299</v>
      </c>
      <c r="FT178" s="28">
        <v>0</v>
      </c>
      <c r="FU178" s="28">
        <v>0</v>
      </c>
      <c r="FV178" s="28">
        <v>0</v>
      </c>
      <c r="FW178" s="28">
        <v>0</v>
      </c>
      <c r="FX178" s="28">
        <v>0</v>
      </c>
      <c r="FY178" s="28">
        <v>0</v>
      </c>
      <c r="FZ178" s="28">
        <v>0</v>
      </c>
      <c r="GA178" s="28">
        <v>0</v>
      </c>
      <c r="GB178" s="28">
        <v>0</v>
      </c>
      <c r="GC178" s="28">
        <v>0</v>
      </c>
      <c r="GD178" s="28">
        <v>0</v>
      </c>
      <c r="GE178" s="28">
        <v>0</v>
      </c>
      <c r="GF178" s="28">
        <v>0</v>
      </c>
      <c r="GG178" s="28">
        <v>39.531174687698098</v>
      </c>
      <c r="GH178" s="28">
        <v>4.58359446733391</v>
      </c>
      <c r="GI178" s="28">
        <v>0</v>
      </c>
      <c r="GJ178" s="28">
        <v>0</v>
      </c>
      <c r="GK178" s="28">
        <v>0.67714537964492905</v>
      </c>
      <c r="GL178" s="28">
        <v>0</v>
      </c>
      <c r="GM178" s="28">
        <v>0</v>
      </c>
      <c r="GN178" s="28">
        <v>0</v>
      </c>
      <c r="GO178" s="28">
        <v>0</v>
      </c>
      <c r="GP178" s="28">
        <v>0</v>
      </c>
      <c r="GQ178" s="21">
        <v>703.66313090210974</v>
      </c>
      <c r="GR178" s="21">
        <v>1056.2809455731399</v>
      </c>
      <c r="GS178" s="20">
        <v>1056.2809455731399</v>
      </c>
      <c r="GT178" s="20">
        <v>0</v>
      </c>
      <c r="GU178" s="20">
        <v>0</v>
      </c>
      <c r="GV178" s="20">
        <v>0</v>
      </c>
      <c r="GW178" s="20">
        <v>0</v>
      </c>
      <c r="GX178" s="21">
        <v>1087.7588683295648</v>
      </c>
      <c r="GY178" s="20">
        <v>1018.29725904499</v>
      </c>
      <c r="GZ178" s="20">
        <v>69.461609284574834</v>
      </c>
      <c r="HA178" s="20"/>
      <c r="HB178" s="21">
        <v>55.953656837841997</v>
      </c>
      <c r="HC178" s="21">
        <v>2903.6566016426564</v>
      </c>
    </row>
    <row r="179" spans="1:211" s="7" customFormat="1" ht="17.25" customHeight="1">
      <c r="A179" s="7">
        <f t="shared" si="10"/>
        <v>179</v>
      </c>
      <c r="B179" s="26" t="s">
        <v>157</v>
      </c>
      <c r="C179" s="9" t="s">
        <v>635</v>
      </c>
      <c r="D179" s="28">
        <v>0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  <c r="EU179" s="28">
        <v>0</v>
      </c>
      <c r="EV179" s="28">
        <v>0</v>
      </c>
      <c r="EW179" s="28">
        <v>0</v>
      </c>
      <c r="EX179" s="28">
        <v>0</v>
      </c>
      <c r="EY179" s="28">
        <v>0</v>
      </c>
      <c r="EZ179" s="28">
        <v>0</v>
      </c>
      <c r="FA179" s="28">
        <v>0</v>
      </c>
      <c r="FB179" s="28">
        <v>0</v>
      </c>
      <c r="FC179" s="28">
        <v>0</v>
      </c>
      <c r="FD179" s="28">
        <v>0</v>
      </c>
      <c r="FE179" s="28">
        <v>0</v>
      </c>
      <c r="FF179" s="28">
        <v>0</v>
      </c>
      <c r="FG179" s="28">
        <v>0</v>
      </c>
      <c r="FH179" s="28">
        <v>0</v>
      </c>
      <c r="FI179" s="28">
        <v>0</v>
      </c>
      <c r="FJ179" s="28">
        <v>0</v>
      </c>
      <c r="FK179" s="28">
        <v>0</v>
      </c>
      <c r="FL179" s="28">
        <v>0</v>
      </c>
      <c r="FM179" s="28">
        <v>0</v>
      </c>
      <c r="FN179" s="28">
        <v>0</v>
      </c>
      <c r="FO179" s="28">
        <v>0</v>
      </c>
      <c r="FP179" s="28">
        <v>0</v>
      </c>
      <c r="FQ179" s="28">
        <v>0</v>
      </c>
      <c r="FR179" s="28">
        <v>0</v>
      </c>
      <c r="FS179" s="28">
        <v>0</v>
      </c>
      <c r="FT179" s="28">
        <v>0</v>
      </c>
      <c r="FU179" s="28">
        <v>0</v>
      </c>
      <c r="FV179" s="28">
        <v>0</v>
      </c>
      <c r="FW179" s="28">
        <v>29.803503249999999</v>
      </c>
      <c r="FX179" s="28">
        <v>0</v>
      </c>
      <c r="FY179" s="28">
        <v>0</v>
      </c>
      <c r="FZ179" s="28">
        <v>0</v>
      </c>
      <c r="GA179" s="28">
        <v>0</v>
      </c>
      <c r="GB179" s="28">
        <v>0</v>
      </c>
      <c r="GC179" s="28">
        <v>0</v>
      </c>
      <c r="GD179" s="28">
        <v>0</v>
      </c>
      <c r="GE179" s="28">
        <v>0</v>
      </c>
      <c r="GF179" s="28">
        <v>0</v>
      </c>
      <c r="GG179" s="28">
        <v>0</v>
      </c>
      <c r="GH179" s="28">
        <v>0</v>
      </c>
      <c r="GI179" s="28">
        <v>0</v>
      </c>
      <c r="GJ179" s="28">
        <v>0</v>
      </c>
      <c r="GK179" s="28">
        <v>0</v>
      </c>
      <c r="GL179" s="28">
        <v>0</v>
      </c>
      <c r="GM179" s="28">
        <v>0</v>
      </c>
      <c r="GN179" s="28">
        <v>0</v>
      </c>
      <c r="GO179" s="28">
        <v>0</v>
      </c>
      <c r="GP179" s="28">
        <v>0</v>
      </c>
      <c r="GQ179" s="21">
        <v>29.803503249999999</v>
      </c>
      <c r="GR179" s="21">
        <v>337.91560898981101</v>
      </c>
      <c r="GS179" s="20">
        <v>337.91560898981101</v>
      </c>
      <c r="GT179" s="20">
        <v>0</v>
      </c>
      <c r="GU179" s="20">
        <v>0</v>
      </c>
      <c r="GV179" s="20">
        <v>0</v>
      </c>
      <c r="GW179" s="20">
        <v>0</v>
      </c>
      <c r="GX179" s="21">
        <v>789.76658199016481</v>
      </c>
      <c r="GY179" s="20">
        <v>0</v>
      </c>
      <c r="GZ179" s="20">
        <v>102.07501392897881</v>
      </c>
      <c r="HA179" s="20">
        <v>687.69156806118599</v>
      </c>
      <c r="HB179" s="21">
        <v>1073.75424842853</v>
      </c>
      <c r="HC179" s="21">
        <v>2231.2399426585057</v>
      </c>
    </row>
    <row r="180" spans="1:211" s="7" customFormat="1" ht="17.25" customHeight="1">
      <c r="A180" s="7">
        <f t="shared" si="10"/>
        <v>180</v>
      </c>
      <c r="B180" s="26" t="s">
        <v>158</v>
      </c>
      <c r="C180" s="10" t="s">
        <v>636</v>
      </c>
      <c r="D180" s="28">
        <v>0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8.4894411659182198E-2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  <c r="EU180" s="28">
        <v>0</v>
      </c>
      <c r="EV180" s="28">
        <v>0</v>
      </c>
      <c r="EW180" s="28">
        <v>0</v>
      </c>
      <c r="EX180" s="28">
        <v>0</v>
      </c>
      <c r="EY180" s="28">
        <v>0</v>
      </c>
      <c r="EZ180" s="28">
        <v>0</v>
      </c>
      <c r="FA180" s="28">
        <v>0</v>
      </c>
      <c r="FB180" s="28">
        <v>0</v>
      </c>
      <c r="FC180" s="28">
        <v>0</v>
      </c>
      <c r="FD180" s="28">
        <v>1.2192138366028201E-2</v>
      </c>
      <c r="FE180" s="28">
        <v>0</v>
      </c>
      <c r="FF180" s="28">
        <v>0</v>
      </c>
      <c r="FG180" s="28">
        <v>2.9578431849284499</v>
      </c>
      <c r="FH180" s="28">
        <v>0</v>
      </c>
      <c r="FI180" s="28">
        <v>0</v>
      </c>
      <c r="FJ180" s="28">
        <v>0</v>
      </c>
      <c r="FK180" s="28">
        <v>0</v>
      </c>
      <c r="FL180" s="28">
        <v>0</v>
      </c>
      <c r="FM180" s="28">
        <v>0</v>
      </c>
      <c r="FN180" s="28">
        <v>0</v>
      </c>
      <c r="FO180" s="28">
        <v>0</v>
      </c>
      <c r="FP180" s="28">
        <v>0</v>
      </c>
      <c r="FQ180" s="28">
        <v>0</v>
      </c>
      <c r="FR180" s="28">
        <v>0</v>
      </c>
      <c r="FS180" s="28">
        <v>0</v>
      </c>
      <c r="FT180" s="28">
        <v>0</v>
      </c>
      <c r="FU180" s="28">
        <v>0</v>
      </c>
      <c r="FV180" s="28">
        <v>0</v>
      </c>
      <c r="FW180" s="28">
        <v>0</v>
      </c>
      <c r="FX180" s="28">
        <v>0</v>
      </c>
      <c r="FY180" s="28">
        <v>0</v>
      </c>
      <c r="FZ180" s="28">
        <v>0</v>
      </c>
      <c r="GA180" s="28">
        <v>0</v>
      </c>
      <c r="GB180" s="28">
        <v>0</v>
      </c>
      <c r="GC180" s="28">
        <v>0</v>
      </c>
      <c r="GD180" s="28">
        <v>0</v>
      </c>
      <c r="GE180" s="28">
        <v>0</v>
      </c>
      <c r="GF180" s="28">
        <v>0</v>
      </c>
      <c r="GG180" s="28">
        <v>102.107856995587</v>
      </c>
      <c r="GH180" s="28">
        <v>3.4534670396734399</v>
      </c>
      <c r="GI180" s="28">
        <v>6.5472103755019999</v>
      </c>
      <c r="GJ180" s="28">
        <v>0</v>
      </c>
      <c r="GK180" s="28">
        <v>1.3750470253203999</v>
      </c>
      <c r="GL180" s="28">
        <v>0</v>
      </c>
      <c r="GM180" s="28">
        <v>0</v>
      </c>
      <c r="GN180" s="28">
        <v>0</v>
      </c>
      <c r="GO180" s="28">
        <v>0</v>
      </c>
      <c r="GP180" s="28">
        <v>0</v>
      </c>
      <c r="GQ180" s="21">
        <v>116.5385111710365</v>
      </c>
      <c r="GR180" s="21">
        <v>568.48137301094403</v>
      </c>
      <c r="GS180" s="20">
        <v>548.85246141507503</v>
      </c>
      <c r="GT180" s="20">
        <v>5.3302279822600021</v>
      </c>
      <c r="GU180" s="20">
        <v>14.298683613608958</v>
      </c>
      <c r="GV180" s="20">
        <v>14.298683613608958</v>
      </c>
      <c r="GW180" s="20">
        <v>0</v>
      </c>
      <c r="GX180" s="21">
        <v>68.08804494994088</v>
      </c>
      <c r="GY180" s="20">
        <v>19.6877982741726</v>
      </c>
      <c r="GZ180" s="20">
        <v>48.40024667576828</v>
      </c>
      <c r="HA180" s="20"/>
      <c r="HB180" s="21">
        <v>8.1377744152849303</v>
      </c>
      <c r="HC180" s="21">
        <v>761.2457035472064</v>
      </c>
    </row>
    <row r="181" spans="1:211" s="7" customFormat="1" ht="17.25" customHeight="1">
      <c r="A181" s="7">
        <f t="shared" si="10"/>
        <v>181</v>
      </c>
      <c r="B181" s="26" t="s">
        <v>637</v>
      </c>
      <c r="C181" s="10" t="s">
        <v>638</v>
      </c>
      <c r="D181" s="28">
        <v>6.0780315128154003E-2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3.2542826885233402E-3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1.5048167311865199E-3</v>
      </c>
      <c r="AF181" s="28">
        <v>13.172360778128301</v>
      </c>
      <c r="AG181" s="28">
        <v>0</v>
      </c>
      <c r="AH181" s="28">
        <v>0</v>
      </c>
      <c r="AI181" s="28">
        <v>0</v>
      </c>
      <c r="AJ181" s="28">
        <v>4.8660731759193901E-2</v>
      </c>
      <c r="AK181" s="28">
        <v>0</v>
      </c>
      <c r="AL181" s="28">
        <v>0</v>
      </c>
      <c r="AM181" s="28">
        <v>0.63888615399029702</v>
      </c>
      <c r="AN181" s="28">
        <v>0.37713956042046898</v>
      </c>
      <c r="AO181" s="28">
        <v>0</v>
      </c>
      <c r="AP181" s="28">
        <v>1.2123622975294801</v>
      </c>
      <c r="AQ181" s="28">
        <v>5.9767583256088903</v>
      </c>
      <c r="AR181" s="28">
        <v>0</v>
      </c>
      <c r="AS181" s="28">
        <v>0</v>
      </c>
      <c r="AT181" s="28">
        <v>9.1231559789150101</v>
      </c>
      <c r="AU181" s="28">
        <v>12.994178710179201</v>
      </c>
      <c r="AV181" s="28">
        <v>12.741290722633501</v>
      </c>
      <c r="AW181" s="28">
        <v>3.8366068173288501</v>
      </c>
      <c r="AX181" s="28">
        <v>10.083079440375201</v>
      </c>
      <c r="AY181" s="28">
        <v>1.2424662727444699E-2</v>
      </c>
      <c r="AZ181" s="28">
        <v>0.10987027591602901</v>
      </c>
      <c r="BA181" s="28">
        <v>1.07775171432923E-2</v>
      </c>
      <c r="BB181" s="28">
        <v>4.8278397732867601E-2</v>
      </c>
      <c r="BC181" s="28">
        <v>8.3425862080557902</v>
      </c>
      <c r="BD181" s="28">
        <v>0.44087435971660199</v>
      </c>
      <c r="BE181" s="28">
        <v>0</v>
      </c>
      <c r="BF181" s="28">
        <v>0</v>
      </c>
      <c r="BG181" s="28">
        <v>7.8215683429377195E-2</v>
      </c>
      <c r="BH181" s="28">
        <v>2.5336769328145099</v>
      </c>
      <c r="BI181" s="28">
        <v>0.67745318898664897</v>
      </c>
      <c r="BJ181" s="28">
        <v>0.30193336003953503</v>
      </c>
      <c r="BK181" s="28">
        <v>0</v>
      </c>
      <c r="BL181" s="28">
        <v>0.22326007078236301</v>
      </c>
      <c r="BM181" s="28">
        <v>2.7950023890813198E-2</v>
      </c>
      <c r="BN181" s="28">
        <v>0.14387777268787399</v>
      </c>
      <c r="BO181" s="28">
        <v>0.40020216548617799</v>
      </c>
      <c r="BP181" s="28">
        <v>4.8787941279156599E-4</v>
      </c>
      <c r="BQ181" s="28">
        <v>0.49997216242018</v>
      </c>
      <c r="BR181" s="28">
        <v>9.4739217456644001E-2</v>
      </c>
      <c r="BS181" s="28">
        <v>0</v>
      </c>
      <c r="BT181" s="28">
        <v>0</v>
      </c>
      <c r="BU181" s="28">
        <v>9.63043965692858E-2</v>
      </c>
      <c r="BV181" s="28">
        <v>3.0524306677093498</v>
      </c>
      <c r="BW181" s="28">
        <v>0</v>
      </c>
      <c r="BX181" s="28">
        <v>0.23450374582833999</v>
      </c>
      <c r="BY181" s="28">
        <v>6.8754544157735298E-2</v>
      </c>
      <c r="BZ181" s="28">
        <v>5.8497212320127799E-2</v>
      </c>
      <c r="CA181" s="28">
        <v>0.46442296954766799</v>
      </c>
      <c r="CB181" s="28">
        <v>0.41098793578257398</v>
      </c>
      <c r="CC181" s="28">
        <v>2.2528458175834699E-2</v>
      </c>
      <c r="CD181" s="28">
        <v>0.295981859505064</v>
      </c>
      <c r="CE181" s="28">
        <v>0.100641314527822</v>
      </c>
      <c r="CF181" s="28">
        <v>0</v>
      </c>
      <c r="CG181" s="28">
        <v>0.63596235105607601</v>
      </c>
      <c r="CH181" s="28">
        <v>0.172206403838956</v>
      </c>
      <c r="CI181" s="28">
        <v>0.34388658404350297</v>
      </c>
      <c r="CJ181" s="28">
        <v>8.9114256071494202E-2</v>
      </c>
      <c r="CK181" s="28">
        <v>0.114710010588169</v>
      </c>
      <c r="CL181" s="28">
        <v>6.9548194764326193E-2</v>
      </c>
      <c r="CM181" s="28">
        <v>1.3114881652038901</v>
      </c>
      <c r="CN181" s="28">
        <v>2.4077484384179101E-2</v>
      </c>
      <c r="CO181" s="28">
        <v>5.0504751503467601E-2</v>
      </c>
      <c r="CP181" s="28">
        <v>0.61731928586959794</v>
      </c>
      <c r="CQ181" s="28">
        <v>2.6168742179870601</v>
      </c>
      <c r="CR181" s="28">
        <v>0.219965378064513</v>
      </c>
      <c r="CS181" s="28">
        <v>3.6627392548899298E-3</v>
      </c>
      <c r="CT181" s="28">
        <v>47.854582585779802</v>
      </c>
      <c r="CU181" s="28">
        <v>2.06512838832086</v>
      </c>
      <c r="CV181" s="28">
        <v>0.42462415643530399</v>
      </c>
      <c r="CW181" s="28">
        <v>2.2700912396586799</v>
      </c>
      <c r="CX181" s="28">
        <v>6.6202079317487401</v>
      </c>
      <c r="CY181" s="28">
        <v>1.1956416885280701</v>
      </c>
      <c r="CZ181" s="28">
        <v>0.107218380261613</v>
      </c>
      <c r="DA181" s="28">
        <v>0.97667011230978495</v>
      </c>
      <c r="DB181" s="28">
        <v>3.7093784853181702</v>
      </c>
      <c r="DC181" s="28">
        <v>0.90703013839531899</v>
      </c>
      <c r="DD181" s="28">
        <v>0</v>
      </c>
      <c r="DE181" s="28">
        <v>0</v>
      </c>
      <c r="DF181" s="28">
        <v>0.15977952873179299</v>
      </c>
      <c r="DG181" s="28">
        <v>3.0503332542373598</v>
      </c>
      <c r="DH181" s="28">
        <v>4.9413059139252802</v>
      </c>
      <c r="DI181" s="28">
        <v>0.95209166322345196</v>
      </c>
      <c r="DJ181" s="28">
        <v>1.3432205160041499</v>
      </c>
      <c r="DK181" s="28">
        <v>7.06371827636018E-2</v>
      </c>
      <c r="DL181" s="28">
        <v>1.9282477630925099</v>
      </c>
      <c r="DM181" s="28">
        <v>0.47653466431049901</v>
      </c>
      <c r="DN181" s="28">
        <v>1.3588431551275899</v>
      </c>
      <c r="DO181" s="28">
        <v>5.92388095789146E-2</v>
      </c>
      <c r="DP181" s="28">
        <v>0</v>
      </c>
      <c r="DQ181" s="28">
        <v>2.2006654416044702</v>
      </c>
      <c r="DR181" s="28">
        <v>27.8189317510646</v>
      </c>
      <c r="DS181" s="28">
        <v>0.52161013612428597</v>
      </c>
      <c r="DT181" s="28">
        <v>5.8728653808312499E-2</v>
      </c>
      <c r="DU181" s="28">
        <v>2.5557398403814102</v>
      </c>
      <c r="DV181" s="28">
        <v>0.50323750680382595</v>
      </c>
      <c r="DW181" s="28">
        <v>0</v>
      </c>
      <c r="DX181" s="28">
        <v>0.62371601760213302</v>
      </c>
      <c r="DY181" s="28">
        <v>1.3150178137958799</v>
      </c>
      <c r="DZ181" s="28">
        <v>3.1276313223524599</v>
      </c>
      <c r="EA181" s="28">
        <v>8.7891617728428593E-3</v>
      </c>
      <c r="EB181" s="28">
        <v>1.31371274184904</v>
      </c>
      <c r="EC181" s="28">
        <v>1.3224614852056999</v>
      </c>
      <c r="ED181" s="28">
        <v>12.168715698043901</v>
      </c>
      <c r="EE181" s="28">
        <v>7.5301431787961803</v>
      </c>
      <c r="EF181" s="28">
        <v>0.80044865151569</v>
      </c>
      <c r="EG181" s="28">
        <v>1.09770721883492</v>
      </c>
      <c r="EH181" s="28">
        <v>0.379032093742104</v>
      </c>
      <c r="EI181" s="28">
        <v>0.177470049273629</v>
      </c>
      <c r="EJ181" s="28">
        <v>1.54278409937293</v>
      </c>
      <c r="EK181" s="28">
        <v>5.0983845776248302E-2</v>
      </c>
      <c r="EL181" s="28">
        <v>1.2283840364899801</v>
      </c>
      <c r="EM181" s="28">
        <v>3.1618066678072701E-3</v>
      </c>
      <c r="EN181" s="28">
        <v>0.24293300302832199</v>
      </c>
      <c r="EO181" s="28">
        <v>9.4180896153527591</v>
      </c>
      <c r="EP181" s="28">
        <v>0</v>
      </c>
      <c r="EQ181" s="28">
        <v>0.58812396169315895</v>
      </c>
      <c r="ER181" s="28">
        <v>1.1291417074619601</v>
      </c>
      <c r="ES181" s="28">
        <v>7.7344056619906898E-2</v>
      </c>
      <c r="ET181" s="28">
        <v>0.170213454018352</v>
      </c>
      <c r="EU181" s="28">
        <v>4.1290109525700296E-3</v>
      </c>
      <c r="EV181" s="28">
        <v>1.2038868629824799</v>
      </c>
      <c r="EW181" s="28">
        <v>1.54747991221144</v>
      </c>
      <c r="EX181" s="28">
        <v>7.1350938374174602</v>
      </c>
      <c r="EY181" s="28">
        <v>0.41140931160888</v>
      </c>
      <c r="EZ181" s="28">
        <v>4.1400675189814304</v>
      </c>
      <c r="FA181" s="28">
        <v>3.2199731062214498</v>
      </c>
      <c r="FB181" s="28">
        <v>4.1349360247258602</v>
      </c>
      <c r="FC181" s="28">
        <v>3.2967915431799701</v>
      </c>
      <c r="FD181" s="28">
        <v>54.854526567173501</v>
      </c>
      <c r="FE181" s="28">
        <v>1.02939835874359</v>
      </c>
      <c r="FF181" s="28">
        <v>5.47232729189097</v>
      </c>
      <c r="FG181" s="28">
        <v>105.563579736861</v>
      </c>
      <c r="FH181" s="28">
        <v>0.129507194382046</v>
      </c>
      <c r="FI181" s="28">
        <v>111.449522980532</v>
      </c>
      <c r="FJ181" s="28">
        <v>1.0145347695495699</v>
      </c>
      <c r="FK181" s="28">
        <v>2.3220000000000001</v>
      </c>
      <c r="FL181" s="28">
        <v>10.129506399079901</v>
      </c>
      <c r="FM181" s="28">
        <v>1.02692997226622</v>
      </c>
      <c r="FN181" s="28">
        <v>5.4104998108883002</v>
      </c>
      <c r="FO181" s="28">
        <v>0.36026352792968103</v>
      </c>
      <c r="FP181" s="28">
        <v>2.4074879835897698</v>
      </c>
      <c r="FQ181" s="28">
        <v>14.212129439886599</v>
      </c>
      <c r="FR181" s="28">
        <v>0.79268294602067801</v>
      </c>
      <c r="FS181" s="28">
        <v>17.2654028560599</v>
      </c>
      <c r="FT181" s="28">
        <v>0.293234308168692</v>
      </c>
      <c r="FU181" s="28">
        <v>45.633440152761402</v>
      </c>
      <c r="FV181" s="28">
        <v>5.0877497238899299</v>
      </c>
      <c r="FW181" s="28">
        <v>2.3772737400000001</v>
      </c>
      <c r="FX181" s="28">
        <v>1.1469987188736399</v>
      </c>
      <c r="FY181" s="28">
        <v>51.463662429999999</v>
      </c>
      <c r="FZ181" s="28">
        <v>4.1191129000000002</v>
      </c>
      <c r="GA181" s="28">
        <v>7.9212615762041007E-3</v>
      </c>
      <c r="GB181" s="28">
        <v>7.7532078402539604</v>
      </c>
      <c r="GC181" s="28">
        <v>5.5672112646740803</v>
      </c>
      <c r="GD181" s="28">
        <v>8.66767362786665</v>
      </c>
      <c r="GE181" s="28">
        <v>41.870188184025899</v>
      </c>
      <c r="GF181" s="28">
        <v>38.256234244087601</v>
      </c>
      <c r="GG181" s="28">
        <v>103.366115347329</v>
      </c>
      <c r="GH181" s="28">
        <v>39.256155305261103</v>
      </c>
      <c r="GI181" s="28">
        <v>57.5415910809404</v>
      </c>
      <c r="GJ181" s="28">
        <v>11.8941713085533</v>
      </c>
      <c r="GK181" s="28">
        <v>53.878542069833898</v>
      </c>
      <c r="GL181" s="28">
        <v>32.973503861315002</v>
      </c>
      <c r="GM181" s="28">
        <v>1.04390557821017</v>
      </c>
      <c r="GN181" s="28">
        <v>0.44105954727723601</v>
      </c>
      <c r="GO181" s="28">
        <v>80.365028504532205</v>
      </c>
      <c r="GP181" s="28">
        <v>0</v>
      </c>
      <c r="GQ181" s="21">
        <v>1205.2747436062389</v>
      </c>
      <c r="GR181" s="21">
        <v>540.97777349443299</v>
      </c>
      <c r="GS181" s="20">
        <v>533.43163817480172</v>
      </c>
      <c r="GT181" s="20">
        <v>0</v>
      </c>
      <c r="GU181" s="20">
        <v>7.5461353196313024</v>
      </c>
      <c r="GV181" s="20">
        <v>7.5461353196313024</v>
      </c>
      <c r="GW181" s="20">
        <v>0</v>
      </c>
      <c r="GX181" s="21">
        <v>162.82680256727829</v>
      </c>
      <c r="GY181" s="20">
        <v>160.97811248726799</v>
      </c>
      <c r="GZ181" s="20">
        <v>1.8486900800103001</v>
      </c>
      <c r="HA181" s="20"/>
      <c r="HB181" s="21">
        <v>20.1848474225717</v>
      </c>
      <c r="HC181" s="21">
        <v>1929.2641670905218</v>
      </c>
    </row>
    <row r="182" spans="1:211" s="7" customFormat="1" ht="17.25" customHeight="1">
      <c r="A182" s="7">
        <f t="shared" si="10"/>
        <v>182</v>
      </c>
      <c r="B182" s="26" t="s">
        <v>639</v>
      </c>
      <c r="C182" s="10" t="s">
        <v>640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1.01640372418706</v>
      </c>
      <c r="AF182" s="28">
        <v>116.11051921799201</v>
      </c>
      <c r="AG182" s="28">
        <v>0</v>
      </c>
      <c r="AH182" s="28">
        <v>0</v>
      </c>
      <c r="AI182" s="28">
        <v>0</v>
      </c>
      <c r="AJ182" s="28">
        <v>2.6578224262052199</v>
      </c>
      <c r="AK182" s="28">
        <v>1.1156050266567401</v>
      </c>
      <c r="AL182" s="28">
        <v>18.7892636461001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0.11570994150689499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6.3614949776469203</v>
      </c>
      <c r="CH182" s="28">
        <v>0</v>
      </c>
      <c r="CI182" s="28">
        <v>0</v>
      </c>
      <c r="CJ182" s="28">
        <v>0</v>
      </c>
      <c r="CK182" s="28">
        <v>0.52489185333251998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  <c r="CR182" s="28">
        <v>0</v>
      </c>
      <c r="CS182" s="28">
        <v>0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0</v>
      </c>
      <c r="CZ182" s="28">
        <v>0</v>
      </c>
      <c r="DA182" s="28">
        <v>0</v>
      </c>
      <c r="DB182" s="28">
        <v>0</v>
      </c>
      <c r="DC182" s="28">
        <v>0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0</v>
      </c>
      <c r="DL182" s="28">
        <v>0</v>
      </c>
      <c r="DM182" s="28">
        <v>0</v>
      </c>
      <c r="DN182" s="28">
        <v>0</v>
      </c>
      <c r="DO182" s="28">
        <v>0</v>
      </c>
      <c r="DP182" s="28">
        <v>0</v>
      </c>
      <c r="DQ182" s="28">
        <v>0</v>
      </c>
      <c r="DR182" s="28">
        <v>0</v>
      </c>
      <c r="DS182" s="28">
        <v>0</v>
      </c>
      <c r="DT182" s="28">
        <v>0</v>
      </c>
      <c r="DU182" s="28">
        <v>0</v>
      </c>
      <c r="DV182" s="28">
        <v>0</v>
      </c>
      <c r="DW182" s="28">
        <v>0</v>
      </c>
      <c r="DX182" s="28">
        <v>0</v>
      </c>
      <c r="DY182" s="28">
        <v>0</v>
      </c>
      <c r="DZ182" s="28">
        <v>0</v>
      </c>
      <c r="EA182" s="28">
        <v>0</v>
      </c>
      <c r="EB182" s="28">
        <v>0</v>
      </c>
      <c r="EC182" s="28">
        <v>0</v>
      </c>
      <c r="ED182" s="28">
        <v>0</v>
      </c>
      <c r="EE182" s="28">
        <v>0</v>
      </c>
      <c r="EF182" s="28">
        <v>0</v>
      </c>
      <c r="EG182" s="28">
        <v>0</v>
      </c>
      <c r="EH182" s="28">
        <v>0</v>
      </c>
      <c r="EI182" s="28">
        <v>0</v>
      </c>
      <c r="EJ182" s="28">
        <v>0</v>
      </c>
      <c r="EK182" s="28">
        <v>0</v>
      </c>
      <c r="EL182" s="28">
        <v>0</v>
      </c>
      <c r="EM182" s="28">
        <v>0</v>
      </c>
      <c r="EN182" s="28">
        <v>0</v>
      </c>
      <c r="EO182" s="28">
        <v>0</v>
      </c>
      <c r="EP182" s="28">
        <v>0</v>
      </c>
      <c r="EQ182" s="28">
        <v>0</v>
      </c>
      <c r="ER182" s="28">
        <v>0</v>
      </c>
      <c r="ES182" s="28">
        <v>0</v>
      </c>
      <c r="ET182" s="28">
        <v>0</v>
      </c>
      <c r="EU182" s="28">
        <v>0</v>
      </c>
      <c r="EV182" s="28">
        <v>0.89639540856966704</v>
      </c>
      <c r="EW182" s="28">
        <v>0</v>
      </c>
      <c r="EX182" s="28">
        <v>0</v>
      </c>
      <c r="EY182" s="28">
        <v>0</v>
      </c>
      <c r="EZ182" s="28">
        <v>0</v>
      </c>
      <c r="FA182" s="28">
        <v>0</v>
      </c>
      <c r="FB182" s="28">
        <v>0</v>
      </c>
      <c r="FC182" s="28">
        <v>0</v>
      </c>
      <c r="FD182" s="28">
        <v>0</v>
      </c>
      <c r="FE182" s="28">
        <v>0</v>
      </c>
      <c r="FF182" s="28">
        <v>0</v>
      </c>
      <c r="FG182" s="28">
        <v>0</v>
      </c>
      <c r="FH182" s="28">
        <v>0</v>
      </c>
      <c r="FI182" s="28">
        <v>0</v>
      </c>
      <c r="FJ182" s="28">
        <v>0</v>
      </c>
      <c r="FK182" s="28">
        <v>0</v>
      </c>
      <c r="FL182" s="28">
        <v>0</v>
      </c>
      <c r="FM182" s="28">
        <v>0</v>
      </c>
      <c r="FN182" s="28">
        <v>0</v>
      </c>
      <c r="FO182" s="28">
        <v>0</v>
      </c>
      <c r="FP182" s="28">
        <v>0</v>
      </c>
      <c r="FQ182" s="28">
        <v>0</v>
      </c>
      <c r="FR182" s="28">
        <v>0</v>
      </c>
      <c r="FS182" s="28">
        <v>0</v>
      </c>
      <c r="FT182" s="28">
        <v>0</v>
      </c>
      <c r="FU182" s="28">
        <v>0</v>
      </c>
      <c r="FV182" s="28">
        <v>0</v>
      </c>
      <c r="FW182" s="28">
        <v>0</v>
      </c>
      <c r="FX182" s="28">
        <v>0</v>
      </c>
      <c r="FY182" s="28">
        <v>0</v>
      </c>
      <c r="FZ182" s="28">
        <v>0</v>
      </c>
      <c r="GA182" s="28">
        <v>0</v>
      </c>
      <c r="GB182" s="28">
        <v>0</v>
      </c>
      <c r="GC182" s="28">
        <v>0</v>
      </c>
      <c r="GD182" s="28">
        <v>0</v>
      </c>
      <c r="GE182" s="28">
        <v>0</v>
      </c>
      <c r="GF182" s="28">
        <v>0</v>
      </c>
      <c r="GG182" s="28">
        <v>0</v>
      </c>
      <c r="GH182" s="28">
        <v>5.8662337434106301E-2</v>
      </c>
      <c r="GI182" s="28">
        <v>0</v>
      </c>
      <c r="GJ182" s="28">
        <v>0</v>
      </c>
      <c r="GK182" s="28">
        <v>0</v>
      </c>
      <c r="GL182" s="28">
        <v>0</v>
      </c>
      <c r="GM182" s="28">
        <v>0</v>
      </c>
      <c r="GN182" s="28">
        <v>0</v>
      </c>
      <c r="GO182" s="28">
        <v>0</v>
      </c>
      <c r="GP182" s="28">
        <v>0</v>
      </c>
      <c r="GQ182" s="21">
        <v>147.64676855963117</v>
      </c>
      <c r="GR182" s="21">
        <v>18.570174795029502</v>
      </c>
      <c r="GS182" s="20">
        <v>18.570174795029502</v>
      </c>
      <c r="GT182" s="20">
        <v>0</v>
      </c>
      <c r="GU182" s="20">
        <v>0</v>
      </c>
      <c r="GV182" s="20">
        <v>0</v>
      </c>
      <c r="GW182" s="20">
        <v>0</v>
      </c>
      <c r="GX182" s="21">
        <v>6.430238250615516</v>
      </c>
      <c r="GY182" s="20">
        <v>0</v>
      </c>
      <c r="GZ182" s="20">
        <v>6.430238250615516</v>
      </c>
      <c r="HA182" s="20"/>
      <c r="HB182" s="21">
        <v>5.8156366608000001</v>
      </c>
      <c r="HC182" s="21">
        <v>178.46281826607617</v>
      </c>
    </row>
    <row r="183" spans="1:211" s="7" customFormat="1" ht="17.25" customHeight="1">
      <c r="A183" s="7">
        <f t="shared" si="10"/>
        <v>183</v>
      </c>
      <c r="B183" s="26" t="s">
        <v>641</v>
      </c>
      <c r="C183" s="9" t="s">
        <v>642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  <c r="CR183" s="28">
        <v>0</v>
      </c>
      <c r="CS183" s="28">
        <v>0</v>
      </c>
      <c r="CT183" s="28">
        <v>0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119.78095989258399</v>
      </c>
      <c r="DC183" s="28">
        <v>0</v>
      </c>
      <c r="DD183" s="28">
        <v>1.44765717667741</v>
      </c>
      <c r="DE183" s="28">
        <v>0</v>
      </c>
      <c r="DF183" s="28">
        <v>8.0924695568612606</v>
      </c>
      <c r="DG183" s="28">
        <v>92.167681971410104</v>
      </c>
      <c r="DH183" s="28">
        <v>0</v>
      </c>
      <c r="DI183" s="28">
        <v>0</v>
      </c>
      <c r="DJ183" s="28">
        <v>0</v>
      </c>
      <c r="DK183" s="28">
        <v>0</v>
      </c>
      <c r="DL183" s="28">
        <v>7.3155409275678398</v>
      </c>
      <c r="DM183" s="28">
        <v>0</v>
      </c>
      <c r="DN183" s="28">
        <v>0</v>
      </c>
      <c r="DO183" s="28">
        <v>0</v>
      </c>
      <c r="DP183" s="28">
        <v>0</v>
      </c>
      <c r="DQ183" s="28">
        <v>0</v>
      </c>
      <c r="DR183" s="28">
        <v>0</v>
      </c>
      <c r="DS183" s="28">
        <v>0</v>
      </c>
      <c r="DT183" s="28">
        <v>0.77344166896989897</v>
      </c>
      <c r="DU183" s="28">
        <v>35.332655463883903</v>
      </c>
      <c r="DV183" s="28">
        <v>0</v>
      </c>
      <c r="DW183" s="28">
        <v>0</v>
      </c>
      <c r="DX183" s="28">
        <v>14.279025597816799</v>
      </c>
      <c r="DY183" s="28">
        <v>0</v>
      </c>
      <c r="DZ183" s="28">
        <v>0</v>
      </c>
      <c r="EA183" s="28">
        <v>0</v>
      </c>
      <c r="EB183" s="28">
        <v>0</v>
      </c>
      <c r="EC183" s="28">
        <v>0</v>
      </c>
      <c r="ED183" s="28">
        <v>7.5754137416485996</v>
      </c>
      <c r="EE183" s="28">
        <v>0</v>
      </c>
      <c r="EF183" s="28">
        <v>0</v>
      </c>
      <c r="EG183" s="28">
        <v>0</v>
      </c>
      <c r="EH183" s="28">
        <v>0</v>
      </c>
      <c r="EI183" s="28">
        <v>0</v>
      </c>
      <c r="EJ183" s="28">
        <v>12.3</v>
      </c>
      <c r="EK183" s="28">
        <v>0.36926689772797899</v>
      </c>
      <c r="EL183" s="28">
        <v>17.887774950486001</v>
      </c>
      <c r="EM183" s="28">
        <v>0</v>
      </c>
      <c r="EN183" s="28">
        <v>0</v>
      </c>
      <c r="EO183" s="28">
        <v>0</v>
      </c>
      <c r="EP183" s="28">
        <v>0</v>
      </c>
      <c r="EQ183" s="28">
        <v>0</v>
      </c>
      <c r="ER183" s="28">
        <v>2.3428221880431099</v>
      </c>
      <c r="ES183" s="28">
        <v>4.1274366426507996</v>
      </c>
      <c r="ET183" s="28">
        <v>0</v>
      </c>
      <c r="EU183" s="28">
        <v>0</v>
      </c>
      <c r="EV183" s="28">
        <v>0</v>
      </c>
      <c r="EW183" s="28">
        <v>0</v>
      </c>
      <c r="EX183" s="28">
        <v>0</v>
      </c>
      <c r="EY183" s="28">
        <v>0</v>
      </c>
      <c r="EZ183" s="28">
        <v>0</v>
      </c>
      <c r="FA183" s="28">
        <v>0</v>
      </c>
      <c r="FB183" s="28">
        <v>16.510000000000002</v>
      </c>
      <c r="FC183" s="28">
        <v>0</v>
      </c>
      <c r="FD183" s="28">
        <v>0</v>
      </c>
      <c r="FE183" s="28">
        <v>0</v>
      </c>
      <c r="FF183" s="28">
        <v>0</v>
      </c>
      <c r="FG183" s="28">
        <v>0</v>
      </c>
      <c r="FH183" s="28">
        <v>0</v>
      </c>
      <c r="FI183" s="28">
        <v>0</v>
      </c>
      <c r="FJ183" s="28">
        <v>0</v>
      </c>
      <c r="FK183" s="28">
        <v>0</v>
      </c>
      <c r="FL183" s="28">
        <v>0</v>
      </c>
      <c r="FM183" s="28">
        <v>0</v>
      </c>
      <c r="FN183" s="28">
        <v>0</v>
      </c>
      <c r="FO183" s="28">
        <v>0</v>
      </c>
      <c r="FP183" s="28">
        <v>0</v>
      </c>
      <c r="FQ183" s="28">
        <v>0</v>
      </c>
      <c r="FR183" s="28">
        <v>0</v>
      </c>
      <c r="FS183" s="28">
        <v>0</v>
      </c>
      <c r="FT183" s="28">
        <v>0</v>
      </c>
      <c r="FU183" s="28">
        <v>0</v>
      </c>
      <c r="FV183" s="28">
        <v>0</v>
      </c>
      <c r="FW183" s="28">
        <v>0</v>
      </c>
      <c r="FX183" s="28">
        <v>0</v>
      </c>
      <c r="FY183" s="28">
        <v>0</v>
      </c>
      <c r="FZ183" s="28">
        <v>0</v>
      </c>
      <c r="GA183" s="28">
        <v>0</v>
      </c>
      <c r="GB183" s="28">
        <v>0</v>
      </c>
      <c r="GC183" s="28">
        <v>0</v>
      </c>
      <c r="GD183" s="28">
        <v>0</v>
      </c>
      <c r="GE183" s="28">
        <v>0</v>
      </c>
      <c r="GF183" s="28">
        <v>0</v>
      </c>
      <c r="GG183" s="28">
        <v>0</v>
      </c>
      <c r="GH183" s="28">
        <v>0</v>
      </c>
      <c r="GI183" s="28">
        <v>0</v>
      </c>
      <c r="GJ183" s="28">
        <v>0</v>
      </c>
      <c r="GK183" s="28">
        <v>0</v>
      </c>
      <c r="GL183" s="28">
        <v>0</v>
      </c>
      <c r="GM183" s="28">
        <v>0</v>
      </c>
      <c r="GN183" s="28">
        <v>0</v>
      </c>
      <c r="GO183" s="28">
        <v>0</v>
      </c>
      <c r="GP183" s="28">
        <v>0</v>
      </c>
      <c r="GQ183" s="21">
        <v>340.30214667632686</v>
      </c>
      <c r="GR183" s="21">
        <v>0</v>
      </c>
      <c r="GS183" s="20">
        <v>0</v>
      </c>
      <c r="GT183" s="20">
        <v>0</v>
      </c>
      <c r="GU183" s="20">
        <v>0</v>
      </c>
      <c r="GV183" s="20">
        <v>0</v>
      </c>
      <c r="GW183" s="20">
        <v>0</v>
      </c>
      <c r="GX183" s="21">
        <v>13.2707215449008</v>
      </c>
      <c r="GY183" s="20">
        <v>0</v>
      </c>
      <c r="GZ183" s="20">
        <v>13.2707215449008</v>
      </c>
      <c r="HA183" s="20"/>
      <c r="HB183" s="21">
        <v>130.11645576719999</v>
      </c>
      <c r="HC183" s="21">
        <v>483.68932398842765</v>
      </c>
    </row>
    <row r="184" spans="1:211" s="7" customFormat="1" ht="17.25" customHeight="1">
      <c r="A184" s="7">
        <f t="shared" si="10"/>
        <v>184</v>
      </c>
      <c r="B184" s="26" t="s">
        <v>159</v>
      </c>
      <c r="C184" s="10" t="s">
        <v>643</v>
      </c>
      <c r="D184" s="28">
        <v>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1.47009078826628E-2</v>
      </c>
      <c r="T184" s="28">
        <v>0</v>
      </c>
      <c r="U184" s="28">
        <v>0</v>
      </c>
      <c r="V184" s="28">
        <v>0.36706082898589498</v>
      </c>
      <c r="W184" s="28">
        <v>1.19750554262895E-2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5.9978593907778599</v>
      </c>
      <c r="AD184" s="28">
        <v>0</v>
      </c>
      <c r="AE184" s="28">
        <v>2.3844898818425602</v>
      </c>
      <c r="AF184" s="28">
        <v>12.6017447905529</v>
      </c>
      <c r="AG184" s="28">
        <v>5.0702940784852197</v>
      </c>
      <c r="AH184" s="28">
        <v>0</v>
      </c>
      <c r="AI184" s="28">
        <v>0</v>
      </c>
      <c r="AJ184" s="28">
        <v>1.01272236795846</v>
      </c>
      <c r="AK184" s="28">
        <v>0</v>
      </c>
      <c r="AL184" s="28">
        <v>9.1746512603663195</v>
      </c>
      <c r="AM184" s="28">
        <v>3.9556486491957301</v>
      </c>
      <c r="AN184" s="28">
        <v>0</v>
      </c>
      <c r="AO184" s="28">
        <v>0</v>
      </c>
      <c r="AP184" s="28">
        <v>0.51070177937836603</v>
      </c>
      <c r="AQ184" s="28">
        <v>0.28323067022164</v>
      </c>
      <c r="AR184" s="28">
        <v>0</v>
      </c>
      <c r="AS184" s="28">
        <v>0</v>
      </c>
      <c r="AT184" s="28">
        <v>66.268924339849505</v>
      </c>
      <c r="AU184" s="28">
        <v>8.9186750771945693</v>
      </c>
      <c r="AV184" s="28">
        <v>16.9432300003782</v>
      </c>
      <c r="AW184" s="28">
        <v>3.9734654759744501</v>
      </c>
      <c r="AX184" s="28">
        <v>285.77079937960701</v>
      </c>
      <c r="AY184" s="28">
        <v>3.8176765463340603E-2</v>
      </c>
      <c r="AZ184" s="28">
        <v>7.0724458239633803</v>
      </c>
      <c r="BA184" s="28">
        <v>9.6087029091745606</v>
      </c>
      <c r="BB184" s="28">
        <v>1.32974796331061</v>
      </c>
      <c r="BC184" s="28">
        <v>62.657345914775199</v>
      </c>
      <c r="BD184" s="28">
        <v>0.30793569238255503</v>
      </c>
      <c r="BE184" s="28">
        <v>0</v>
      </c>
      <c r="BF184" s="28">
        <v>0</v>
      </c>
      <c r="BG184" s="28">
        <v>0.72201692144517604</v>
      </c>
      <c r="BH184" s="28">
        <v>32.280852644529197</v>
      </c>
      <c r="BI184" s="28">
        <v>5.48322963205728</v>
      </c>
      <c r="BJ184" s="28">
        <v>3.5132174731772099</v>
      </c>
      <c r="BK184" s="28">
        <v>0</v>
      </c>
      <c r="BL184" s="28">
        <v>4.1174630127657403</v>
      </c>
      <c r="BM184" s="28">
        <v>2.9932833395824798</v>
      </c>
      <c r="BN184" s="28">
        <v>6.4146429564031804</v>
      </c>
      <c r="BO184" s="28">
        <v>0.42242975513632303</v>
      </c>
      <c r="BP184" s="28">
        <v>8.9248878133843395</v>
      </c>
      <c r="BQ184" s="28">
        <v>14.5062184121832</v>
      </c>
      <c r="BR184" s="28">
        <v>4.9348512694087603</v>
      </c>
      <c r="BS184" s="28">
        <v>0</v>
      </c>
      <c r="BT184" s="28">
        <v>0</v>
      </c>
      <c r="BU184" s="28">
        <v>7.2366585231834897</v>
      </c>
      <c r="BV184" s="28">
        <v>23.215480705963799</v>
      </c>
      <c r="BW184" s="28">
        <v>2.30616721818765</v>
      </c>
      <c r="BX184" s="28">
        <v>1.4119355636544999</v>
      </c>
      <c r="BY184" s="28">
        <v>6.0747992423473001</v>
      </c>
      <c r="BZ184" s="28">
        <v>9.0995240520187508</v>
      </c>
      <c r="CA184" s="28">
        <v>21.711111523957101</v>
      </c>
      <c r="CB184" s="28">
        <v>17.9154428994607</v>
      </c>
      <c r="CC184" s="28">
        <v>0.98204173631893399</v>
      </c>
      <c r="CD184" s="28">
        <v>12.902194058670499</v>
      </c>
      <c r="CE184" s="28">
        <v>4.3870721419514096</v>
      </c>
      <c r="CF184" s="28">
        <v>0</v>
      </c>
      <c r="CG184" s="28">
        <v>1.88613862480651</v>
      </c>
      <c r="CH184" s="28">
        <v>2.11980510247363</v>
      </c>
      <c r="CI184" s="28">
        <v>1.9573613405227701</v>
      </c>
      <c r="CJ184" s="28">
        <v>5.3723131459247204</v>
      </c>
      <c r="CK184" s="28">
        <v>0.920610010623932</v>
      </c>
      <c r="CL184" s="28">
        <v>0.53284225561099097</v>
      </c>
      <c r="CM184" s="28">
        <v>6.5203382494152002</v>
      </c>
      <c r="CN184" s="28">
        <v>0.29348972439765902</v>
      </c>
      <c r="CO184" s="28">
        <v>0.52286821603775002</v>
      </c>
      <c r="CP184" s="28">
        <v>7.8839779499103404</v>
      </c>
      <c r="CQ184" s="28">
        <v>0.38412228226661699</v>
      </c>
      <c r="CR184" s="28">
        <v>7.4887375073488798</v>
      </c>
      <c r="CS184" s="28">
        <v>0.240092545902793</v>
      </c>
      <c r="CT184" s="28">
        <v>62.837052174589303</v>
      </c>
      <c r="CU184" s="28">
        <v>2.8800788094065402</v>
      </c>
      <c r="CV184" s="28">
        <v>5.7427319104443297</v>
      </c>
      <c r="CW184" s="28">
        <v>13.916859551304301</v>
      </c>
      <c r="CX184" s="28">
        <v>0.54357663360662301</v>
      </c>
      <c r="CY184" s="28">
        <v>16.8415790522332</v>
      </c>
      <c r="CZ184" s="28">
        <v>1.3664187204691201</v>
      </c>
      <c r="DA184" s="28">
        <v>19.024414284789</v>
      </c>
      <c r="DB184" s="28">
        <v>47.987574973543701</v>
      </c>
      <c r="DC184" s="28">
        <v>0.52</v>
      </c>
      <c r="DD184" s="28">
        <v>0.31156159693589602</v>
      </c>
      <c r="DE184" s="28">
        <v>0</v>
      </c>
      <c r="DF184" s="28">
        <v>3.64681637981999</v>
      </c>
      <c r="DG184" s="28">
        <v>47.1872524699289</v>
      </c>
      <c r="DH184" s="28">
        <v>19.324851800405501</v>
      </c>
      <c r="DI184" s="28">
        <v>7.1768945448150596</v>
      </c>
      <c r="DJ184" s="28">
        <v>2.1</v>
      </c>
      <c r="DK184" s="28">
        <v>4.8087298167773497E-2</v>
      </c>
      <c r="DL184" s="28">
        <v>3.6132843334161802</v>
      </c>
      <c r="DM184" s="28">
        <v>0.77383678992802896</v>
      </c>
      <c r="DN184" s="28">
        <v>0.16469104161654799</v>
      </c>
      <c r="DO184" s="28">
        <v>0.382022412634966</v>
      </c>
      <c r="DP184" s="28">
        <v>0</v>
      </c>
      <c r="DQ184" s="28">
        <v>0.87778823425056196</v>
      </c>
      <c r="DR184" s="28">
        <v>15.731468091888001</v>
      </c>
      <c r="DS184" s="28">
        <v>1.7638186018617601</v>
      </c>
      <c r="DT184" s="28">
        <v>0.80282289508644</v>
      </c>
      <c r="DU184" s="28">
        <v>65.085175400948202</v>
      </c>
      <c r="DV184" s="28">
        <v>1.13999385019524</v>
      </c>
      <c r="DW184" s="28">
        <v>0</v>
      </c>
      <c r="DX184" s="28">
        <v>8.8882264781052207</v>
      </c>
      <c r="DY184" s="28">
        <v>7.8742426963483299</v>
      </c>
      <c r="DZ184" s="28">
        <v>119.41104738192099</v>
      </c>
      <c r="EA184" s="28">
        <v>0.51334011960878101</v>
      </c>
      <c r="EB184" s="28">
        <v>1.59599112360825</v>
      </c>
      <c r="EC184" s="28">
        <v>4.8234355840049803</v>
      </c>
      <c r="ED184" s="28">
        <v>7.1254388739958401</v>
      </c>
      <c r="EE184" s="28">
        <v>0.41223966317234401</v>
      </c>
      <c r="EF184" s="28">
        <v>10.5</v>
      </c>
      <c r="EG184" s="28">
        <v>4.7234376064698598</v>
      </c>
      <c r="EH184" s="28">
        <v>1.6231741606602299</v>
      </c>
      <c r="EI184" s="28">
        <v>0.761479594905493</v>
      </c>
      <c r="EJ184" s="28">
        <v>5.58140916794639</v>
      </c>
      <c r="EK184" s="28">
        <v>0.349585254780308</v>
      </c>
      <c r="EL184" s="28">
        <v>6.6998809898289702</v>
      </c>
      <c r="EM184" s="28">
        <v>0.119991589507079</v>
      </c>
      <c r="EN184" s="28">
        <v>0.75045935360293803</v>
      </c>
      <c r="EO184" s="28">
        <v>0.59407818895644005</v>
      </c>
      <c r="EP184" s="28">
        <v>0</v>
      </c>
      <c r="EQ184" s="28">
        <v>0.56620842940332206</v>
      </c>
      <c r="ER184" s="28">
        <v>0.73171480191464899</v>
      </c>
      <c r="ES184" s="28">
        <v>19.229811995988801</v>
      </c>
      <c r="ET184" s="28">
        <v>2.0241754226794599</v>
      </c>
      <c r="EU184" s="28">
        <v>2.30917682795381E-2</v>
      </c>
      <c r="EV184" s="28">
        <v>1.2298369667572799</v>
      </c>
      <c r="EW184" s="28">
        <v>90.3987194643436</v>
      </c>
      <c r="EX184" s="28">
        <v>3.7032141515446599</v>
      </c>
      <c r="EY184" s="28">
        <v>0</v>
      </c>
      <c r="EZ184" s="28">
        <v>0</v>
      </c>
      <c r="FA184" s="28">
        <v>83.741034368569501</v>
      </c>
      <c r="FB184" s="28">
        <v>10.4364238165277</v>
      </c>
      <c r="FC184" s="28">
        <v>54.639129891479001</v>
      </c>
      <c r="FD184" s="28">
        <v>0.83896247551817604</v>
      </c>
      <c r="FE184" s="28">
        <v>0</v>
      </c>
      <c r="FF184" s="28">
        <v>6.5420039788692899</v>
      </c>
      <c r="FG184" s="28">
        <v>3.50378954373799</v>
      </c>
      <c r="FH184" s="28">
        <v>1.5543161608061001E-2</v>
      </c>
      <c r="FI184" s="28">
        <v>350.20155393594501</v>
      </c>
      <c r="FJ184" s="28">
        <v>109.056626122379</v>
      </c>
      <c r="FK184" s="28">
        <v>1.1762999999999999</v>
      </c>
      <c r="FL184" s="28">
        <v>6.3576867229134901</v>
      </c>
      <c r="FM184" s="28">
        <v>17.9649559</v>
      </c>
      <c r="FN184" s="28">
        <v>10.140659807751099</v>
      </c>
      <c r="FO184" s="28">
        <v>0.20974496484515801</v>
      </c>
      <c r="FP184" s="28">
        <v>2.92174577703322</v>
      </c>
      <c r="FQ184" s="28">
        <v>48.229900689710497</v>
      </c>
      <c r="FR184" s="28">
        <v>2.2727991838594499</v>
      </c>
      <c r="FS184" s="28">
        <v>30.656200476945699</v>
      </c>
      <c r="FT184" s="28">
        <v>51.434350291615303</v>
      </c>
      <c r="FU184" s="28">
        <v>147.71812482854099</v>
      </c>
      <c r="FV184" s="28">
        <v>18.309131032195701</v>
      </c>
      <c r="FW184" s="28">
        <v>2.9069895636071998</v>
      </c>
      <c r="FX184" s="28">
        <v>153.29006555274</v>
      </c>
      <c r="FY184" s="28">
        <v>5.6653154499999996</v>
      </c>
      <c r="FZ184" s="28">
        <v>5.6436754500148103</v>
      </c>
      <c r="GA184" s="28">
        <v>8.8027319003098195E-2</v>
      </c>
      <c r="GB184" s="28">
        <v>9.5147753257637895</v>
      </c>
      <c r="GC184" s="28">
        <v>6.8321094269414102</v>
      </c>
      <c r="GD184" s="28">
        <v>0</v>
      </c>
      <c r="GE184" s="28">
        <v>9.0948266759155292</v>
      </c>
      <c r="GF184" s="28">
        <v>23.0666837337678</v>
      </c>
      <c r="GG184" s="28">
        <v>522.21503917999803</v>
      </c>
      <c r="GH184" s="28">
        <v>59.463116663506902</v>
      </c>
      <c r="GI184" s="28">
        <v>117.63120568063501</v>
      </c>
      <c r="GJ184" s="28">
        <v>52.615258174728503</v>
      </c>
      <c r="GK184" s="28">
        <v>87.825553776060801</v>
      </c>
      <c r="GL184" s="28">
        <v>63.599735852010802</v>
      </c>
      <c r="GM184" s="28">
        <v>29.722861127455801</v>
      </c>
      <c r="GN184" s="28">
        <v>10.9123829123553</v>
      </c>
      <c r="GO184" s="28">
        <v>5.6254035853530304</v>
      </c>
      <c r="GP184" s="28">
        <v>0</v>
      </c>
      <c r="GQ184" s="21">
        <v>3496.0773219546968</v>
      </c>
      <c r="GR184" s="21">
        <v>2575.3007602673206</v>
      </c>
      <c r="GS184" s="20">
        <v>2575.3007602673206</v>
      </c>
      <c r="GT184" s="20">
        <v>0</v>
      </c>
      <c r="GU184" s="20">
        <v>0</v>
      </c>
      <c r="GV184" s="20">
        <v>0</v>
      </c>
      <c r="GW184" s="20">
        <v>0</v>
      </c>
      <c r="GX184" s="21">
        <v>0</v>
      </c>
      <c r="GY184" s="20">
        <v>0</v>
      </c>
      <c r="GZ184" s="20">
        <v>0</v>
      </c>
      <c r="HA184" s="20"/>
      <c r="HB184" s="21">
        <v>0</v>
      </c>
      <c r="HC184" s="21">
        <v>6071.3780822220178</v>
      </c>
    </row>
    <row r="185" spans="1:211" s="7" customFormat="1" ht="17.25" customHeight="1">
      <c r="A185" s="7">
        <f t="shared" si="10"/>
        <v>185</v>
      </c>
      <c r="B185" s="26" t="s">
        <v>162</v>
      </c>
      <c r="C185" s="10" t="s">
        <v>644</v>
      </c>
      <c r="D185" s="28">
        <v>0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1.3124779899891E-2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4.1985015735445002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0</v>
      </c>
      <c r="AT185" s="28">
        <v>0</v>
      </c>
      <c r="AU185" s="28">
        <v>0</v>
      </c>
      <c r="AV185" s="28">
        <v>0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4.8434165423758797</v>
      </c>
      <c r="BI185" s="28">
        <v>0</v>
      </c>
      <c r="BJ185" s="28">
        <v>0</v>
      </c>
      <c r="BK185" s="28">
        <v>0</v>
      </c>
      <c r="BL185" s="28">
        <v>1.4352199237851699</v>
      </c>
      <c r="BM185" s="28">
        <v>0</v>
      </c>
      <c r="BN185" s="28">
        <v>0</v>
      </c>
      <c r="BO185" s="28">
        <v>0</v>
      </c>
      <c r="BP185" s="28">
        <v>0</v>
      </c>
      <c r="BQ185" s="28">
        <v>0.21498775088587899</v>
      </c>
      <c r="BR185" s="28">
        <v>9.2651426477461593E-2</v>
      </c>
      <c r="BS185" s="28">
        <v>0</v>
      </c>
      <c r="BT185" s="28">
        <v>0.40664985634237399</v>
      </c>
      <c r="BU185" s="28">
        <v>1.2106429580498601</v>
      </c>
      <c r="BV185" s="28">
        <v>0.79736856806646295</v>
      </c>
      <c r="BW185" s="28">
        <v>0</v>
      </c>
      <c r="BX185" s="28">
        <v>2.6370926781103199E-2</v>
      </c>
      <c r="BY185" s="28">
        <v>0.45700271860596398</v>
      </c>
      <c r="BZ185" s="28">
        <v>9.8162915542076304E-2</v>
      </c>
      <c r="CA185" s="28">
        <v>2.69240078532723</v>
      </c>
      <c r="CB185" s="28">
        <v>0.87855484562399799</v>
      </c>
      <c r="CC185" s="28">
        <v>4.8158314080752003E-2</v>
      </c>
      <c r="CD185" s="28">
        <v>0.63271029206692597</v>
      </c>
      <c r="CE185" s="28">
        <v>0.21513749395107001</v>
      </c>
      <c r="CF185" s="28">
        <v>0</v>
      </c>
      <c r="CG185" s="28">
        <v>0.32468226528377597</v>
      </c>
      <c r="CH185" s="28">
        <v>9.0111903718268799E-2</v>
      </c>
      <c r="CI185" s="28">
        <v>0.49798478593524598</v>
      </c>
      <c r="CJ185" s="28">
        <v>7.2564611876895502E-2</v>
      </c>
      <c r="CK185" s="28">
        <v>3.2102208861809298E-2</v>
      </c>
      <c r="CL185" s="28">
        <v>4.0419558180566903E-2</v>
      </c>
      <c r="CM185" s="28">
        <v>3.14256676951043</v>
      </c>
      <c r="CN185" s="28">
        <v>3.5718656145036199E-3</v>
      </c>
      <c r="CO185" s="28">
        <v>0.115778461098671</v>
      </c>
      <c r="CP185" s="28">
        <v>7.1989278194378397</v>
      </c>
      <c r="CQ185" s="28">
        <v>6.4183077774941904E-3</v>
      </c>
      <c r="CR185" s="28">
        <v>6.1247916448512602E-2</v>
      </c>
      <c r="CS185" s="28">
        <v>1.74484132683843E-2</v>
      </c>
      <c r="CT185" s="28">
        <v>6.2857881519205998</v>
      </c>
      <c r="CU185" s="28">
        <v>0.239047266393276</v>
      </c>
      <c r="CV185" s="28">
        <v>0.42778193352160199</v>
      </c>
      <c r="CW185" s="28">
        <v>2.2334588457418998</v>
      </c>
      <c r="CX185" s="28">
        <v>4.9516876437337799E-2</v>
      </c>
      <c r="CY185" s="28">
        <v>0.218002962250153</v>
      </c>
      <c r="CZ185" s="28">
        <v>0.17851815409418101</v>
      </c>
      <c r="DA185" s="28">
        <v>8.7338193112394595</v>
      </c>
      <c r="DB185" s="28">
        <v>1.3563437198955299</v>
      </c>
      <c r="DC185" s="28">
        <v>7.0782404265908401</v>
      </c>
      <c r="DD185" s="28">
        <v>0.11683559885096099</v>
      </c>
      <c r="DE185" s="28">
        <v>0</v>
      </c>
      <c r="DF185" s="28">
        <v>9.6787097073988401E-2</v>
      </c>
      <c r="DG185" s="28">
        <v>4.6568685789556499</v>
      </c>
      <c r="DH185" s="28">
        <v>2.0529760434713702</v>
      </c>
      <c r="DI185" s="28">
        <v>0.89596825394245105</v>
      </c>
      <c r="DJ185" s="28">
        <v>0.17154418835919899</v>
      </c>
      <c r="DK185" s="28">
        <v>1.4087103319640699E-2</v>
      </c>
      <c r="DL185" s="28">
        <v>0.33734550522941797</v>
      </c>
      <c r="DM185" s="28">
        <v>0.13031185935631501</v>
      </c>
      <c r="DN185" s="28">
        <v>1.2671584904799801E-2</v>
      </c>
      <c r="DO185" s="28">
        <v>5.39181807189133E-2</v>
      </c>
      <c r="DP185" s="28">
        <v>0</v>
      </c>
      <c r="DQ185" s="28">
        <v>0.45610760565254899</v>
      </c>
      <c r="DR185" s="28">
        <v>1.8735845407565801</v>
      </c>
      <c r="DS185" s="28">
        <v>9.5042188006405098E-2</v>
      </c>
      <c r="DT185" s="28">
        <v>4.78908004936957E-2</v>
      </c>
      <c r="DU185" s="28">
        <v>3.1525110979362299</v>
      </c>
      <c r="DV185" s="28">
        <v>5.0307467277417199</v>
      </c>
      <c r="DW185" s="28">
        <v>0</v>
      </c>
      <c r="DX185" s="28">
        <v>3.3382030027276501E-2</v>
      </c>
      <c r="DY185" s="28">
        <v>1.8778834718322901</v>
      </c>
      <c r="DZ185" s="28">
        <v>0</v>
      </c>
      <c r="EA185" s="28">
        <v>4.9307571839811298E-3</v>
      </c>
      <c r="EB185" s="28">
        <v>0</v>
      </c>
      <c r="EC185" s="28">
        <v>0.42057665700437902</v>
      </c>
      <c r="ED185" s="28">
        <v>1.1339421735881501</v>
      </c>
      <c r="EE185" s="28">
        <v>0.51413885660368097</v>
      </c>
      <c r="EF185" s="28">
        <v>0.39607232936891801</v>
      </c>
      <c r="EG185" s="28">
        <v>0.112015709455209</v>
      </c>
      <c r="EH185" s="28">
        <v>3.86783908844823E-2</v>
      </c>
      <c r="EI185" s="28">
        <v>1.7652759938705201E-2</v>
      </c>
      <c r="EJ185" s="28">
        <v>0.47951173169440298</v>
      </c>
      <c r="EK185" s="28">
        <v>1.28808292919358E-3</v>
      </c>
      <c r="EL185" s="28">
        <v>4.70628067715603E-2</v>
      </c>
      <c r="EM185" s="28">
        <v>1.8728804705267299E-3</v>
      </c>
      <c r="EN185" s="28">
        <v>0.107915725000009</v>
      </c>
      <c r="EO185" s="28">
        <v>8.8732958481743202E-2</v>
      </c>
      <c r="EP185" s="28">
        <v>0</v>
      </c>
      <c r="EQ185" s="28">
        <v>8.0872755904291396E-2</v>
      </c>
      <c r="ER185" s="28">
        <v>0.24996296865543199</v>
      </c>
      <c r="ES185" s="28">
        <v>2.0106036673322902E-2</v>
      </c>
      <c r="ET185" s="28">
        <v>9.5914778036591597E-2</v>
      </c>
      <c r="EU185" s="28">
        <v>0</v>
      </c>
      <c r="EV185" s="28">
        <v>0</v>
      </c>
      <c r="EW185" s="28">
        <v>3.0235530486420799</v>
      </c>
      <c r="EX185" s="28">
        <v>0.45503091212867702</v>
      </c>
      <c r="EY185" s="28">
        <v>0.124201930479464</v>
      </c>
      <c r="EZ185" s="28">
        <v>1.3864656349357001</v>
      </c>
      <c r="FA185" s="28">
        <v>7.4541852496882699</v>
      </c>
      <c r="FB185" s="28">
        <v>1.71512234875811</v>
      </c>
      <c r="FC185" s="28">
        <v>3.95020135692205</v>
      </c>
      <c r="FD185" s="28">
        <v>0.43615103050156001</v>
      </c>
      <c r="FE185" s="28">
        <v>0</v>
      </c>
      <c r="FF185" s="28">
        <v>0</v>
      </c>
      <c r="FG185" s="28">
        <v>0.74489507657890996</v>
      </c>
      <c r="FH185" s="28">
        <v>9.2328464159861304E-3</v>
      </c>
      <c r="FI185" s="28">
        <v>31.4992501514308</v>
      </c>
      <c r="FJ185" s="28">
        <v>4.0616294497537204</v>
      </c>
      <c r="FK185" s="28">
        <v>9.1490000000000002E-2</v>
      </c>
      <c r="FL185" s="28">
        <v>0.78065349323712196</v>
      </c>
      <c r="FM185" s="28">
        <v>0.7301069</v>
      </c>
      <c r="FN185" s="28">
        <v>0.16877680760047001</v>
      </c>
      <c r="FO185" s="28">
        <v>2.8365987324401802E-3</v>
      </c>
      <c r="FP185" s="28">
        <v>1.21113277282292</v>
      </c>
      <c r="FQ185" s="28">
        <v>11.5201599970831</v>
      </c>
      <c r="FR185" s="28">
        <v>0.111586926512212</v>
      </c>
      <c r="FS185" s="28">
        <v>41.780841656615003</v>
      </c>
      <c r="FT185" s="28">
        <v>28.170753536295301</v>
      </c>
      <c r="FU185" s="28">
        <v>20.012980593667301</v>
      </c>
      <c r="FV185" s="28">
        <v>2.03003389319462</v>
      </c>
      <c r="FW185" s="28">
        <v>0.25600803999999999</v>
      </c>
      <c r="FX185" s="28">
        <v>4.3840734314591998</v>
      </c>
      <c r="FY185" s="28">
        <v>0.58960168000000002</v>
      </c>
      <c r="FZ185" s="28">
        <v>8.6375789999999994E-2</v>
      </c>
      <c r="GA185" s="28">
        <v>2.9650170657015199E-2</v>
      </c>
      <c r="GB185" s="28">
        <v>1.6625911843845799E-2</v>
      </c>
      <c r="GC185" s="28">
        <v>1.19382796914038E-2</v>
      </c>
      <c r="GD185" s="28">
        <v>6.9454680944067597</v>
      </c>
      <c r="GE185" s="28">
        <v>7.21433419901724</v>
      </c>
      <c r="GF185" s="28">
        <v>5.7196848854310902</v>
      </c>
      <c r="GG185" s="28">
        <v>66.186844379999997</v>
      </c>
      <c r="GH185" s="28">
        <v>9.7380597186469195</v>
      </c>
      <c r="GI185" s="28">
        <v>27.610219262891999</v>
      </c>
      <c r="GJ185" s="28">
        <v>12.471469038385999</v>
      </c>
      <c r="GK185" s="28">
        <v>12.057962232089601</v>
      </c>
      <c r="GL185" s="28">
        <v>1.6637229893477801</v>
      </c>
      <c r="GM185" s="28">
        <v>2.58679643642785</v>
      </c>
      <c r="GN185" s="28">
        <v>2.3345181942368201</v>
      </c>
      <c r="GO185" s="28">
        <v>1.3225823979543401</v>
      </c>
      <c r="GP185" s="28">
        <v>0</v>
      </c>
      <c r="GQ185" s="21">
        <v>404.28032236626154</v>
      </c>
      <c r="GR185" s="21">
        <v>460.31996155209708</v>
      </c>
      <c r="GS185" s="20">
        <v>315.2736594290418</v>
      </c>
      <c r="GT185" s="20">
        <v>145.04630212305528</v>
      </c>
      <c r="GU185" s="20">
        <v>0</v>
      </c>
      <c r="GV185" s="20">
        <v>0</v>
      </c>
      <c r="GW185" s="20">
        <v>0</v>
      </c>
      <c r="GX185" s="21">
        <v>0</v>
      </c>
      <c r="GY185" s="20">
        <v>0</v>
      </c>
      <c r="GZ185" s="20">
        <v>0</v>
      </c>
      <c r="HA185" s="20"/>
      <c r="HB185" s="21">
        <v>0</v>
      </c>
      <c r="HC185" s="21">
        <v>864.60028391835863</v>
      </c>
    </row>
    <row r="186" spans="1:211" s="7" customFormat="1" ht="17.25" customHeight="1">
      <c r="A186" s="7">
        <f t="shared" si="10"/>
        <v>186</v>
      </c>
      <c r="B186" s="26" t="s">
        <v>163</v>
      </c>
      <c r="C186" s="10" t="s">
        <v>645</v>
      </c>
      <c r="D186" s="28">
        <v>0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0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  <c r="EU186" s="28">
        <v>0</v>
      </c>
      <c r="EV186" s="28">
        <v>0</v>
      </c>
      <c r="EW186" s="28">
        <v>0</v>
      </c>
      <c r="EX186" s="28">
        <v>0</v>
      </c>
      <c r="EY186" s="28">
        <v>0</v>
      </c>
      <c r="EZ186" s="28">
        <v>0</v>
      </c>
      <c r="FA186" s="28">
        <v>0</v>
      </c>
      <c r="FB186" s="28">
        <v>0</v>
      </c>
      <c r="FC186" s="28">
        <v>0</v>
      </c>
      <c r="FD186" s="28">
        <v>0</v>
      </c>
      <c r="FE186" s="28">
        <v>0</v>
      </c>
      <c r="FF186" s="28">
        <v>0</v>
      </c>
      <c r="FG186" s="28">
        <v>0</v>
      </c>
      <c r="FH186" s="28">
        <v>0</v>
      </c>
      <c r="FI186" s="28">
        <v>0</v>
      </c>
      <c r="FJ186" s="28">
        <v>0</v>
      </c>
      <c r="FK186" s="28">
        <v>0</v>
      </c>
      <c r="FL186" s="28">
        <v>0</v>
      </c>
      <c r="FM186" s="28">
        <v>0</v>
      </c>
      <c r="FN186" s="28">
        <v>0</v>
      </c>
      <c r="FO186" s="28">
        <v>0</v>
      </c>
      <c r="FP186" s="28">
        <v>0</v>
      </c>
      <c r="FQ186" s="28">
        <v>0</v>
      </c>
      <c r="FR186" s="28">
        <v>0</v>
      </c>
      <c r="FS186" s="28">
        <v>0</v>
      </c>
      <c r="FT186" s="28">
        <v>0</v>
      </c>
      <c r="FU186" s="28">
        <v>0</v>
      </c>
      <c r="FV186" s="28">
        <v>0</v>
      </c>
      <c r="FW186" s="28">
        <v>0</v>
      </c>
      <c r="FX186" s="28">
        <v>0</v>
      </c>
      <c r="FY186" s="28">
        <v>0</v>
      </c>
      <c r="FZ186" s="28">
        <v>0</v>
      </c>
      <c r="GA186" s="28">
        <v>0</v>
      </c>
      <c r="GB186" s="28">
        <v>0</v>
      </c>
      <c r="GC186" s="28">
        <v>0</v>
      </c>
      <c r="GD186" s="28">
        <v>0</v>
      </c>
      <c r="GE186" s="28">
        <v>0</v>
      </c>
      <c r="GF186" s="28">
        <v>0</v>
      </c>
      <c r="GG186" s="28">
        <v>0</v>
      </c>
      <c r="GH186" s="28">
        <v>0</v>
      </c>
      <c r="GI186" s="28">
        <v>0</v>
      </c>
      <c r="GJ186" s="28">
        <v>0</v>
      </c>
      <c r="GK186" s="28">
        <v>0</v>
      </c>
      <c r="GL186" s="28">
        <v>0</v>
      </c>
      <c r="GM186" s="28">
        <v>0</v>
      </c>
      <c r="GN186" s="28">
        <v>0</v>
      </c>
      <c r="GO186" s="28">
        <v>0</v>
      </c>
      <c r="GP186" s="28">
        <v>0</v>
      </c>
      <c r="GQ186" s="21">
        <v>0</v>
      </c>
      <c r="GR186" s="21">
        <v>0</v>
      </c>
      <c r="GS186" s="20">
        <v>0</v>
      </c>
      <c r="GT186" s="20">
        <v>0</v>
      </c>
      <c r="GU186" s="20">
        <v>0</v>
      </c>
      <c r="GV186" s="20">
        <v>0</v>
      </c>
      <c r="GW186" s="20">
        <v>0</v>
      </c>
      <c r="GX186" s="21">
        <v>15186.89162104028</v>
      </c>
      <c r="GY186" s="20">
        <v>14795.013077506201</v>
      </c>
      <c r="GZ186" s="20">
        <v>391.87854353407954</v>
      </c>
      <c r="HA186" s="20"/>
      <c r="HB186" s="21">
        <v>0</v>
      </c>
      <c r="HC186" s="21">
        <v>15186.89162104028</v>
      </c>
    </row>
    <row r="187" spans="1:211" s="7" customFormat="1" ht="17.25" customHeight="1">
      <c r="A187" s="7">
        <f t="shared" si="10"/>
        <v>187</v>
      </c>
      <c r="B187" s="26" t="s">
        <v>646</v>
      </c>
      <c r="C187" s="9" t="s">
        <v>647</v>
      </c>
      <c r="D187" s="28">
        <v>0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  <c r="EU187" s="28">
        <v>0</v>
      </c>
      <c r="EV187" s="28">
        <v>0</v>
      </c>
      <c r="EW187" s="28">
        <v>0</v>
      </c>
      <c r="EX187" s="28">
        <v>0</v>
      </c>
      <c r="EY187" s="28">
        <v>0</v>
      </c>
      <c r="EZ187" s="28">
        <v>0</v>
      </c>
      <c r="FA187" s="28">
        <v>0</v>
      </c>
      <c r="FB187" s="28">
        <v>0</v>
      </c>
      <c r="FC187" s="28">
        <v>0</v>
      </c>
      <c r="FD187" s="28">
        <v>0</v>
      </c>
      <c r="FE187" s="28">
        <v>0</v>
      </c>
      <c r="FF187" s="28">
        <v>0</v>
      </c>
      <c r="FG187" s="28">
        <v>0</v>
      </c>
      <c r="FH187" s="28">
        <v>0</v>
      </c>
      <c r="FI187" s="28">
        <v>0</v>
      </c>
      <c r="FJ187" s="28">
        <v>0</v>
      </c>
      <c r="FK187" s="28">
        <v>0</v>
      </c>
      <c r="FL187" s="28">
        <v>0</v>
      </c>
      <c r="FM187" s="28">
        <v>0</v>
      </c>
      <c r="FN187" s="28">
        <v>0</v>
      </c>
      <c r="FO187" s="28">
        <v>0</v>
      </c>
      <c r="FP187" s="28">
        <v>0</v>
      </c>
      <c r="FQ187" s="28">
        <v>0</v>
      </c>
      <c r="FR187" s="28">
        <v>0</v>
      </c>
      <c r="FS187" s="28">
        <v>0</v>
      </c>
      <c r="FT187" s="28">
        <v>0</v>
      </c>
      <c r="FU187" s="28">
        <v>0</v>
      </c>
      <c r="FV187" s="28">
        <v>0</v>
      </c>
      <c r="FW187" s="28">
        <v>0</v>
      </c>
      <c r="FX187" s="28">
        <v>0</v>
      </c>
      <c r="FY187" s="28">
        <v>0</v>
      </c>
      <c r="FZ187" s="28">
        <v>0</v>
      </c>
      <c r="GA187" s="28">
        <v>0</v>
      </c>
      <c r="GB187" s="28">
        <v>0</v>
      </c>
      <c r="GC187" s="28">
        <v>0</v>
      </c>
      <c r="GD187" s="28">
        <v>0</v>
      </c>
      <c r="GE187" s="28">
        <v>0</v>
      </c>
      <c r="GF187" s="28">
        <v>0</v>
      </c>
      <c r="GG187" s="28">
        <v>0</v>
      </c>
      <c r="GH187" s="28">
        <v>0</v>
      </c>
      <c r="GI187" s="28">
        <v>0</v>
      </c>
      <c r="GJ187" s="28">
        <v>0</v>
      </c>
      <c r="GK187" s="28">
        <v>0</v>
      </c>
      <c r="GL187" s="28">
        <v>0</v>
      </c>
      <c r="GM187" s="28">
        <v>0</v>
      </c>
      <c r="GN187" s="28">
        <v>0</v>
      </c>
      <c r="GO187" s="28">
        <v>0</v>
      </c>
      <c r="GP187" s="28">
        <v>0</v>
      </c>
      <c r="GQ187" s="21">
        <v>0</v>
      </c>
      <c r="GR187" s="21">
        <v>0</v>
      </c>
      <c r="GS187" s="20">
        <v>0</v>
      </c>
      <c r="GT187" s="20">
        <v>0</v>
      </c>
      <c r="GU187" s="20">
        <v>0</v>
      </c>
      <c r="GV187" s="20">
        <v>0</v>
      </c>
      <c r="GW187" s="20">
        <v>0</v>
      </c>
      <c r="GX187" s="21">
        <v>9508.6593791063206</v>
      </c>
      <c r="GY187" s="20">
        <v>9508.6593791063206</v>
      </c>
      <c r="GZ187" s="20">
        <v>0</v>
      </c>
      <c r="HA187" s="20"/>
      <c r="HB187" s="21">
        <v>0</v>
      </c>
      <c r="HC187" s="21">
        <v>9508.6593791063206</v>
      </c>
    </row>
    <row r="188" spans="1:211" s="7" customFormat="1" ht="17.25" customHeight="1">
      <c r="A188" s="7">
        <f t="shared" si="10"/>
        <v>188</v>
      </c>
      <c r="B188" s="26" t="s">
        <v>648</v>
      </c>
      <c r="C188" s="10" t="s">
        <v>649</v>
      </c>
      <c r="D188" s="28">
        <v>0.158416739947599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2.5124747973243301E-2</v>
      </c>
      <c r="T188" s="28">
        <v>0</v>
      </c>
      <c r="U188" s="28">
        <v>0</v>
      </c>
      <c r="V188" s="28">
        <v>0</v>
      </c>
      <c r="W188" s="28">
        <v>1.5992867223877199E-2</v>
      </c>
      <c r="X188" s="28">
        <v>0</v>
      </c>
      <c r="Y188" s="28">
        <v>0</v>
      </c>
      <c r="Z188" s="28">
        <v>1.08743475436453</v>
      </c>
      <c r="AA188" s="28">
        <v>0</v>
      </c>
      <c r="AB188" s="28">
        <v>0</v>
      </c>
      <c r="AC188" s="28">
        <v>0</v>
      </c>
      <c r="AD188" s="28">
        <v>0</v>
      </c>
      <c r="AE188" s="28">
        <v>3.2003985801209701E-2</v>
      </c>
      <c r="AF188" s="28">
        <v>126.663832399641</v>
      </c>
      <c r="AG188" s="28">
        <v>27.3845522968222</v>
      </c>
      <c r="AH188" s="28">
        <v>10.516710426047</v>
      </c>
      <c r="AI188" s="28">
        <v>52.7811684638244</v>
      </c>
      <c r="AJ188" s="28">
        <v>4.0038057271408896</v>
      </c>
      <c r="AK188" s="28">
        <v>0.88817071297111105</v>
      </c>
      <c r="AL188" s="28">
        <v>51.7124039085313</v>
      </c>
      <c r="AM188" s="28">
        <v>0</v>
      </c>
      <c r="AN188" s="28">
        <v>0.16175273531662401</v>
      </c>
      <c r="AO188" s="28">
        <v>4.9970909636671896</v>
      </c>
      <c r="AP188" s="28">
        <v>1.3665939939445999</v>
      </c>
      <c r="AQ188" s="28">
        <v>0.27302288686465798</v>
      </c>
      <c r="AR188" s="28">
        <v>0.69542161149269899</v>
      </c>
      <c r="AS188" s="28">
        <v>8.1153539372092794E-3</v>
      </c>
      <c r="AT188" s="28">
        <v>33.076135539617901</v>
      </c>
      <c r="AU188" s="28">
        <v>0</v>
      </c>
      <c r="AV188" s="28">
        <v>21.426159325966498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7.9302379553495799</v>
      </c>
      <c r="BD188" s="28">
        <v>0</v>
      </c>
      <c r="BE188" s="28">
        <v>0</v>
      </c>
      <c r="BF188" s="28">
        <v>0</v>
      </c>
      <c r="BG188" s="28">
        <v>0</v>
      </c>
      <c r="BH188" s="28">
        <v>8.3895226696569805E-2</v>
      </c>
      <c r="BI188" s="28">
        <v>0.15291575944419</v>
      </c>
      <c r="BJ188" s="28">
        <v>8.3209474364884503E-2</v>
      </c>
      <c r="BK188" s="28">
        <v>0</v>
      </c>
      <c r="BL188" s="28">
        <v>0.25140565316535302</v>
      </c>
      <c r="BM188" s="28">
        <v>0.133287686184514</v>
      </c>
      <c r="BN188" s="28">
        <v>0.13198754147322</v>
      </c>
      <c r="BO188" s="28">
        <v>0.163071387870631</v>
      </c>
      <c r="BP188" s="28">
        <v>6.4387847268103197E-4</v>
      </c>
      <c r="BQ188" s="28">
        <v>0.13062171531761399</v>
      </c>
      <c r="BR188" s="28">
        <v>0.15838106024880699</v>
      </c>
      <c r="BS188" s="28">
        <v>0</v>
      </c>
      <c r="BT188" s="28">
        <v>0</v>
      </c>
      <c r="BU188" s="28">
        <v>0.121194572824877</v>
      </c>
      <c r="BV188" s="28">
        <v>1.14358085576195</v>
      </c>
      <c r="BW188" s="28">
        <v>0</v>
      </c>
      <c r="BX188" s="28">
        <v>2.7505149956491299E-2</v>
      </c>
      <c r="BY188" s="28">
        <v>0.25270999271537298</v>
      </c>
      <c r="BZ188" s="28">
        <v>8.4580684349038607E-2</v>
      </c>
      <c r="CA188" s="28">
        <v>0</v>
      </c>
      <c r="CB188" s="28">
        <v>11.6335769059857</v>
      </c>
      <c r="CC188" s="28">
        <v>0.63769889075407704</v>
      </c>
      <c r="CD188" s="28">
        <v>8.3781722662303508</v>
      </c>
      <c r="CE188" s="28">
        <v>2.8487903671661798</v>
      </c>
      <c r="CF188" s="28">
        <v>0</v>
      </c>
      <c r="CG188" s="28">
        <v>6.8124895277140798</v>
      </c>
      <c r="CH188" s="28">
        <v>0</v>
      </c>
      <c r="CI188" s="28">
        <v>0.20594881474971799</v>
      </c>
      <c r="CJ188" s="28">
        <v>9.2143166955970894</v>
      </c>
      <c r="CK188" s="28">
        <v>0.78217768669128396</v>
      </c>
      <c r="CL188" s="28">
        <v>0</v>
      </c>
      <c r="CM188" s="28">
        <v>0.14384867162644999</v>
      </c>
      <c r="CN188" s="28">
        <v>0.23082922399044001</v>
      </c>
      <c r="CO188" s="28">
        <v>8.1803485751151997E-2</v>
      </c>
      <c r="CP188" s="28">
        <v>7.9623276190723997</v>
      </c>
      <c r="CQ188" s="28">
        <v>0.20584374666214</v>
      </c>
      <c r="CR188" s="28">
        <v>0</v>
      </c>
      <c r="CS188" s="28">
        <v>8.7534873029361193E-2</v>
      </c>
      <c r="CT188" s="28">
        <v>49.624656604241899</v>
      </c>
      <c r="CU188" s="28">
        <v>0.15344097841679899</v>
      </c>
      <c r="CV188" s="28">
        <v>0.36192052969344601</v>
      </c>
      <c r="CW188" s="28">
        <v>0.72574745231445503</v>
      </c>
      <c r="CX188" s="28">
        <v>0.190654973148767</v>
      </c>
      <c r="CY188" s="28">
        <v>32.949456596044897</v>
      </c>
      <c r="CZ188" s="28">
        <v>2.5629644966825502</v>
      </c>
      <c r="DA188" s="28">
        <v>5.84435007867976</v>
      </c>
      <c r="DB188" s="28">
        <v>6.8810206971168801</v>
      </c>
      <c r="DC188" s="28">
        <v>4.9822073442465302E-2</v>
      </c>
      <c r="DD188" s="28">
        <v>0</v>
      </c>
      <c r="DE188" s="28">
        <v>0</v>
      </c>
      <c r="DF188" s="28">
        <v>1.5146958121745699</v>
      </c>
      <c r="DG188" s="28">
        <v>16.102727074173298</v>
      </c>
      <c r="DH188" s="28">
        <v>25.042801678659899</v>
      </c>
      <c r="DI188" s="28">
        <v>1.1058249672578899</v>
      </c>
      <c r="DJ188" s="28">
        <v>0</v>
      </c>
      <c r="DK188" s="28">
        <v>0.138422544268863</v>
      </c>
      <c r="DL188" s="28">
        <v>2.4384780110684501</v>
      </c>
      <c r="DM188" s="28">
        <v>4.80735134852645E-2</v>
      </c>
      <c r="DN188" s="28">
        <v>0</v>
      </c>
      <c r="DO188" s="28">
        <v>0.73867709153776695</v>
      </c>
      <c r="DP188" s="28">
        <v>0</v>
      </c>
      <c r="DQ188" s="28">
        <v>3.4652275152027299</v>
      </c>
      <c r="DR188" s="28">
        <v>18.435199040559901</v>
      </c>
      <c r="DS188" s="28">
        <v>8.6963924750499704</v>
      </c>
      <c r="DT188" s="28">
        <v>8.4941004324164099E-2</v>
      </c>
      <c r="DU188" s="28">
        <v>5.5367214841747101</v>
      </c>
      <c r="DV188" s="28">
        <v>1.26684533169182</v>
      </c>
      <c r="DW188" s="28">
        <v>0</v>
      </c>
      <c r="DX188" s="28">
        <v>0.50016018045984501</v>
      </c>
      <c r="DY188" s="28">
        <v>0</v>
      </c>
      <c r="DZ188" s="28">
        <v>0</v>
      </c>
      <c r="EA188" s="28">
        <v>0</v>
      </c>
      <c r="EB188" s="28">
        <v>0</v>
      </c>
      <c r="EC188" s="28">
        <v>0</v>
      </c>
      <c r="ED188" s="28">
        <v>2.2373019698557801</v>
      </c>
      <c r="EE188" s="28">
        <v>0.55569734755443601</v>
      </c>
      <c r="EF188" s="28">
        <v>0.37519752291849601</v>
      </c>
      <c r="EG188" s="28">
        <v>8.6740867378039502E-2</v>
      </c>
      <c r="EH188" s="28">
        <v>2.9951130876409798E-2</v>
      </c>
      <c r="EI188" s="28">
        <v>1.4399336625312099E-2</v>
      </c>
      <c r="EJ188" s="28">
        <v>0.23005692978474099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0</v>
      </c>
      <c r="EQ188" s="28">
        <v>0</v>
      </c>
      <c r="ER188" s="28">
        <v>0</v>
      </c>
      <c r="ES188" s="28">
        <v>0</v>
      </c>
      <c r="ET188" s="28">
        <v>0</v>
      </c>
      <c r="EU188" s="28">
        <v>0</v>
      </c>
      <c r="EV188" s="28">
        <v>0</v>
      </c>
      <c r="EW188" s="28">
        <v>0</v>
      </c>
      <c r="EX188" s="28">
        <v>0.49651705056849499</v>
      </c>
      <c r="EY188" s="28">
        <v>0.75771938542585004</v>
      </c>
      <c r="EZ188" s="28">
        <v>9.4649174415885398</v>
      </c>
      <c r="FA188" s="28">
        <v>22.355799272908701</v>
      </c>
      <c r="FB188" s="28">
        <v>1.5039775480294399</v>
      </c>
      <c r="FC188" s="28">
        <v>292.383690364176</v>
      </c>
      <c r="FD188" s="28">
        <v>222.294238436602</v>
      </c>
      <c r="FE188" s="28">
        <v>7.0725170751801896</v>
      </c>
      <c r="FF188" s="28">
        <v>0</v>
      </c>
      <c r="FG188" s="28">
        <v>1219.8588038099799</v>
      </c>
      <c r="FH188" s="28">
        <v>72.379220404119295</v>
      </c>
      <c r="FI188" s="28">
        <v>160.568921332081</v>
      </c>
      <c r="FJ188" s="28">
        <v>1.1213873837107999</v>
      </c>
      <c r="FK188" s="28">
        <v>0</v>
      </c>
      <c r="FL188" s="28">
        <v>5.3375761742823897</v>
      </c>
      <c r="FM188" s="28">
        <v>1.94613441</v>
      </c>
      <c r="FN188" s="28">
        <v>2.75510944965208</v>
      </c>
      <c r="FO188" s="28">
        <v>0.31901091351656002</v>
      </c>
      <c r="FP188" s="28">
        <v>4.3962838365201202</v>
      </c>
      <c r="FQ188" s="28">
        <v>22.538226079790601</v>
      </c>
      <c r="FR188" s="28">
        <v>0.46033752597882899</v>
      </c>
      <c r="FS188" s="28">
        <v>90.938057754151004</v>
      </c>
      <c r="FT188" s="28">
        <v>43.309998412296302</v>
      </c>
      <c r="FU188" s="28">
        <v>3.9476527020143002</v>
      </c>
      <c r="FV188" s="28">
        <v>6.9215100274758203</v>
      </c>
      <c r="FW188" s="28">
        <v>3.7642896499999998</v>
      </c>
      <c r="FX188" s="28">
        <v>104.56562266570801</v>
      </c>
      <c r="FY188" s="28">
        <v>1.9775261799999999</v>
      </c>
      <c r="FZ188" s="28">
        <v>6.3163788529869498</v>
      </c>
      <c r="GA188" s="28">
        <v>643.75607787802403</v>
      </c>
      <c r="GB188" s="28">
        <v>196.19882901514401</v>
      </c>
      <c r="GC188" s="28">
        <v>33.173190582162903</v>
      </c>
      <c r="GD188" s="28">
        <v>0</v>
      </c>
      <c r="GE188" s="28">
        <v>9.4232210966958494</v>
      </c>
      <c r="GF188" s="28">
        <v>2.15512306493157</v>
      </c>
      <c r="GG188" s="28">
        <v>59.671817342959997</v>
      </c>
      <c r="GH188" s="28">
        <v>19.323303994132601</v>
      </c>
      <c r="GI188" s="28">
        <v>93.003223256614106</v>
      </c>
      <c r="GJ188" s="28">
        <v>23.9260313928655</v>
      </c>
      <c r="GK188" s="28">
        <v>36.473754136211298</v>
      </c>
      <c r="GL188" s="28">
        <v>123.803370700553</v>
      </c>
      <c r="GM188" s="28">
        <v>12.4312868859773</v>
      </c>
      <c r="GN188" s="28">
        <v>0.34519214033416801</v>
      </c>
      <c r="GO188" s="28">
        <v>0</v>
      </c>
      <c r="GP188" s="28">
        <v>0</v>
      </c>
      <c r="GQ188" s="21">
        <v>4148.7729097445254</v>
      </c>
      <c r="GR188" s="21">
        <v>965.677142568519</v>
      </c>
      <c r="GS188" s="20">
        <v>965.677142568519</v>
      </c>
      <c r="GT188" s="20">
        <v>0</v>
      </c>
      <c r="GU188" s="20">
        <v>0</v>
      </c>
      <c r="GV188" s="20">
        <v>0</v>
      </c>
      <c r="GW188" s="20">
        <v>0</v>
      </c>
      <c r="GX188" s="21">
        <v>369.35902128076776</v>
      </c>
      <c r="GY188" s="20">
        <v>362.35006618546703</v>
      </c>
      <c r="GZ188" s="20">
        <v>7.0089550953007347</v>
      </c>
      <c r="HA188" s="20"/>
      <c r="HB188" s="21">
        <v>3.1570837801999998</v>
      </c>
      <c r="HC188" s="21">
        <v>5486.9661573740123</v>
      </c>
    </row>
    <row r="189" spans="1:211" s="7" customFormat="1" ht="17.25" customHeight="1">
      <c r="A189" s="7">
        <f t="shared" si="10"/>
        <v>189</v>
      </c>
      <c r="B189" s="26" t="s">
        <v>165</v>
      </c>
      <c r="C189" s="10" t="s">
        <v>650</v>
      </c>
      <c r="D189" s="28">
        <v>0</v>
      </c>
      <c r="E189" s="28">
        <v>0</v>
      </c>
      <c r="F189" s="28">
        <v>0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0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0</v>
      </c>
      <c r="CJ189" s="28">
        <v>0</v>
      </c>
      <c r="CK189" s="28">
        <v>0</v>
      </c>
      <c r="CL189" s="28">
        <v>0</v>
      </c>
      <c r="CM189" s="28">
        <v>0</v>
      </c>
      <c r="CN189" s="28">
        <v>0</v>
      </c>
      <c r="CO189" s="28">
        <v>0</v>
      </c>
      <c r="CP189" s="28">
        <v>0</v>
      </c>
      <c r="CQ189" s="28">
        <v>0</v>
      </c>
      <c r="CR189" s="28">
        <v>0</v>
      </c>
      <c r="CS189" s="28">
        <v>0</v>
      </c>
      <c r="CT189" s="28">
        <v>0</v>
      </c>
      <c r="CU189" s="28">
        <v>0</v>
      </c>
      <c r="CV189" s="28">
        <v>0</v>
      </c>
      <c r="CW189" s="28">
        <v>0</v>
      </c>
      <c r="CX189" s="28">
        <v>0</v>
      </c>
      <c r="CY189" s="28">
        <v>0</v>
      </c>
      <c r="CZ189" s="28">
        <v>0</v>
      </c>
      <c r="DA189" s="28">
        <v>0</v>
      </c>
      <c r="DB189" s="28">
        <v>0</v>
      </c>
      <c r="DC189" s="28">
        <v>0</v>
      </c>
      <c r="DD189" s="28">
        <v>0</v>
      </c>
      <c r="DE189" s="28">
        <v>0</v>
      </c>
      <c r="DF189" s="28">
        <v>0</v>
      </c>
      <c r="DG189" s="28">
        <v>0</v>
      </c>
      <c r="DH189" s="28">
        <v>0</v>
      </c>
      <c r="DI189" s="28">
        <v>0</v>
      </c>
      <c r="DJ189" s="28">
        <v>0</v>
      </c>
      <c r="DK189" s="28">
        <v>0</v>
      </c>
      <c r="DL189" s="28">
        <v>0</v>
      </c>
      <c r="DM189" s="28">
        <v>0</v>
      </c>
      <c r="DN189" s="28">
        <v>0</v>
      </c>
      <c r="DO189" s="28">
        <v>0</v>
      </c>
      <c r="DP189" s="28">
        <v>0</v>
      </c>
      <c r="DQ189" s="28">
        <v>0</v>
      </c>
      <c r="DR189" s="28">
        <v>0</v>
      </c>
      <c r="DS189" s="28">
        <v>0</v>
      </c>
      <c r="DT189" s="28">
        <v>0</v>
      </c>
      <c r="DU189" s="28">
        <v>0</v>
      </c>
      <c r="DV189" s="28">
        <v>0</v>
      </c>
      <c r="DW189" s="28">
        <v>0</v>
      </c>
      <c r="DX189" s="28">
        <v>0</v>
      </c>
      <c r="DY189" s="28">
        <v>0</v>
      </c>
      <c r="DZ189" s="28">
        <v>0</v>
      </c>
      <c r="EA189" s="28">
        <v>0</v>
      </c>
      <c r="EB189" s="28">
        <v>0</v>
      </c>
      <c r="EC189" s="28">
        <v>0</v>
      </c>
      <c r="ED189" s="28">
        <v>0</v>
      </c>
      <c r="EE189" s="28">
        <v>0</v>
      </c>
      <c r="EF189" s="28">
        <v>0</v>
      </c>
      <c r="EG189" s="28">
        <v>0</v>
      </c>
      <c r="EH189" s="28">
        <v>0</v>
      </c>
      <c r="EI189" s="28">
        <v>0</v>
      </c>
      <c r="EJ189" s="28">
        <v>0</v>
      </c>
      <c r="EK189" s="28">
        <v>0</v>
      </c>
      <c r="EL189" s="28">
        <v>0</v>
      </c>
      <c r="EM189" s="28">
        <v>0</v>
      </c>
      <c r="EN189" s="28">
        <v>0</v>
      </c>
      <c r="EO189" s="28">
        <v>0</v>
      </c>
      <c r="EP189" s="28">
        <v>0</v>
      </c>
      <c r="EQ189" s="28">
        <v>0</v>
      </c>
      <c r="ER189" s="28">
        <v>0</v>
      </c>
      <c r="ES189" s="28">
        <v>0</v>
      </c>
      <c r="ET189" s="28">
        <v>0</v>
      </c>
      <c r="EU189" s="28">
        <v>0</v>
      </c>
      <c r="EV189" s="28">
        <v>0</v>
      </c>
      <c r="EW189" s="28">
        <v>0</v>
      </c>
      <c r="EX189" s="28">
        <v>0</v>
      </c>
      <c r="EY189" s="28">
        <v>0</v>
      </c>
      <c r="EZ189" s="28">
        <v>0</v>
      </c>
      <c r="FA189" s="28">
        <v>0</v>
      </c>
      <c r="FB189" s="28">
        <v>0</v>
      </c>
      <c r="FC189" s="28">
        <v>0</v>
      </c>
      <c r="FD189" s="28">
        <v>0</v>
      </c>
      <c r="FE189" s="28">
        <v>0</v>
      </c>
      <c r="FF189" s="28">
        <v>0</v>
      </c>
      <c r="FG189" s="28">
        <v>0</v>
      </c>
      <c r="FH189" s="28">
        <v>0</v>
      </c>
      <c r="FI189" s="28">
        <v>0</v>
      </c>
      <c r="FJ189" s="28">
        <v>0</v>
      </c>
      <c r="FK189" s="28">
        <v>0</v>
      </c>
      <c r="FL189" s="28">
        <v>0</v>
      </c>
      <c r="FM189" s="28">
        <v>0</v>
      </c>
      <c r="FN189" s="28">
        <v>0</v>
      </c>
      <c r="FO189" s="28">
        <v>0</v>
      </c>
      <c r="FP189" s="28">
        <v>0</v>
      </c>
      <c r="FQ189" s="28">
        <v>0</v>
      </c>
      <c r="FR189" s="28">
        <v>0</v>
      </c>
      <c r="FS189" s="28">
        <v>0</v>
      </c>
      <c r="FT189" s="28">
        <v>0</v>
      </c>
      <c r="FU189" s="28">
        <v>0</v>
      </c>
      <c r="FV189" s="28">
        <v>0</v>
      </c>
      <c r="FW189" s="28">
        <v>0</v>
      </c>
      <c r="FX189" s="28">
        <v>0</v>
      </c>
      <c r="FY189" s="28">
        <v>0</v>
      </c>
      <c r="FZ189" s="28">
        <v>0</v>
      </c>
      <c r="GA189" s="28">
        <v>0</v>
      </c>
      <c r="GB189" s="28">
        <v>0</v>
      </c>
      <c r="GC189" s="28">
        <v>0</v>
      </c>
      <c r="GD189" s="28">
        <v>0</v>
      </c>
      <c r="GE189" s="28">
        <v>0</v>
      </c>
      <c r="GF189" s="28">
        <v>0</v>
      </c>
      <c r="GG189" s="28">
        <v>0</v>
      </c>
      <c r="GH189" s="28">
        <v>0</v>
      </c>
      <c r="GI189" s="28">
        <v>0</v>
      </c>
      <c r="GJ189" s="28">
        <v>0</v>
      </c>
      <c r="GK189" s="28">
        <v>0</v>
      </c>
      <c r="GL189" s="28">
        <v>0</v>
      </c>
      <c r="GM189" s="28">
        <v>0</v>
      </c>
      <c r="GN189" s="28">
        <v>0</v>
      </c>
      <c r="GO189" s="28">
        <v>0</v>
      </c>
      <c r="GP189" s="28">
        <v>0</v>
      </c>
      <c r="GQ189" s="21">
        <v>0</v>
      </c>
      <c r="GR189" s="21">
        <v>0</v>
      </c>
      <c r="GS189" s="20">
        <v>0</v>
      </c>
      <c r="GT189" s="20">
        <v>0</v>
      </c>
      <c r="GU189" s="20">
        <v>0</v>
      </c>
      <c r="GV189" s="20">
        <v>0</v>
      </c>
      <c r="GW189" s="20">
        <v>0</v>
      </c>
      <c r="GX189" s="21">
        <v>21041.828189339867</v>
      </c>
      <c r="GY189" s="20">
        <v>21041.828189339867</v>
      </c>
      <c r="GZ189" s="20">
        <v>0</v>
      </c>
      <c r="HA189" s="20"/>
      <c r="HB189" s="21">
        <v>0</v>
      </c>
      <c r="HC189" s="21">
        <v>21041.828189339867</v>
      </c>
    </row>
    <row r="190" spans="1:211" s="7" customFormat="1" ht="17.25" customHeight="1">
      <c r="A190" s="7">
        <f t="shared" si="10"/>
        <v>190</v>
      </c>
      <c r="B190" s="26" t="s">
        <v>651</v>
      </c>
      <c r="C190" s="10" t="s">
        <v>652</v>
      </c>
      <c r="D190" s="28">
        <v>0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0.80651892345643506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  <c r="EU190" s="28">
        <v>0</v>
      </c>
      <c r="EV190" s="28">
        <v>0</v>
      </c>
      <c r="EW190" s="28">
        <v>0</v>
      </c>
      <c r="EX190" s="28">
        <v>8.80601714721222</v>
      </c>
      <c r="EY190" s="28">
        <v>40.202274152878203</v>
      </c>
      <c r="EZ190" s="28">
        <v>12.887305</v>
      </c>
      <c r="FA190" s="28">
        <v>50.594256363148602</v>
      </c>
      <c r="FB190" s="28">
        <v>0</v>
      </c>
      <c r="FC190" s="28">
        <v>0</v>
      </c>
      <c r="FD190" s="28">
        <v>0</v>
      </c>
      <c r="FE190" s="28">
        <v>0</v>
      </c>
      <c r="FF190" s="28">
        <v>0</v>
      </c>
      <c r="FG190" s="28">
        <v>0</v>
      </c>
      <c r="FH190" s="28">
        <v>0</v>
      </c>
      <c r="FI190" s="28">
        <v>0</v>
      </c>
      <c r="FJ190" s="28">
        <v>0</v>
      </c>
      <c r="FK190" s="28">
        <v>5.0304325322305896</v>
      </c>
      <c r="FL190" s="28">
        <v>0</v>
      </c>
      <c r="FM190" s="28">
        <v>0</v>
      </c>
      <c r="FN190" s="28">
        <v>0</v>
      </c>
      <c r="FO190" s="28">
        <v>0</v>
      </c>
      <c r="FP190" s="28">
        <v>75.667363736941695</v>
      </c>
      <c r="FQ190" s="28">
        <v>0</v>
      </c>
      <c r="FR190" s="28">
        <v>0</v>
      </c>
      <c r="FS190" s="28">
        <v>0</v>
      </c>
      <c r="FT190" s="28">
        <v>0</v>
      </c>
      <c r="FU190" s="28">
        <v>0</v>
      </c>
      <c r="FV190" s="28">
        <v>0</v>
      </c>
      <c r="FW190" s="28">
        <v>0</v>
      </c>
      <c r="FX190" s="28">
        <v>0</v>
      </c>
      <c r="FY190" s="28">
        <v>0</v>
      </c>
      <c r="FZ190" s="28">
        <v>0</v>
      </c>
      <c r="GA190" s="28">
        <v>0</v>
      </c>
      <c r="GB190" s="28">
        <v>0</v>
      </c>
      <c r="GC190" s="28">
        <v>0</v>
      </c>
      <c r="GD190" s="28">
        <v>0</v>
      </c>
      <c r="GE190" s="28">
        <v>0</v>
      </c>
      <c r="GF190" s="28">
        <v>0</v>
      </c>
      <c r="GG190" s="28">
        <v>0</v>
      </c>
      <c r="GH190" s="28">
        <v>0</v>
      </c>
      <c r="GI190" s="28">
        <v>0</v>
      </c>
      <c r="GJ190" s="28">
        <v>0</v>
      </c>
      <c r="GK190" s="28">
        <v>0</v>
      </c>
      <c r="GL190" s="28">
        <v>0</v>
      </c>
      <c r="GM190" s="28">
        <v>0</v>
      </c>
      <c r="GN190" s="28">
        <v>0</v>
      </c>
      <c r="GO190" s="28">
        <v>0</v>
      </c>
      <c r="GP190" s="28">
        <v>0</v>
      </c>
      <c r="GQ190" s="21">
        <v>193.99416785586774</v>
      </c>
      <c r="GR190" s="21">
        <v>0</v>
      </c>
      <c r="GS190" s="20">
        <v>0</v>
      </c>
      <c r="GT190" s="20">
        <v>0</v>
      </c>
      <c r="GU190" s="20">
        <v>0</v>
      </c>
      <c r="GV190" s="20">
        <v>0</v>
      </c>
      <c r="GW190" s="20">
        <v>0</v>
      </c>
      <c r="GX190" s="21">
        <v>1003.4151879265593</v>
      </c>
      <c r="GY190" s="20">
        <v>1003.4151879265593</v>
      </c>
      <c r="GZ190" s="20">
        <v>0</v>
      </c>
      <c r="HA190" s="20"/>
      <c r="HB190" s="21">
        <v>0</v>
      </c>
      <c r="HC190" s="21">
        <v>1197.4093557824269</v>
      </c>
    </row>
    <row r="191" spans="1:211" s="7" customFormat="1" ht="17.25" customHeight="1">
      <c r="A191" s="7">
        <f t="shared" si="10"/>
        <v>191</v>
      </c>
      <c r="B191" s="26" t="s">
        <v>167</v>
      </c>
      <c r="C191" s="9" t="s">
        <v>653</v>
      </c>
      <c r="D191" s="28">
        <v>0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  <c r="EU191" s="28">
        <v>0</v>
      </c>
      <c r="EV191" s="28">
        <v>0</v>
      </c>
      <c r="EW191" s="28">
        <v>0</v>
      </c>
      <c r="EX191" s="28">
        <v>0</v>
      </c>
      <c r="EY191" s="28">
        <v>0</v>
      </c>
      <c r="EZ191" s="28">
        <v>0</v>
      </c>
      <c r="FA191" s="28">
        <v>0</v>
      </c>
      <c r="FB191" s="28">
        <v>0</v>
      </c>
      <c r="FC191" s="28">
        <v>0</v>
      </c>
      <c r="FD191" s="28">
        <v>0</v>
      </c>
      <c r="FE191" s="28">
        <v>0</v>
      </c>
      <c r="FF191" s="28">
        <v>0</v>
      </c>
      <c r="FG191" s="28">
        <v>0</v>
      </c>
      <c r="FH191" s="28">
        <v>0</v>
      </c>
      <c r="FI191" s="28">
        <v>0</v>
      </c>
      <c r="FJ191" s="28">
        <v>0</v>
      </c>
      <c r="FK191" s="28">
        <v>0</v>
      </c>
      <c r="FL191" s="28">
        <v>0</v>
      </c>
      <c r="FM191" s="28">
        <v>0</v>
      </c>
      <c r="FN191" s="28">
        <v>0</v>
      </c>
      <c r="FO191" s="28">
        <v>0</v>
      </c>
      <c r="FP191" s="28">
        <v>0</v>
      </c>
      <c r="FQ191" s="28">
        <v>0</v>
      </c>
      <c r="FR191" s="28">
        <v>0</v>
      </c>
      <c r="FS191" s="28">
        <v>0</v>
      </c>
      <c r="FT191" s="28">
        <v>0</v>
      </c>
      <c r="FU191" s="28">
        <v>0</v>
      </c>
      <c r="FV191" s="28">
        <v>0</v>
      </c>
      <c r="FW191" s="28">
        <v>0</v>
      </c>
      <c r="FX191" s="28">
        <v>0</v>
      </c>
      <c r="FY191" s="28">
        <v>0</v>
      </c>
      <c r="FZ191" s="28">
        <v>0</v>
      </c>
      <c r="GA191" s="28">
        <v>0</v>
      </c>
      <c r="GB191" s="28">
        <v>0</v>
      </c>
      <c r="GC191" s="28">
        <v>0</v>
      </c>
      <c r="GD191" s="28">
        <v>0</v>
      </c>
      <c r="GE191" s="28">
        <v>0</v>
      </c>
      <c r="GF191" s="28">
        <v>0</v>
      </c>
      <c r="GG191" s="28">
        <v>0</v>
      </c>
      <c r="GH191" s="28">
        <v>0</v>
      </c>
      <c r="GI191" s="28">
        <v>0</v>
      </c>
      <c r="GJ191" s="28">
        <v>0</v>
      </c>
      <c r="GK191" s="28">
        <v>0</v>
      </c>
      <c r="GL191" s="28">
        <v>0</v>
      </c>
      <c r="GM191" s="28">
        <v>0</v>
      </c>
      <c r="GN191" s="28">
        <v>0</v>
      </c>
      <c r="GO191" s="28">
        <v>0</v>
      </c>
      <c r="GP191" s="28">
        <v>0</v>
      </c>
      <c r="GQ191" s="21">
        <v>0</v>
      </c>
      <c r="GR191" s="21">
        <v>0</v>
      </c>
      <c r="GS191" s="20">
        <v>0</v>
      </c>
      <c r="GT191" s="20">
        <v>0</v>
      </c>
      <c r="GU191" s="20">
        <v>0</v>
      </c>
      <c r="GV191" s="20">
        <v>0</v>
      </c>
      <c r="GW191" s="20">
        <v>0</v>
      </c>
      <c r="GX191" s="21">
        <v>0</v>
      </c>
      <c r="GY191" s="20">
        <v>0</v>
      </c>
      <c r="GZ191" s="20">
        <v>0</v>
      </c>
      <c r="HA191" s="20"/>
      <c r="HB191" s="21">
        <v>0</v>
      </c>
      <c r="HC191" s="21">
        <v>0</v>
      </c>
    </row>
    <row r="192" spans="1:211" s="7" customFormat="1" ht="17.25" customHeight="1">
      <c r="A192" s="7">
        <f t="shared" si="10"/>
        <v>192</v>
      </c>
      <c r="B192" s="26" t="s">
        <v>175</v>
      </c>
      <c r="C192" s="10" t="s">
        <v>654</v>
      </c>
      <c r="D192" s="28">
        <v>0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0.59141124741278905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1.1849074614430299</v>
      </c>
      <c r="AM192" s="28">
        <v>0</v>
      </c>
      <c r="AN192" s="28">
        <v>0</v>
      </c>
      <c r="AO192" s="28">
        <v>0</v>
      </c>
      <c r="AP192" s="28">
        <v>20.644539955869</v>
      </c>
      <c r="AQ192" s="28">
        <v>0</v>
      </c>
      <c r="AR192" s="28">
        <v>0</v>
      </c>
      <c r="AS192" s="28">
        <v>0</v>
      </c>
      <c r="AT192" s="28">
        <v>3.5208240312316499</v>
      </c>
      <c r="AU192" s="28">
        <v>0.22113424093856501</v>
      </c>
      <c r="AV192" s="28">
        <v>2.46461427260168</v>
      </c>
      <c r="AW192" s="28">
        <v>11.651220241164401</v>
      </c>
      <c r="AX192" s="28">
        <v>11.2218053450521</v>
      </c>
      <c r="AY192" s="28">
        <v>1.5786275862583601E-2</v>
      </c>
      <c r="AZ192" s="28">
        <v>2.6984709272778602</v>
      </c>
      <c r="BA192" s="28">
        <v>5.4800195673038697E-2</v>
      </c>
      <c r="BB192" s="28">
        <v>4.5084551990565998E-2</v>
      </c>
      <c r="BC192" s="28">
        <v>1.05137441371954</v>
      </c>
      <c r="BD192" s="28">
        <v>2.8102803986992601E-2</v>
      </c>
      <c r="BE192" s="28">
        <v>0</v>
      </c>
      <c r="BF192" s="28">
        <v>0</v>
      </c>
      <c r="BG192" s="28">
        <v>0</v>
      </c>
      <c r="BH192" s="28">
        <v>4.5531153278615397</v>
      </c>
      <c r="BI192" s="28">
        <v>3.0976760903176598E-2</v>
      </c>
      <c r="BJ192" s="28">
        <v>0.10888936694469201</v>
      </c>
      <c r="BK192" s="28">
        <v>0</v>
      </c>
      <c r="BL192" s="28">
        <v>0.40927485961430399</v>
      </c>
      <c r="BM192" s="28">
        <v>0.112607899721947</v>
      </c>
      <c r="BN192" s="28">
        <v>0.38186164669775902</v>
      </c>
      <c r="BO192" s="28">
        <v>0.65853046439450802</v>
      </c>
      <c r="BP192" s="28">
        <v>2.08304627028875E-3</v>
      </c>
      <c r="BQ192" s="28">
        <v>0.114560354644326</v>
      </c>
      <c r="BR192" s="28">
        <v>6.3617148497462001E-2</v>
      </c>
      <c r="BS192" s="28">
        <v>0</v>
      </c>
      <c r="BT192" s="28">
        <v>0</v>
      </c>
      <c r="BU192" s="28">
        <v>0.21418189036245899</v>
      </c>
      <c r="BV192" s="28">
        <v>2.1906863063380699</v>
      </c>
      <c r="BW192" s="28">
        <v>0</v>
      </c>
      <c r="BX192" s="28">
        <v>0.19165731818641399</v>
      </c>
      <c r="BY192" s="28">
        <v>0.40381189609914397</v>
      </c>
      <c r="BZ192" s="28">
        <v>1.35404982447162E-2</v>
      </c>
      <c r="CA192" s="28">
        <v>6.4145999999999995E-2</v>
      </c>
      <c r="CB192" s="28">
        <v>0.14163131245847899</v>
      </c>
      <c r="CC192" s="28">
        <v>7.7635736266414802E-3</v>
      </c>
      <c r="CD192" s="28">
        <v>0.101998855868559</v>
      </c>
      <c r="CE192" s="28">
        <v>3.46821894832035E-2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3.4486070623740699</v>
      </c>
      <c r="CU192" s="28">
        <v>0.21008865289491699</v>
      </c>
      <c r="CV192" s="28">
        <v>0</v>
      </c>
      <c r="CW192" s="28">
        <v>8.6304613578895193</v>
      </c>
      <c r="CX192" s="28">
        <v>0</v>
      </c>
      <c r="CY192" s="28">
        <v>0</v>
      </c>
      <c r="CZ192" s="28">
        <v>0</v>
      </c>
      <c r="DA192" s="28">
        <v>0.89349170707252001</v>
      </c>
      <c r="DB192" s="28">
        <v>9.29117804400083</v>
      </c>
      <c r="DC192" s="28">
        <v>3.2944263594771002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1.21313116850689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0.53321636818486096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3.3056352488090299</v>
      </c>
      <c r="EE192" s="28">
        <v>0.75454096770315804</v>
      </c>
      <c r="EF192" s="28">
        <v>1.3045939306538401</v>
      </c>
      <c r="EG192" s="28">
        <v>0.38182862284983798</v>
      </c>
      <c r="EH192" s="28">
        <v>0.13184326374663599</v>
      </c>
      <c r="EI192" s="28">
        <v>6.1283340905108903E-2</v>
      </c>
      <c r="EJ192" s="28">
        <v>3.1530179897351398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4.6628841702257298E-2</v>
      </c>
      <c r="ET192" s="28">
        <v>0.21774927561274299</v>
      </c>
      <c r="EU192" s="28">
        <v>0</v>
      </c>
      <c r="EV192" s="28">
        <v>0</v>
      </c>
      <c r="EW192" s="28">
        <v>0</v>
      </c>
      <c r="EX192" s="28">
        <v>2.1251253560134802</v>
      </c>
      <c r="EY192" s="28">
        <v>0.97284008843611702</v>
      </c>
      <c r="EZ192" s="28">
        <v>2.3048534174997899</v>
      </c>
      <c r="FA192" s="28">
        <v>9.2318575991896292</v>
      </c>
      <c r="FB192" s="28">
        <v>2.2348090905835098</v>
      </c>
      <c r="FC192" s="28">
        <v>3.7567209166581299</v>
      </c>
      <c r="FD192" s="28">
        <v>0.319546365202246</v>
      </c>
      <c r="FE192" s="28">
        <v>0</v>
      </c>
      <c r="FF192" s="28">
        <v>0</v>
      </c>
      <c r="FG192" s="28">
        <v>3.7026641920068202</v>
      </c>
      <c r="FH192" s="28">
        <v>0.11735784744365101</v>
      </c>
      <c r="FI192" s="28">
        <v>247.58304245834501</v>
      </c>
      <c r="FJ192" s="28">
        <v>7.5257392943305099</v>
      </c>
      <c r="FK192" s="28">
        <v>0</v>
      </c>
      <c r="FL192" s="28">
        <v>0</v>
      </c>
      <c r="FM192" s="28">
        <v>0.76194633000000001</v>
      </c>
      <c r="FN192" s="28">
        <v>10.312292168072799</v>
      </c>
      <c r="FO192" s="28">
        <v>0</v>
      </c>
      <c r="FP192" s="28">
        <v>0</v>
      </c>
      <c r="FQ192" s="28">
        <v>3.75312419308346</v>
      </c>
      <c r="FR192" s="28">
        <v>9.4451239054319291</v>
      </c>
      <c r="FS192" s="28">
        <v>4.40279057436417</v>
      </c>
      <c r="FT192" s="28">
        <v>2.71234492415378</v>
      </c>
      <c r="FU192" s="28">
        <v>3.9835350541346499</v>
      </c>
      <c r="FV192" s="28">
        <v>18.142529949545299</v>
      </c>
      <c r="FW192" s="28">
        <v>0.21033926250000001</v>
      </c>
      <c r="FX192" s="28">
        <v>11.140037473739801</v>
      </c>
      <c r="FY192" s="28">
        <v>4.9598031300000001</v>
      </c>
      <c r="FZ192" s="28">
        <v>1.69420948</v>
      </c>
      <c r="GA192" s="28">
        <v>0</v>
      </c>
      <c r="GB192" s="28">
        <v>5.83559189183224</v>
      </c>
      <c r="GC192" s="28">
        <v>4.1902620935265604</v>
      </c>
      <c r="GD192" s="28">
        <v>30.405221839323399</v>
      </c>
      <c r="GE192" s="28">
        <v>32.115260759658</v>
      </c>
      <c r="GF192" s="28">
        <v>32.134659989369297</v>
      </c>
      <c r="GG192" s="28">
        <v>34.292601765294002</v>
      </c>
      <c r="GH192" s="28">
        <v>17.641378949406199</v>
      </c>
      <c r="GI192" s="28">
        <v>17.073657720936399</v>
      </c>
      <c r="GJ192" s="28">
        <v>3.8597377883683999</v>
      </c>
      <c r="GK192" s="28">
        <v>24.226063373610199</v>
      </c>
      <c r="GL192" s="28">
        <v>13.773008504989599</v>
      </c>
      <c r="GM192" s="28">
        <v>226.77409796987499</v>
      </c>
      <c r="GN192" s="28">
        <v>4.23064532407348</v>
      </c>
      <c r="GO192" s="28">
        <v>0</v>
      </c>
      <c r="GP192" s="28">
        <v>0</v>
      </c>
      <c r="GQ192" s="21">
        <v>900.01023592355784</v>
      </c>
      <c r="GR192" s="21">
        <v>11258.133147988077</v>
      </c>
      <c r="GS192" s="20">
        <v>11258.133147988077</v>
      </c>
      <c r="GT192" s="20">
        <v>0</v>
      </c>
      <c r="GU192" s="20">
        <v>0</v>
      </c>
      <c r="GV192" s="20">
        <v>0</v>
      </c>
      <c r="GW192" s="20">
        <v>0</v>
      </c>
      <c r="GX192" s="21">
        <v>0</v>
      </c>
      <c r="GY192" s="20">
        <v>0</v>
      </c>
      <c r="GZ192" s="20">
        <v>0</v>
      </c>
      <c r="HA192" s="20"/>
      <c r="HB192" s="21">
        <v>0</v>
      </c>
      <c r="HC192" s="21">
        <v>12158.143383911634</v>
      </c>
    </row>
    <row r="193" spans="1:211" s="7" customFormat="1" ht="17.25" customHeight="1">
      <c r="A193" s="7">
        <f t="shared" si="10"/>
        <v>193</v>
      </c>
      <c r="B193" s="26" t="s">
        <v>655</v>
      </c>
      <c r="C193" s="10" t="s">
        <v>656</v>
      </c>
      <c r="D193" s="28">
        <v>0</v>
      </c>
      <c r="E193" s="28">
        <v>38.403803241924798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3.9411222799636998</v>
      </c>
      <c r="U193" s="28">
        <v>10.4626809619611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6.0552023463403402E-2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141.94839300000001</v>
      </c>
      <c r="AY193" s="28">
        <v>0</v>
      </c>
      <c r="AZ193" s="28">
        <v>0.26579490262453398</v>
      </c>
      <c r="BA193" s="28">
        <v>1.7550767123264598E-2</v>
      </c>
      <c r="BB193" s="28">
        <v>2.6206934391058301E-2</v>
      </c>
      <c r="BC193" s="28">
        <v>1.01675460303931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6.9846714234428697</v>
      </c>
      <c r="CC193" s="28">
        <v>0.38286738936839598</v>
      </c>
      <c r="CD193" s="28">
        <v>5.0301623379918201</v>
      </c>
      <c r="CE193" s="28">
        <v>1.7103823552915201</v>
      </c>
      <c r="CF193" s="28">
        <v>0</v>
      </c>
      <c r="CG193" s="28">
        <v>0</v>
      </c>
      <c r="CH193" s="28">
        <v>0</v>
      </c>
      <c r="CI193" s="28">
        <v>29.228906631469702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12.8094369816918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1.5378688706677801</v>
      </c>
      <c r="DY193" s="28">
        <v>0</v>
      </c>
      <c r="DZ193" s="28">
        <v>28.4663341273647</v>
      </c>
      <c r="EA193" s="28">
        <v>0</v>
      </c>
      <c r="EB193" s="28">
        <v>0</v>
      </c>
      <c r="EC193" s="28">
        <v>0</v>
      </c>
      <c r="ED193" s="28">
        <v>0</v>
      </c>
      <c r="EE193" s="28">
        <v>0.34627950338878399</v>
      </c>
      <c r="EF193" s="28">
        <v>6.6200519595016003E-5</v>
      </c>
      <c r="EG193" s="28">
        <v>0</v>
      </c>
      <c r="EH193" s="28">
        <v>0</v>
      </c>
      <c r="EI193" s="28">
        <v>0</v>
      </c>
      <c r="EJ193" s="28">
        <v>1.05362963485425</v>
      </c>
      <c r="EK193" s="28">
        <v>0</v>
      </c>
      <c r="EL193" s="28">
        <v>0</v>
      </c>
      <c r="EM193" s="28">
        <v>0</v>
      </c>
      <c r="EN193" s="28">
        <v>0</v>
      </c>
      <c r="EO193" s="28">
        <v>1.1230399911125599</v>
      </c>
      <c r="EP193" s="28">
        <v>0</v>
      </c>
      <c r="EQ193" s="28">
        <v>1.1409424121439599E-2</v>
      </c>
      <c r="ER193" s="28">
        <v>1.32684500174214E-2</v>
      </c>
      <c r="ES193" s="28">
        <v>0</v>
      </c>
      <c r="ET193" s="28">
        <v>0.26199523460220298</v>
      </c>
      <c r="EU193" s="28">
        <v>0</v>
      </c>
      <c r="EV193" s="28">
        <v>0</v>
      </c>
      <c r="EW193" s="28">
        <v>0</v>
      </c>
      <c r="EX193" s="28">
        <v>0</v>
      </c>
      <c r="EY193" s="28">
        <v>0</v>
      </c>
      <c r="EZ193" s="28">
        <v>0</v>
      </c>
      <c r="FA193" s="28">
        <v>0</v>
      </c>
      <c r="FB193" s="28">
        <v>0</v>
      </c>
      <c r="FC193" s="28">
        <v>1.32411896596489E-2</v>
      </c>
      <c r="FD193" s="28">
        <v>2.45513037892565E-4</v>
      </c>
      <c r="FE193" s="28">
        <v>0</v>
      </c>
      <c r="FF193" s="28">
        <v>0</v>
      </c>
      <c r="FG193" s="28">
        <v>2.6072932858716001E-2</v>
      </c>
      <c r="FH193" s="28">
        <v>0</v>
      </c>
      <c r="FI193" s="28">
        <v>227.57976050271299</v>
      </c>
      <c r="FJ193" s="28">
        <v>0</v>
      </c>
      <c r="FK193" s="28">
        <v>0</v>
      </c>
      <c r="FL193" s="28">
        <v>0</v>
      </c>
      <c r="FM193" s="28">
        <v>0</v>
      </c>
      <c r="FN193" s="28">
        <v>0</v>
      </c>
      <c r="FO193" s="28">
        <v>0</v>
      </c>
      <c r="FP193" s="28">
        <v>9.4862017541388302E-2</v>
      </c>
      <c r="FQ193" s="28">
        <v>0</v>
      </c>
      <c r="FR193" s="28">
        <v>0</v>
      </c>
      <c r="FS193" s="28">
        <v>0</v>
      </c>
      <c r="FT193" s="28">
        <v>0</v>
      </c>
      <c r="FU193" s="28">
        <v>0</v>
      </c>
      <c r="FV193" s="28">
        <v>0</v>
      </c>
      <c r="FW193" s="28">
        <v>0</v>
      </c>
      <c r="FX193" s="28">
        <v>0</v>
      </c>
      <c r="FY193" s="28">
        <v>0</v>
      </c>
      <c r="FZ193" s="28">
        <v>0</v>
      </c>
      <c r="GA193" s="28">
        <v>0</v>
      </c>
      <c r="GB193" s="28">
        <v>0</v>
      </c>
      <c r="GC193" s="28">
        <v>0</v>
      </c>
      <c r="GD193" s="28">
        <v>0</v>
      </c>
      <c r="GE193" s="28">
        <v>0</v>
      </c>
      <c r="GF193" s="28">
        <v>3.5732398222434698</v>
      </c>
      <c r="GG193" s="28">
        <v>0</v>
      </c>
      <c r="GH193" s="28">
        <v>0</v>
      </c>
      <c r="GI193" s="28">
        <v>0</v>
      </c>
      <c r="GJ193" s="28">
        <v>0</v>
      </c>
      <c r="GK193" s="28">
        <v>0</v>
      </c>
      <c r="GL193" s="28">
        <v>0</v>
      </c>
      <c r="GM193" s="28">
        <v>0</v>
      </c>
      <c r="GN193" s="28">
        <v>0</v>
      </c>
      <c r="GO193" s="28">
        <v>0</v>
      </c>
      <c r="GP193" s="28">
        <v>0</v>
      </c>
      <c r="GQ193" s="21">
        <v>516.39059924844992</v>
      </c>
      <c r="GR193" s="21">
        <v>14.244912018258086</v>
      </c>
      <c r="GS193" s="20">
        <v>14.244912018258086</v>
      </c>
      <c r="GT193" s="20">
        <v>0</v>
      </c>
      <c r="GU193" s="20">
        <v>0</v>
      </c>
      <c r="GV193" s="20">
        <v>0</v>
      </c>
      <c r="GW193" s="20">
        <v>0</v>
      </c>
      <c r="GX193" s="21">
        <v>0</v>
      </c>
      <c r="GY193" s="20">
        <v>0</v>
      </c>
      <c r="GZ193" s="20">
        <v>0</v>
      </c>
      <c r="HA193" s="20"/>
      <c r="HB193" s="21">
        <v>0</v>
      </c>
      <c r="HC193" s="21">
        <v>530.63551126670802</v>
      </c>
    </row>
    <row r="194" spans="1:211" s="7" customFormat="1" ht="17.25" customHeight="1">
      <c r="A194" s="7">
        <f t="shared" si="10"/>
        <v>194</v>
      </c>
      <c r="B194" s="26" t="s">
        <v>657</v>
      </c>
      <c r="C194" s="10" t="s">
        <v>658</v>
      </c>
      <c r="D194" s="28">
        <v>27.3758451170523</v>
      </c>
      <c r="E194" s="28">
        <v>54.185056009750802</v>
      </c>
      <c r="F194" s="28">
        <v>232.636615866715</v>
      </c>
      <c r="G194" s="28">
        <v>22.942938575075999</v>
      </c>
      <c r="H194" s="28">
        <v>64.372925229731905</v>
      </c>
      <c r="I194" s="28">
        <v>64.685964550033404</v>
      </c>
      <c r="J194" s="28">
        <v>21.882630061871499</v>
      </c>
      <c r="K194" s="28">
        <v>5.5810839287866303</v>
      </c>
      <c r="L194" s="28">
        <v>17.387432766273498</v>
      </c>
      <c r="M194" s="28">
        <v>124.32850999207901</v>
      </c>
      <c r="N194" s="28">
        <v>40.110066237845402</v>
      </c>
      <c r="O194" s="28">
        <v>49.754334203329599</v>
      </c>
      <c r="P194" s="28">
        <v>7.1108995487784004</v>
      </c>
      <c r="Q194" s="28">
        <v>157.205186389614</v>
      </c>
      <c r="R194" s="28">
        <v>34.857565244041503</v>
      </c>
      <c r="S194" s="28">
        <v>53.875638593119398</v>
      </c>
      <c r="T194" s="28">
        <v>19.408292457021499</v>
      </c>
      <c r="U194" s="28">
        <v>29.548247366115199</v>
      </c>
      <c r="V194" s="28">
        <v>1.0426612453357</v>
      </c>
      <c r="W194" s="28">
        <v>19.654400289209601</v>
      </c>
      <c r="X194" s="28">
        <v>10.1168798</v>
      </c>
      <c r="Y194" s="28">
        <v>3.01654987</v>
      </c>
      <c r="Z194" s="28">
        <v>50.859263248547201</v>
      </c>
      <c r="AA194" s="28">
        <v>1.47077957507039</v>
      </c>
      <c r="AB194" s="28">
        <v>2.0116879000000001</v>
      </c>
      <c r="AC194" s="28">
        <v>108.279269639871</v>
      </c>
      <c r="AD194" s="28">
        <v>8.5597337230834195E-2</v>
      </c>
      <c r="AE194" s="28">
        <v>212.58289475467799</v>
      </c>
      <c r="AF194" s="28">
        <v>131.321127788795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93.691709659984895</v>
      </c>
      <c r="AM194" s="28">
        <v>0</v>
      </c>
      <c r="AN194" s="28">
        <v>131.73117688255201</v>
      </c>
      <c r="AO194" s="28">
        <v>2.2579648467679001</v>
      </c>
      <c r="AP194" s="28">
        <v>0</v>
      </c>
      <c r="AQ194" s="28">
        <v>6.9165798005721896E-2</v>
      </c>
      <c r="AR194" s="28">
        <v>0</v>
      </c>
      <c r="AS194" s="28">
        <v>0</v>
      </c>
      <c r="AT194" s="28">
        <v>648.63774269843202</v>
      </c>
      <c r="AU194" s="28">
        <v>29.0400000168929</v>
      </c>
      <c r="AV194" s="28">
        <v>40.670070611749601</v>
      </c>
      <c r="AW194" s="28">
        <v>31.9484348277722</v>
      </c>
      <c r="AX194" s="28">
        <v>266.27868087830001</v>
      </c>
      <c r="AY194" s="28">
        <v>0.21493236483608899</v>
      </c>
      <c r="AZ194" s="28">
        <v>6.8089752898632403</v>
      </c>
      <c r="BA194" s="28">
        <v>13.941911156897101</v>
      </c>
      <c r="BB194" s="28">
        <v>4.2983919188863098</v>
      </c>
      <c r="BC194" s="28">
        <v>95.328652021639897</v>
      </c>
      <c r="BD194" s="28">
        <v>0.99423935637416805</v>
      </c>
      <c r="BE194" s="28">
        <v>17.3001589316817</v>
      </c>
      <c r="BF194" s="28">
        <v>0</v>
      </c>
      <c r="BG194" s="28">
        <v>0.35743528801573099</v>
      </c>
      <c r="BH194" s="28">
        <v>64.153300087257804</v>
      </c>
      <c r="BI194" s="28">
        <v>0.185950810002452</v>
      </c>
      <c r="BJ194" s="28">
        <v>3.3589094236296799</v>
      </c>
      <c r="BK194" s="28">
        <v>0</v>
      </c>
      <c r="BL194" s="28">
        <v>0.32093859365590599</v>
      </c>
      <c r="BM194" s="28">
        <v>0.27911054196573298</v>
      </c>
      <c r="BN194" s="28">
        <v>0.88200348500701398</v>
      </c>
      <c r="BO194" s="28">
        <v>0.44748652844849401</v>
      </c>
      <c r="BP194" s="28">
        <v>7.2568634082136301E-3</v>
      </c>
      <c r="BQ194" s="28">
        <v>0.69943300702158995</v>
      </c>
      <c r="BR194" s="28">
        <v>5.55147725066655</v>
      </c>
      <c r="BS194" s="28">
        <v>0</v>
      </c>
      <c r="BT194" s="28">
        <v>11.915347069999999</v>
      </c>
      <c r="BU194" s="28">
        <v>0.27645586445917097</v>
      </c>
      <c r="BV194" s="28">
        <v>19.312966371701901</v>
      </c>
      <c r="BW194" s="28">
        <v>0</v>
      </c>
      <c r="BX194" s="28">
        <v>1.2575275066048699</v>
      </c>
      <c r="BY194" s="28">
        <v>2.79518642398304</v>
      </c>
      <c r="BZ194" s="28">
        <v>25.9175453596376</v>
      </c>
      <c r="CA194" s="28">
        <v>0.21291455004736401</v>
      </c>
      <c r="CB194" s="28">
        <v>3.6973690791399099</v>
      </c>
      <c r="CC194" s="28">
        <v>0.202672675784075</v>
      </c>
      <c r="CD194" s="28">
        <v>2.6627403873463198</v>
      </c>
      <c r="CE194" s="28">
        <v>0.90539904464742704</v>
      </c>
      <c r="CF194" s="28">
        <v>0</v>
      </c>
      <c r="CG194" s="28">
        <v>2.3286407566228</v>
      </c>
      <c r="CH194" s="28">
        <v>6.3361061103786406E-2</v>
      </c>
      <c r="CI194" s="28">
        <v>15.7084445953369</v>
      </c>
      <c r="CJ194" s="28">
        <v>0.143063209772508</v>
      </c>
      <c r="CK194" s="28">
        <v>0.121767483651638</v>
      </c>
      <c r="CL194" s="28">
        <v>1.30818550910257</v>
      </c>
      <c r="CM194" s="28">
        <v>49.836857704870198</v>
      </c>
      <c r="CN194" s="28">
        <v>0.51723802089691195</v>
      </c>
      <c r="CO194" s="28">
        <v>5.3616738319396999</v>
      </c>
      <c r="CP194" s="28">
        <v>2.5019388198852499</v>
      </c>
      <c r="CQ194" s="28">
        <v>1.17994296550751</v>
      </c>
      <c r="CR194" s="28">
        <v>3.3457690093115902E-2</v>
      </c>
      <c r="CS194" s="28">
        <v>2.3509093903199998E-3</v>
      </c>
      <c r="CT194" s="28">
        <v>24.3326461543937</v>
      </c>
      <c r="CU194" s="28">
        <v>2.5568244941067202</v>
      </c>
      <c r="CV194" s="28">
        <v>1.5885154409947999</v>
      </c>
      <c r="CW194" s="28">
        <v>18.891120545458101</v>
      </c>
      <c r="CX194" s="28">
        <v>0.32731624503721701</v>
      </c>
      <c r="CY194" s="28">
        <v>2.45882291596739</v>
      </c>
      <c r="CZ194" s="28">
        <v>0</v>
      </c>
      <c r="DA194" s="28">
        <v>24.6319348708716</v>
      </c>
      <c r="DB194" s="28">
        <v>14.5567027017293</v>
      </c>
      <c r="DC194" s="28">
        <v>5.1577865816241601</v>
      </c>
      <c r="DD194" s="28">
        <v>2.24369990871037</v>
      </c>
      <c r="DE194" s="28">
        <v>0</v>
      </c>
      <c r="DF194" s="28">
        <v>0.48993532333217799</v>
      </c>
      <c r="DG194" s="28">
        <v>19.076246664209499</v>
      </c>
      <c r="DH194" s="28">
        <v>9.9989470147574107</v>
      </c>
      <c r="DI194" s="28">
        <v>0.31566951378538899</v>
      </c>
      <c r="DJ194" s="28">
        <v>145.722626495691</v>
      </c>
      <c r="DK194" s="28">
        <v>0.190440083696996</v>
      </c>
      <c r="DL194" s="28">
        <v>0.99816423418669697</v>
      </c>
      <c r="DM194" s="28">
        <v>0.28721950302620902</v>
      </c>
      <c r="DN194" s="28">
        <v>4.4242535459286803</v>
      </c>
      <c r="DO194" s="28">
        <v>9.2437636948101698</v>
      </c>
      <c r="DP194" s="28">
        <v>0</v>
      </c>
      <c r="DQ194" s="28">
        <v>8.2846548543067797</v>
      </c>
      <c r="DR194" s="28">
        <v>15.9359964890004</v>
      </c>
      <c r="DS194" s="28">
        <v>13.274712220185799</v>
      </c>
      <c r="DT194" s="28">
        <v>0.87670695900366902</v>
      </c>
      <c r="DU194" s="28">
        <v>40.188716720279302</v>
      </c>
      <c r="DV194" s="28">
        <v>6.8458670404824904</v>
      </c>
      <c r="DW194" s="28">
        <v>0</v>
      </c>
      <c r="DX194" s="28">
        <v>0.23455865753647501</v>
      </c>
      <c r="DY194" s="28">
        <v>1.50307470044282</v>
      </c>
      <c r="DZ194" s="28">
        <v>4.3266946138576898</v>
      </c>
      <c r="EA194" s="28">
        <v>0</v>
      </c>
      <c r="EB194" s="28">
        <v>0.48572290606540303</v>
      </c>
      <c r="EC194" s="28">
        <v>13.410331028710299</v>
      </c>
      <c r="ED194" s="28">
        <v>5.3034089257230104</v>
      </c>
      <c r="EE194" s="28">
        <v>9.3727441541877408</v>
      </c>
      <c r="EF194" s="28">
        <v>3.0254252314806799E-4</v>
      </c>
      <c r="EG194" s="28">
        <v>1.5986503815400099</v>
      </c>
      <c r="EH194" s="28">
        <v>0.55200493435749898</v>
      </c>
      <c r="EI194" s="28">
        <v>0.26056147010636399</v>
      </c>
      <c r="EJ194" s="28">
        <v>9.2123636815595606</v>
      </c>
      <c r="EK194" s="28">
        <v>9.7074848192940599E-2</v>
      </c>
      <c r="EL194" s="28">
        <v>0.10165506390859901</v>
      </c>
      <c r="EM194" s="28">
        <v>0</v>
      </c>
      <c r="EN194" s="28">
        <v>0</v>
      </c>
      <c r="EO194" s="28">
        <v>0</v>
      </c>
      <c r="EP194" s="28">
        <v>0</v>
      </c>
      <c r="EQ194" s="28">
        <v>0.32056472286104898</v>
      </c>
      <c r="ER194" s="28">
        <v>0.21281116399636801</v>
      </c>
      <c r="ES194" s="28">
        <v>9.0557373498441898</v>
      </c>
      <c r="ET194" s="28">
        <v>0.82563337918953095</v>
      </c>
      <c r="EU194" s="28">
        <v>8.4357079919171393E-2</v>
      </c>
      <c r="EV194" s="28">
        <v>0.168968089683423</v>
      </c>
      <c r="EW194" s="28">
        <v>0</v>
      </c>
      <c r="EX194" s="28">
        <v>20.4709947048899</v>
      </c>
      <c r="EY194" s="28">
        <v>3.82986790504222</v>
      </c>
      <c r="EZ194" s="28">
        <v>2.46938259522604</v>
      </c>
      <c r="FA194" s="28">
        <v>1.82221427773714</v>
      </c>
      <c r="FB194" s="28">
        <v>3.0273525161701</v>
      </c>
      <c r="FC194" s="28">
        <v>4.6622188425242204</v>
      </c>
      <c r="FD194" s="28">
        <v>0.248627609618148</v>
      </c>
      <c r="FE194" s="28">
        <v>0</v>
      </c>
      <c r="FF194" s="28">
        <v>20.4014025595927</v>
      </c>
      <c r="FG194" s="28">
        <v>2.1889345265945099</v>
      </c>
      <c r="FH194" s="28">
        <v>4.3333205724791199E-2</v>
      </c>
      <c r="FI194" s="28">
        <v>2939.77552371716</v>
      </c>
      <c r="FJ194" s="28">
        <v>0</v>
      </c>
      <c r="FK194" s="28">
        <v>0</v>
      </c>
      <c r="FL194" s="28">
        <v>16.700923472267601</v>
      </c>
      <c r="FM194" s="28">
        <v>2.94107827065044E-2</v>
      </c>
      <c r="FN194" s="28">
        <v>23.103360289004598</v>
      </c>
      <c r="FO194" s="28">
        <v>0.19041187969270901</v>
      </c>
      <c r="FP194" s="28">
        <v>0.222013450464974</v>
      </c>
      <c r="FQ194" s="28">
        <v>103.63718281527601</v>
      </c>
      <c r="FR194" s="28">
        <v>7.2633756908000597</v>
      </c>
      <c r="FS194" s="28">
        <v>3.57916160778767</v>
      </c>
      <c r="FT194" s="28">
        <v>10.3644366362646</v>
      </c>
      <c r="FU194" s="28">
        <v>47.718577845547401</v>
      </c>
      <c r="FV194" s="28">
        <v>16.8450103740748</v>
      </c>
      <c r="FW194" s="28">
        <v>0.61126053999999996</v>
      </c>
      <c r="FX194" s="28">
        <v>0</v>
      </c>
      <c r="FY194" s="28">
        <v>0</v>
      </c>
      <c r="FZ194" s="28">
        <v>0</v>
      </c>
      <c r="GA194" s="28">
        <v>2.4753385436616301E-2</v>
      </c>
      <c r="GB194" s="28">
        <v>10.114451326955599</v>
      </c>
      <c r="GC194" s="28">
        <v>14.106937206997999</v>
      </c>
      <c r="GD194" s="28">
        <v>24.929802825759399</v>
      </c>
      <c r="GE194" s="28">
        <v>4.4309309013462697</v>
      </c>
      <c r="GF194" s="28">
        <v>6.5060608736063701</v>
      </c>
      <c r="GG194" s="28">
        <v>36.026138157516897</v>
      </c>
      <c r="GH194" s="28">
        <v>7.2240177113441204</v>
      </c>
      <c r="GI194" s="28">
        <v>34.840155981983003</v>
      </c>
      <c r="GJ194" s="28">
        <v>6.0260805135834401</v>
      </c>
      <c r="GK194" s="28">
        <v>26.848198953538699</v>
      </c>
      <c r="GL194" s="28">
        <v>3.1365485170676299</v>
      </c>
      <c r="GM194" s="28">
        <v>0</v>
      </c>
      <c r="GN194" s="28">
        <v>0</v>
      </c>
      <c r="GO194" s="28">
        <v>0</v>
      </c>
      <c r="GP194" s="28">
        <v>0</v>
      </c>
      <c r="GQ194" s="21">
        <v>7008.8544637262976</v>
      </c>
      <c r="GR194" s="21">
        <v>3808.7683284497448</v>
      </c>
      <c r="GS194" s="20">
        <v>3808.7683284497448</v>
      </c>
      <c r="GT194" s="20">
        <v>0</v>
      </c>
      <c r="GU194" s="20">
        <v>0</v>
      </c>
      <c r="GV194" s="20">
        <v>0</v>
      </c>
      <c r="GW194" s="20">
        <v>0</v>
      </c>
      <c r="GX194" s="21">
        <v>0</v>
      </c>
      <c r="GY194" s="20">
        <v>0</v>
      </c>
      <c r="GZ194" s="20">
        <v>0</v>
      </c>
      <c r="HA194" s="20"/>
      <c r="HB194" s="21">
        <v>1723.88376817465</v>
      </c>
      <c r="HC194" s="21">
        <v>12541.506560350692</v>
      </c>
    </row>
    <row r="195" spans="1:211" s="7" customFormat="1" ht="17.25" customHeight="1">
      <c r="A195" s="7">
        <f t="shared" si="10"/>
        <v>195</v>
      </c>
      <c r="B195" s="26" t="s">
        <v>659</v>
      </c>
      <c r="C195" s="9" t="s">
        <v>660</v>
      </c>
      <c r="D195" s="28">
        <v>0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4.4977437202075903</v>
      </c>
      <c r="T195" s="28">
        <v>2.42147863186623</v>
      </c>
      <c r="U195" s="28">
        <v>1.16390082118214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8.3648896798252603E-2</v>
      </c>
      <c r="AF195" s="28">
        <v>0.79252152454151004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7.5667979082372696</v>
      </c>
      <c r="AO195" s="28">
        <v>0</v>
      </c>
      <c r="AP195" s="28">
        <v>0.13665939939446001</v>
      </c>
      <c r="AQ195" s="28">
        <v>0.36403051581951601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4.1759798681829103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11.488388555576799</v>
      </c>
      <c r="CC195" s="28">
        <v>0.62974033675521501</v>
      </c>
      <c r="CD195" s="28">
        <v>8.2736117324748104</v>
      </c>
      <c r="CE195" s="28">
        <v>2.8132371424432701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0</v>
      </c>
      <c r="CY195" s="28">
        <v>0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0.5</v>
      </c>
      <c r="DH195" s="28">
        <v>0</v>
      </c>
      <c r="DI195" s="28">
        <v>0</v>
      </c>
      <c r="DJ195" s="28">
        <v>9.5563920994009006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1.3340208556442701</v>
      </c>
      <c r="DZ195" s="28">
        <v>2.1263411443391398</v>
      </c>
      <c r="EA195" s="28">
        <v>1.94107610106018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  <c r="EU195" s="28">
        <v>0</v>
      </c>
      <c r="EV195" s="28">
        <v>0</v>
      </c>
      <c r="EW195" s="28">
        <v>0</v>
      </c>
      <c r="EX195" s="28">
        <v>0</v>
      </c>
      <c r="EY195" s="28">
        <v>0</v>
      </c>
      <c r="EZ195" s="28">
        <v>0</v>
      </c>
      <c r="FA195" s="28">
        <v>0</v>
      </c>
      <c r="FB195" s="28">
        <v>0</v>
      </c>
      <c r="FC195" s="28">
        <v>0</v>
      </c>
      <c r="FD195" s="28">
        <v>0</v>
      </c>
      <c r="FE195" s="28">
        <v>0</v>
      </c>
      <c r="FF195" s="28">
        <v>0</v>
      </c>
      <c r="FG195" s="28">
        <v>0</v>
      </c>
      <c r="FH195" s="28">
        <v>0</v>
      </c>
      <c r="FI195" s="28">
        <v>25.9953285163126</v>
      </c>
      <c r="FJ195" s="28">
        <v>0</v>
      </c>
      <c r="FK195" s="28">
        <v>0</v>
      </c>
      <c r="FL195" s="28">
        <v>0</v>
      </c>
      <c r="FM195" s="28">
        <v>0</v>
      </c>
      <c r="FN195" s="28">
        <v>0</v>
      </c>
      <c r="FO195" s="28">
        <v>0</v>
      </c>
      <c r="FP195" s="28">
        <v>0</v>
      </c>
      <c r="FQ195" s="28">
        <v>0</v>
      </c>
      <c r="FR195" s="28">
        <v>0</v>
      </c>
      <c r="FS195" s="28">
        <v>0</v>
      </c>
      <c r="FT195" s="28">
        <v>0</v>
      </c>
      <c r="FU195" s="28">
        <v>0</v>
      </c>
      <c r="FV195" s="28">
        <v>0</v>
      </c>
      <c r="FW195" s="28">
        <v>0</v>
      </c>
      <c r="FX195" s="28">
        <v>0</v>
      </c>
      <c r="FY195" s="28">
        <v>0</v>
      </c>
      <c r="FZ195" s="28">
        <v>0</v>
      </c>
      <c r="GA195" s="28">
        <v>0</v>
      </c>
      <c r="GB195" s="28">
        <v>0</v>
      </c>
      <c r="GC195" s="28">
        <v>0</v>
      </c>
      <c r="GD195" s="28">
        <v>0</v>
      </c>
      <c r="GE195" s="28">
        <v>0</v>
      </c>
      <c r="GF195" s="28">
        <v>0</v>
      </c>
      <c r="GG195" s="28">
        <v>0</v>
      </c>
      <c r="GH195" s="28">
        <v>0</v>
      </c>
      <c r="GI195" s="28">
        <v>0</v>
      </c>
      <c r="GJ195" s="28">
        <v>0</v>
      </c>
      <c r="GK195" s="28">
        <v>0</v>
      </c>
      <c r="GL195" s="28">
        <v>0</v>
      </c>
      <c r="GM195" s="28">
        <v>0</v>
      </c>
      <c r="GN195" s="28">
        <v>0</v>
      </c>
      <c r="GO195" s="28">
        <v>0</v>
      </c>
      <c r="GP195" s="28">
        <v>0</v>
      </c>
      <c r="GQ195" s="21">
        <v>85.860897770237074</v>
      </c>
      <c r="GR195" s="21">
        <v>20.013841935506548</v>
      </c>
      <c r="GS195" s="20">
        <v>20.013841935506548</v>
      </c>
      <c r="GT195" s="20">
        <v>0</v>
      </c>
      <c r="GU195" s="20">
        <v>0</v>
      </c>
      <c r="GV195" s="20">
        <v>0</v>
      </c>
      <c r="GW195" s="20">
        <v>0</v>
      </c>
      <c r="GX195" s="21">
        <v>0</v>
      </c>
      <c r="GY195" s="20">
        <v>0</v>
      </c>
      <c r="GZ195" s="20">
        <v>0</v>
      </c>
      <c r="HA195" s="20"/>
      <c r="HB195" s="21">
        <v>0</v>
      </c>
      <c r="HC195" s="21">
        <v>105.87473970574362</v>
      </c>
    </row>
    <row r="196" spans="1:211" s="7" customFormat="1" ht="17.25" customHeight="1">
      <c r="A196" s="7">
        <f t="shared" si="10"/>
        <v>196</v>
      </c>
      <c r="B196" s="26" t="s">
        <v>661</v>
      </c>
      <c r="C196" s="10" t="s">
        <v>662</v>
      </c>
      <c r="D196" s="28">
        <v>0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0.31407245999654798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173.68253861707399</v>
      </c>
      <c r="AU196" s="28">
        <v>0.913905575173388</v>
      </c>
      <c r="AV196" s="28">
        <v>0.94502172895950998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0.275235830372145</v>
      </c>
      <c r="BI196" s="28">
        <v>7.1896672738344797E-2</v>
      </c>
      <c r="BJ196" s="28">
        <v>0.22745443352960901</v>
      </c>
      <c r="BK196" s="28">
        <v>0</v>
      </c>
      <c r="BL196" s="28">
        <v>0.217682233582011</v>
      </c>
      <c r="BM196" s="28">
        <v>0.15542152013273</v>
      </c>
      <c r="BN196" s="28">
        <v>0.203920032852899</v>
      </c>
      <c r="BO196" s="28">
        <v>0.45089793649913601</v>
      </c>
      <c r="BP196" s="28">
        <v>1.4070503441010701E-3</v>
      </c>
      <c r="BQ196" s="28">
        <v>1.04427445537559</v>
      </c>
      <c r="BR196" s="28">
        <v>0.184621123468101</v>
      </c>
      <c r="BS196" s="28">
        <v>0</v>
      </c>
      <c r="BT196" s="28">
        <v>0</v>
      </c>
      <c r="BU196" s="28">
        <v>0.197149883222804</v>
      </c>
      <c r="BV196" s="28">
        <v>1.18241057426185</v>
      </c>
      <c r="BW196" s="28">
        <v>0</v>
      </c>
      <c r="BX196" s="28">
        <v>4.8727285528449897E-2</v>
      </c>
      <c r="BY196" s="28">
        <v>0</v>
      </c>
      <c r="BZ196" s="28">
        <v>0</v>
      </c>
      <c r="CA196" s="28">
        <v>3.2767740298542798E-2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5.3545862020225897E-2</v>
      </c>
      <c r="CM196" s="28">
        <v>0.154823603408281</v>
      </c>
      <c r="CN196" s="28">
        <v>0</v>
      </c>
      <c r="CO196" s="28">
        <v>0</v>
      </c>
      <c r="CP196" s="28">
        <v>0</v>
      </c>
      <c r="CQ196" s="28">
        <v>0</v>
      </c>
      <c r="CR196" s="28">
        <v>9.1732560544616395E-3</v>
      </c>
      <c r="CS196" s="28">
        <v>0</v>
      </c>
      <c r="CT196" s="28">
        <v>4.6349131025665402</v>
      </c>
      <c r="CU196" s="28">
        <v>4.5462984428899398E-3</v>
      </c>
      <c r="CV196" s="28">
        <v>0.22628602531242201</v>
      </c>
      <c r="CW196" s="28">
        <v>3.5215804463263898</v>
      </c>
      <c r="CX196" s="28">
        <v>6.0841711062132996E-3</v>
      </c>
      <c r="CY196" s="28">
        <v>2.2742553877273202</v>
      </c>
      <c r="CZ196" s="28">
        <v>0.85927961319945501</v>
      </c>
      <c r="DA196" s="28">
        <v>0.61253220374030404</v>
      </c>
      <c r="DB196" s="28">
        <v>1.34400697431644</v>
      </c>
      <c r="DC196" s="28">
        <v>0.56424697768986798</v>
      </c>
      <c r="DD196" s="28">
        <v>0</v>
      </c>
      <c r="DE196" s="28">
        <v>0</v>
      </c>
      <c r="DF196" s="28">
        <v>0</v>
      </c>
      <c r="DG196" s="28">
        <v>0.75856261162796201</v>
      </c>
      <c r="DH196" s="28">
        <v>1.4E-2</v>
      </c>
      <c r="DI196" s="28">
        <v>0</v>
      </c>
      <c r="DJ196" s="28">
        <v>0</v>
      </c>
      <c r="DK196" s="28">
        <v>0</v>
      </c>
      <c r="DL196" s="28">
        <v>0</v>
      </c>
      <c r="DM196" s="28">
        <v>1.0058719132813899E-2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0.54502378029999998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0.18082648393859099</v>
      </c>
      <c r="EE196" s="28">
        <v>2.3858243328915198E-2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  <c r="EU196" s="28">
        <v>0</v>
      </c>
      <c r="EV196" s="28">
        <v>0</v>
      </c>
      <c r="EW196" s="28">
        <v>0</v>
      </c>
      <c r="EX196" s="28">
        <v>0.37773313432549999</v>
      </c>
      <c r="EY196" s="28">
        <v>0.28204117190026701</v>
      </c>
      <c r="EZ196" s="28">
        <v>1.2797727377172601</v>
      </c>
      <c r="FA196" s="28">
        <v>0.17810739687476601</v>
      </c>
      <c r="FB196" s="28">
        <v>0.28709798862269298</v>
      </c>
      <c r="FC196" s="28">
        <v>0</v>
      </c>
      <c r="FD196" s="28">
        <v>0</v>
      </c>
      <c r="FE196" s="28">
        <v>0</v>
      </c>
      <c r="FF196" s="28">
        <v>0</v>
      </c>
      <c r="FG196" s="28">
        <v>6.2252283258440603E-3</v>
      </c>
      <c r="FH196" s="28">
        <v>0</v>
      </c>
      <c r="FI196" s="28">
        <v>64.794053224856299</v>
      </c>
      <c r="FJ196" s="28">
        <v>0</v>
      </c>
      <c r="FK196" s="28">
        <v>0</v>
      </c>
      <c r="FL196" s="28">
        <v>3.3210020384288699</v>
      </c>
      <c r="FM196" s="28">
        <v>0</v>
      </c>
      <c r="FN196" s="28">
        <v>2.96024222832011</v>
      </c>
      <c r="FO196" s="28">
        <v>0.30679158057912798</v>
      </c>
      <c r="FP196" s="28">
        <v>11.6674345966166</v>
      </c>
      <c r="FQ196" s="28">
        <v>3.5058116240908301</v>
      </c>
      <c r="FR196" s="28">
        <v>0.185650563928311</v>
      </c>
      <c r="FS196" s="28">
        <v>8.0919342695309808</v>
      </c>
      <c r="FT196" s="28">
        <v>0</v>
      </c>
      <c r="FU196" s="28">
        <v>34.911159316716201</v>
      </c>
      <c r="FV196" s="28">
        <v>4.83235987319354</v>
      </c>
      <c r="FW196" s="28">
        <v>1.36300369</v>
      </c>
      <c r="FX196" s="28">
        <v>14.955560598507599</v>
      </c>
      <c r="FY196" s="28">
        <v>6.0874884299999996</v>
      </c>
      <c r="FZ196" s="28">
        <v>7.8729327528258901</v>
      </c>
      <c r="GA196" s="28">
        <v>0</v>
      </c>
      <c r="GB196" s="28">
        <v>2.6511504904769598</v>
      </c>
      <c r="GC196" s="28">
        <v>1.71941890540075</v>
      </c>
      <c r="GD196" s="28">
        <v>33.833653127707002</v>
      </c>
      <c r="GE196" s="28">
        <v>3.0673078155950502</v>
      </c>
      <c r="GF196" s="28">
        <v>8.1207120683463696</v>
      </c>
      <c r="GG196" s="28">
        <v>60.349501189017701</v>
      </c>
      <c r="GH196" s="28">
        <v>2.5945036702994102</v>
      </c>
      <c r="GI196" s="28">
        <v>17.492460395383699</v>
      </c>
      <c r="GJ196" s="28">
        <v>0.170644375091104</v>
      </c>
      <c r="GK196" s="28">
        <v>30.460660301682999</v>
      </c>
      <c r="GL196" s="28">
        <v>60.860764586010497</v>
      </c>
      <c r="GM196" s="28">
        <v>0</v>
      </c>
      <c r="GN196" s="28">
        <v>0</v>
      </c>
      <c r="GO196" s="28">
        <v>0</v>
      </c>
      <c r="GP196" s="28">
        <v>0</v>
      </c>
      <c r="GQ196" s="21">
        <v>584.53418828402175</v>
      </c>
      <c r="GR196" s="21">
        <v>1883.5634029508069</v>
      </c>
      <c r="GS196" s="20">
        <v>1883.5634029508069</v>
      </c>
      <c r="GT196" s="20">
        <v>0</v>
      </c>
      <c r="GU196" s="20">
        <v>0</v>
      </c>
      <c r="GV196" s="20">
        <v>0</v>
      </c>
      <c r="GW196" s="20">
        <v>0</v>
      </c>
      <c r="GX196" s="21">
        <v>0</v>
      </c>
      <c r="GY196" s="20">
        <v>0</v>
      </c>
      <c r="GZ196" s="20">
        <v>0</v>
      </c>
      <c r="HA196" s="20"/>
      <c r="HB196" s="21">
        <v>1495.0413010519001</v>
      </c>
      <c r="HC196" s="21">
        <v>3963.1388922867286</v>
      </c>
    </row>
    <row r="197" spans="1:211" s="7" customFormat="1" ht="17.25" customHeight="1">
      <c r="A197" s="7">
        <f t="shared" si="10"/>
        <v>197</v>
      </c>
      <c r="B197" s="26" t="s">
        <v>663</v>
      </c>
      <c r="C197" s="10" t="s">
        <v>664</v>
      </c>
      <c r="D197" s="28">
        <v>0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2781.7876932127301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77.992668606537507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  <c r="EU197" s="28">
        <v>0</v>
      </c>
      <c r="EV197" s="28">
        <v>0</v>
      </c>
      <c r="EW197" s="28">
        <v>0</v>
      </c>
      <c r="EX197" s="28">
        <v>0</v>
      </c>
      <c r="EY197" s="28">
        <v>0</v>
      </c>
      <c r="EZ197" s="28">
        <v>0</v>
      </c>
      <c r="FA197" s="28">
        <v>0</v>
      </c>
      <c r="FB197" s="28">
        <v>0</v>
      </c>
      <c r="FC197" s="28">
        <v>0</v>
      </c>
      <c r="FD197" s="28">
        <v>0</v>
      </c>
      <c r="FE197" s="28">
        <v>0</v>
      </c>
      <c r="FF197" s="28">
        <v>0</v>
      </c>
      <c r="FG197" s="28">
        <v>0</v>
      </c>
      <c r="FH197" s="28">
        <v>0</v>
      </c>
      <c r="FI197" s="28">
        <v>0</v>
      </c>
      <c r="FJ197" s="28">
        <v>0</v>
      </c>
      <c r="FK197" s="28">
        <v>0</v>
      </c>
      <c r="FL197" s="28">
        <v>0</v>
      </c>
      <c r="FM197" s="28">
        <v>0</v>
      </c>
      <c r="FN197" s="28">
        <v>0</v>
      </c>
      <c r="FO197" s="28">
        <v>0</v>
      </c>
      <c r="FP197" s="28">
        <v>0</v>
      </c>
      <c r="FQ197" s="28">
        <v>0</v>
      </c>
      <c r="FR197" s="28">
        <v>0</v>
      </c>
      <c r="FS197" s="28">
        <v>0</v>
      </c>
      <c r="FT197" s="28">
        <v>0</v>
      </c>
      <c r="FU197" s="28">
        <v>0</v>
      </c>
      <c r="FV197" s="28">
        <v>0</v>
      </c>
      <c r="FW197" s="28">
        <v>0</v>
      </c>
      <c r="FX197" s="28">
        <v>0</v>
      </c>
      <c r="FY197" s="28">
        <v>0</v>
      </c>
      <c r="FZ197" s="28">
        <v>0</v>
      </c>
      <c r="GA197" s="28">
        <v>0</v>
      </c>
      <c r="GB197" s="28">
        <v>0</v>
      </c>
      <c r="GC197" s="28">
        <v>0</v>
      </c>
      <c r="GD197" s="28">
        <v>0</v>
      </c>
      <c r="GE197" s="28">
        <v>0</v>
      </c>
      <c r="GF197" s="28">
        <v>0</v>
      </c>
      <c r="GG197" s="28">
        <v>0</v>
      </c>
      <c r="GH197" s="28">
        <v>0</v>
      </c>
      <c r="GI197" s="28">
        <v>0</v>
      </c>
      <c r="GJ197" s="28">
        <v>0</v>
      </c>
      <c r="GK197" s="28">
        <v>0</v>
      </c>
      <c r="GL197" s="28">
        <v>0</v>
      </c>
      <c r="GM197" s="28">
        <v>0</v>
      </c>
      <c r="GN197" s="28">
        <v>0</v>
      </c>
      <c r="GO197" s="28">
        <v>0</v>
      </c>
      <c r="GP197" s="28">
        <v>0</v>
      </c>
      <c r="GQ197" s="21">
        <v>2859.7803618192675</v>
      </c>
      <c r="GR197" s="21">
        <v>0</v>
      </c>
      <c r="GS197" s="20">
        <v>0</v>
      </c>
      <c r="GT197" s="20">
        <v>0</v>
      </c>
      <c r="GU197" s="20">
        <v>0</v>
      </c>
      <c r="GV197" s="20">
        <v>0</v>
      </c>
      <c r="GW197" s="20">
        <v>0</v>
      </c>
      <c r="GX197" s="21">
        <v>0</v>
      </c>
      <c r="GY197" s="20">
        <v>0</v>
      </c>
      <c r="GZ197" s="20">
        <v>0</v>
      </c>
      <c r="HA197" s="20"/>
      <c r="HB197" s="21">
        <v>0</v>
      </c>
      <c r="HC197" s="21">
        <v>2859.7803618192675</v>
      </c>
    </row>
    <row r="198" spans="1:211" s="7" customFormat="1" ht="17.25" customHeight="1">
      <c r="A198" s="7">
        <f t="shared" si="10"/>
        <v>198</v>
      </c>
      <c r="B198" s="26" t="s">
        <v>665</v>
      </c>
      <c r="C198" s="10" t="s">
        <v>666</v>
      </c>
      <c r="D198" s="28">
        <v>0</v>
      </c>
      <c r="E198" s="28">
        <v>0</v>
      </c>
      <c r="F198" s="28">
        <v>1.5326987000000001</v>
      </c>
      <c r="G198" s="28">
        <v>0</v>
      </c>
      <c r="H198" s="28">
        <v>2.0716032898600001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0.14067329423734701</v>
      </c>
      <c r="AB198" s="28">
        <v>0</v>
      </c>
      <c r="AC198" s="28">
        <v>0</v>
      </c>
      <c r="AD198" s="28">
        <v>0</v>
      </c>
      <c r="AE198" s="28">
        <v>6.5164343679314299E-2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500.43237836047098</v>
      </c>
      <c r="AU198" s="28">
        <v>9.4981144715771598E-2</v>
      </c>
      <c r="AV198" s="28">
        <v>18.905276214541601</v>
      </c>
      <c r="AW198" s="28">
        <v>125.129429087891</v>
      </c>
      <c r="AX198" s="28">
        <v>179.15022840899201</v>
      </c>
      <c r="AY198" s="28">
        <v>0.71294826611788598</v>
      </c>
      <c r="AZ198" s="28">
        <v>39.779969466620997</v>
      </c>
      <c r="BA198" s="28">
        <v>1.4827956974518</v>
      </c>
      <c r="BB198" s="28">
        <v>7.4831466331259394E-2</v>
      </c>
      <c r="BC198" s="28">
        <v>25.898740362031202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0.25016109353041399</v>
      </c>
      <c r="CB198" s="28">
        <v>2.67236435915652</v>
      </c>
      <c r="CC198" s="28">
        <v>0.14648665679495501</v>
      </c>
      <c r="CD198" s="28">
        <v>1.9245610477399899</v>
      </c>
      <c r="CE198" s="28">
        <v>0.65439940832009003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1.8217700775317301E-3</v>
      </c>
      <c r="CT198" s="28">
        <v>1.62096764387894</v>
      </c>
      <c r="CU198" s="28">
        <v>0</v>
      </c>
      <c r="CV198" s="28">
        <v>2.8203434159260601E-2</v>
      </c>
      <c r="CW198" s="28">
        <v>0.17753919399218801</v>
      </c>
      <c r="CX198" s="28">
        <v>2.1749933631923499E-2</v>
      </c>
      <c r="CY198" s="28">
        <v>0.15221715180137901</v>
      </c>
      <c r="CZ198" s="28">
        <v>0</v>
      </c>
      <c r="DA198" s="28">
        <v>18.936120135212501</v>
      </c>
      <c r="DB198" s="28">
        <v>12.882833581707899</v>
      </c>
      <c r="DC198" s="28">
        <v>16.9875049801275</v>
      </c>
      <c r="DD198" s="28">
        <v>0.90759572991930304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41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24.993421069600799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0.32162418119899799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  <c r="EU198" s="28">
        <v>0</v>
      </c>
      <c r="EV198" s="28">
        <v>0</v>
      </c>
      <c r="EW198" s="28">
        <v>0</v>
      </c>
      <c r="EX198" s="28">
        <v>0.140396566465917</v>
      </c>
      <c r="EY198" s="28">
        <v>1.9260957933521501</v>
      </c>
      <c r="EZ198" s="28">
        <v>3.775512</v>
      </c>
      <c r="FA198" s="28">
        <v>0.22945432521238601</v>
      </c>
      <c r="FB198" s="28">
        <v>3.7611028360234E-2</v>
      </c>
      <c r="FC198" s="28">
        <v>0.32767460243773699</v>
      </c>
      <c r="FD198" s="28">
        <v>7.8454844396825305E-2</v>
      </c>
      <c r="FE198" s="28">
        <v>0</v>
      </c>
      <c r="FF198" s="28">
        <v>0</v>
      </c>
      <c r="FG198" s="28">
        <v>0.82692207371862203</v>
      </c>
      <c r="FH198" s="28">
        <v>1.9532770762311202E-2</v>
      </c>
      <c r="FI198" s="28">
        <v>699.51074507169005</v>
      </c>
      <c r="FJ198" s="28">
        <v>0</v>
      </c>
      <c r="FK198" s="28">
        <v>0</v>
      </c>
      <c r="FL198" s="28">
        <v>52.2799811648729</v>
      </c>
      <c r="FM198" s="28">
        <v>0</v>
      </c>
      <c r="FN198" s="28">
        <v>142.043575848953</v>
      </c>
      <c r="FO198" s="28">
        <v>0</v>
      </c>
      <c r="FP198" s="28">
        <v>0</v>
      </c>
      <c r="FQ198" s="28">
        <v>248.327227145932</v>
      </c>
      <c r="FR198" s="28">
        <v>1.3141981432730501</v>
      </c>
      <c r="FS198" s="28">
        <v>0.75415929158796202</v>
      </c>
      <c r="FT198" s="28">
        <v>0.34386958223745501</v>
      </c>
      <c r="FU198" s="28">
        <v>2.6523575416595602</v>
      </c>
      <c r="FV198" s="28">
        <v>0.57462587756095196</v>
      </c>
      <c r="FW198" s="28">
        <v>0</v>
      </c>
      <c r="FX198" s="28">
        <v>1.7699189919918501</v>
      </c>
      <c r="FY198" s="28">
        <v>9.5503199999999993E-3</v>
      </c>
      <c r="FZ198" s="28">
        <v>0</v>
      </c>
      <c r="GA198" s="28">
        <v>9.5277235707349507E-3</v>
      </c>
      <c r="GB198" s="28">
        <v>9.0850590327416594</v>
      </c>
      <c r="GC198" s="28">
        <v>6.5235505134674199</v>
      </c>
      <c r="GD198" s="28">
        <v>24.723837974709099</v>
      </c>
      <c r="GE198" s="28">
        <v>82.3101529052948</v>
      </c>
      <c r="GF198" s="28">
        <v>14.0964652261471</v>
      </c>
      <c r="GG198" s="28">
        <v>0</v>
      </c>
      <c r="GH198" s="28">
        <v>0</v>
      </c>
      <c r="GI198" s="28">
        <v>0.73310939452575596</v>
      </c>
      <c r="GJ198" s="28">
        <v>0.369025445850023</v>
      </c>
      <c r="GK198" s="28">
        <v>16.168863083004599</v>
      </c>
      <c r="GL198" s="28">
        <v>7.1567683389566596</v>
      </c>
      <c r="GM198" s="28">
        <v>0</v>
      </c>
      <c r="GN198" s="28">
        <v>0</v>
      </c>
      <c r="GO198" s="28">
        <v>0.75298666191613906</v>
      </c>
      <c r="GP198" s="28">
        <v>0</v>
      </c>
      <c r="GQ198" s="21">
        <v>2338.0224987584411</v>
      </c>
      <c r="GR198" s="21">
        <v>111.47532536321754</v>
      </c>
      <c r="GS198" s="20">
        <v>111.47532536321754</v>
      </c>
      <c r="GT198" s="20">
        <v>0</v>
      </c>
      <c r="GU198" s="20">
        <v>0</v>
      </c>
      <c r="GV198" s="20">
        <v>0</v>
      </c>
      <c r="GW198" s="20">
        <v>0</v>
      </c>
      <c r="GX198" s="21">
        <v>0</v>
      </c>
      <c r="GY198" s="20">
        <v>0</v>
      </c>
      <c r="GZ198" s="20">
        <v>0</v>
      </c>
      <c r="HA198" s="20"/>
      <c r="HB198" s="21">
        <v>334.558796067998</v>
      </c>
      <c r="HC198" s="21">
        <v>2784.0566201896568</v>
      </c>
    </row>
    <row r="199" spans="1:211" s="7" customFormat="1" ht="17.25" customHeight="1">
      <c r="A199" s="7">
        <f t="shared" si="10"/>
        <v>199</v>
      </c>
      <c r="B199" s="26" t="s">
        <v>667</v>
      </c>
      <c r="C199" s="9" t="s">
        <v>668</v>
      </c>
      <c r="D199" s="28">
        <v>0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1.12824195964295</v>
      </c>
      <c r="AU199" s="28">
        <v>0.22157891745090899</v>
      </c>
      <c r="AV199" s="28">
        <v>1.37242355157702</v>
      </c>
      <c r="AW199" s="28">
        <v>1.1695563496913199</v>
      </c>
      <c r="AX199" s="28">
        <v>0.65201989698776297</v>
      </c>
      <c r="AY199" s="28">
        <v>0</v>
      </c>
      <c r="AZ199" s="28">
        <v>2.9755565122083799E-2</v>
      </c>
      <c r="BA199" s="28">
        <v>1.9647968750421902E-3</v>
      </c>
      <c r="BB199" s="28">
        <v>2.9338491266135201E-3</v>
      </c>
      <c r="BC199" s="28">
        <v>9.4854176112161404E-2</v>
      </c>
      <c r="BD199" s="28">
        <v>0</v>
      </c>
      <c r="BE199" s="28">
        <v>0</v>
      </c>
      <c r="BF199" s="28">
        <v>0</v>
      </c>
      <c r="BG199" s="28">
        <v>0</v>
      </c>
      <c r="BH199" s="28">
        <v>3.7344560611061599</v>
      </c>
      <c r="BI199" s="28">
        <v>0</v>
      </c>
      <c r="BJ199" s="28">
        <v>0.25678727752178399</v>
      </c>
      <c r="BK199" s="28">
        <v>0</v>
      </c>
      <c r="BL199" s="28">
        <v>0.34959776012555899</v>
      </c>
      <c r="BM199" s="28">
        <v>7.46895725128493E-2</v>
      </c>
      <c r="BN199" s="28">
        <v>6.1243653241308503E-2</v>
      </c>
      <c r="BO199" s="28">
        <v>0.26053768032285102</v>
      </c>
      <c r="BP199" s="28">
        <v>1.44370016530654E-3</v>
      </c>
      <c r="BQ199" s="28">
        <v>0.44807349687426201</v>
      </c>
      <c r="BR199" s="28">
        <v>8.1554641428332603E-2</v>
      </c>
      <c r="BS199" s="28">
        <v>0</v>
      </c>
      <c r="BT199" s="28">
        <v>0</v>
      </c>
      <c r="BU199" s="28">
        <v>0.134119502542112</v>
      </c>
      <c r="BV199" s="28">
        <v>0.78641807181691104</v>
      </c>
      <c r="BW199" s="28">
        <v>0</v>
      </c>
      <c r="BX199" s="28">
        <v>0.27532948168407401</v>
      </c>
      <c r="BY199" s="28">
        <v>0.24869488497147499</v>
      </c>
      <c r="BZ199" s="28">
        <v>5.2620188736913202E-2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1.1267006107247E-3</v>
      </c>
      <c r="CT199" s="28">
        <v>2.2965452065390002</v>
      </c>
      <c r="CU199" s="28">
        <v>0</v>
      </c>
      <c r="CV199" s="28">
        <v>1.7442830400873799E-2</v>
      </c>
      <c r="CW199" s="28">
        <v>0.10980173665470901</v>
      </c>
      <c r="CX199" s="28">
        <v>1.3451567686034199E-2</v>
      </c>
      <c r="CY199" s="28">
        <v>9.4140945672876994E-2</v>
      </c>
      <c r="CZ199" s="28">
        <v>1.5751820633787301E-3</v>
      </c>
      <c r="DA199" s="28">
        <v>0.28811187226475299</v>
      </c>
      <c r="DB199" s="28">
        <v>0.48633864097774299</v>
      </c>
      <c r="DC199" s="28">
        <v>0.20763857020167001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0.97594167695341405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0.85382674574649597</v>
      </c>
      <c r="EE199" s="28">
        <v>2.46033546073838E-2</v>
      </c>
      <c r="EF199" s="28">
        <v>0.15412355368900299</v>
      </c>
      <c r="EG199" s="28">
        <v>5.5230042446970003E-2</v>
      </c>
      <c r="EH199" s="28">
        <v>1.9070621261249501E-2</v>
      </c>
      <c r="EI199" s="28">
        <v>8.9878055627003704E-3</v>
      </c>
      <c r="EJ199" s="28">
        <v>0.16585615760178599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  <c r="EU199" s="28">
        <v>0</v>
      </c>
      <c r="EV199" s="28">
        <v>0</v>
      </c>
      <c r="EW199" s="28">
        <v>0</v>
      </c>
      <c r="EX199" s="28">
        <v>9.5010477402921404E-3</v>
      </c>
      <c r="EY199" s="28">
        <v>9.1121999999999995E-2</v>
      </c>
      <c r="EZ199" s="28">
        <v>1.0893459999999999</v>
      </c>
      <c r="FA199" s="28">
        <v>4.4180111018753002E-3</v>
      </c>
      <c r="FB199" s="28">
        <v>2.24872614338838E-4</v>
      </c>
      <c r="FC199" s="28">
        <v>2.7311539892149801E-2</v>
      </c>
      <c r="FD199" s="28">
        <v>0</v>
      </c>
      <c r="FE199" s="28">
        <v>0</v>
      </c>
      <c r="FF199" s="28">
        <v>1.5802749499172699</v>
      </c>
      <c r="FG199" s="28">
        <v>3.6181750595887199E-2</v>
      </c>
      <c r="FH199" s="28">
        <v>0</v>
      </c>
      <c r="FI199" s="28">
        <v>60.444384205287001</v>
      </c>
      <c r="FJ199" s="28">
        <v>0.225002221901169</v>
      </c>
      <c r="FK199" s="28">
        <v>0</v>
      </c>
      <c r="FL199" s="28">
        <v>4.8471333018836403E-2</v>
      </c>
      <c r="FM199" s="28">
        <v>0</v>
      </c>
      <c r="FN199" s="28">
        <v>0.27776811927762102</v>
      </c>
      <c r="FO199" s="28">
        <v>3.1332735331403301E-2</v>
      </c>
      <c r="FP199" s="28">
        <v>0</v>
      </c>
      <c r="FQ199" s="28">
        <v>0.83298992474000699</v>
      </c>
      <c r="FR199" s="28">
        <v>0.65281463811751494</v>
      </c>
      <c r="FS199" s="28">
        <v>0.73085461474667401</v>
      </c>
      <c r="FT199" s="28">
        <v>0</v>
      </c>
      <c r="FU199" s="28">
        <v>7.6639715067939598</v>
      </c>
      <c r="FV199" s="28">
        <v>0.839577604718589</v>
      </c>
      <c r="FW199" s="28">
        <v>0.62262811799999995</v>
      </c>
      <c r="FX199" s="28">
        <v>27.655881575181098</v>
      </c>
      <c r="FY199" s="28">
        <v>3.0495574699999999</v>
      </c>
      <c r="FZ199" s="28">
        <v>0.76070147785421605</v>
      </c>
      <c r="GA199" s="28">
        <v>3.0561803534263801E-4</v>
      </c>
      <c r="GB199" s="28">
        <v>0.53588702040249303</v>
      </c>
      <c r="GC199" s="28">
        <v>0.38479508327996298</v>
      </c>
      <c r="GD199" s="28">
        <v>0.68249701983643196</v>
      </c>
      <c r="GE199" s="28">
        <v>1.8584114710740101</v>
      </c>
      <c r="GF199" s="28">
        <v>31.523563070932202</v>
      </c>
      <c r="GG199" s="28">
        <v>18.100246550000001</v>
      </c>
      <c r="GH199" s="28">
        <v>1.2688052832396699</v>
      </c>
      <c r="GI199" s="28">
        <v>3.5933658180753301</v>
      </c>
      <c r="GJ199" s="28">
        <v>5.3046280771060603</v>
      </c>
      <c r="GK199" s="28">
        <v>1.91619133257045</v>
      </c>
      <c r="GL199" s="28">
        <v>0</v>
      </c>
      <c r="GM199" s="28">
        <v>0</v>
      </c>
      <c r="GN199" s="28">
        <v>0.35804734528151499</v>
      </c>
      <c r="GO199" s="28">
        <v>0</v>
      </c>
      <c r="GP199" s="28">
        <v>0</v>
      </c>
      <c r="GQ199" s="21">
        <v>189.41376765323989</v>
      </c>
      <c r="GR199" s="21">
        <v>47.928742322083316</v>
      </c>
      <c r="GS199" s="20">
        <v>47.928742322083316</v>
      </c>
      <c r="GT199" s="20">
        <v>0</v>
      </c>
      <c r="GU199" s="20">
        <v>0</v>
      </c>
      <c r="GV199" s="20">
        <v>0</v>
      </c>
      <c r="GW199" s="20">
        <v>0</v>
      </c>
      <c r="GX199" s="21">
        <v>0</v>
      </c>
      <c r="GY199" s="20">
        <v>0</v>
      </c>
      <c r="GZ199" s="20">
        <v>0</v>
      </c>
      <c r="HA199" s="20"/>
      <c r="HB199" s="21">
        <v>73.633472501198497</v>
      </c>
      <c r="HC199" s="21">
        <v>310.97598247652172</v>
      </c>
    </row>
    <row r="200" spans="1:211" s="7" customFormat="1" ht="17.25" customHeight="1">
      <c r="A200" s="7">
        <f t="shared" si="10"/>
        <v>200</v>
      </c>
      <c r="B200" s="26" t="s">
        <v>177</v>
      </c>
      <c r="C200" s="10" t="s">
        <v>669</v>
      </c>
      <c r="D200" s="28">
        <v>0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2.99892969538893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128.51898519928801</v>
      </c>
      <c r="AU200" s="28">
        <v>0.38164949557007699</v>
      </c>
      <c r="AV200" s="28">
        <v>12.874643277433901</v>
      </c>
      <c r="AW200" s="28">
        <v>5.6406686046979999</v>
      </c>
      <c r="AX200" s="28">
        <v>4.55739243128094</v>
      </c>
      <c r="AY200" s="28">
        <v>0</v>
      </c>
      <c r="AZ200" s="28">
        <v>1.0959012923379801</v>
      </c>
      <c r="BA200" s="28">
        <v>2.22554205240371E-2</v>
      </c>
      <c r="BB200" s="28">
        <v>2.7808481603396201E-2</v>
      </c>
      <c r="BC200" s="28">
        <v>0.72673914519841798</v>
      </c>
      <c r="BD200" s="28">
        <v>1.13018828611939E-2</v>
      </c>
      <c r="BE200" s="28">
        <v>0</v>
      </c>
      <c r="BF200" s="28">
        <v>0</v>
      </c>
      <c r="BG200" s="28">
        <v>0</v>
      </c>
      <c r="BH200" s="28">
        <v>0.205429215792611</v>
      </c>
      <c r="BI200" s="28">
        <v>3.6364023668946498E-2</v>
      </c>
      <c r="BJ200" s="28">
        <v>0.12511764660973701</v>
      </c>
      <c r="BK200" s="28">
        <v>0</v>
      </c>
      <c r="BL200" s="28">
        <v>0.20738850176939899</v>
      </c>
      <c r="BM200" s="28">
        <v>2.2295394779955E-2</v>
      </c>
      <c r="BN200" s="28">
        <v>0.16102599559544001</v>
      </c>
      <c r="BO200" s="28">
        <v>0.109066084659969</v>
      </c>
      <c r="BP200" s="28">
        <v>1.10116983451388E-3</v>
      </c>
      <c r="BQ200" s="28">
        <v>0.13292908051456201</v>
      </c>
      <c r="BR200" s="28">
        <v>7.3817587951617206E-2</v>
      </c>
      <c r="BS200" s="28">
        <v>0</v>
      </c>
      <c r="BT200" s="28">
        <v>0</v>
      </c>
      <c r="BU200" s="28">
        <v>8.0199085562152106E-2</v>
      </c>
      <c r="BV200" s="28">
        <v>2.2444927455054899</v>
      </c>
      <c r="BW200" s="28">
        <v>0</v>
      </c>
      <c r="BX200" s="28">
        <v>0.18263894896726801</v>
      </c>
      <c r="BY200" s="28">
        <v>0</v>
      </c>
      <c r="BZ200" s="28">
        <v>1.57115957520154E-2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0.92430797959077804</v>
      </c>
      <c r="CH200" s="28">
        <v>1.9928746304936198E-2</v>
      </c>
      <c r="CI200" s="28">
        <v>0.57495778799056996</v>
      </c>
      <c r="CJ200" s="28">
        <v>0.34490832896988299</v>
      </c>
      <c r="CK200" s="28">
        <v>0</v>
      </c>
      <c r="CL200" s="28">
        <v>0.23937460492342999</v>
      </c>
      <c r="CM200" s="28">
        <v>2.17708576087225</v>
      </c>
      <c r="CN200" s="28">
        <v>4.6936258673667901E-2</v>
      </c>
      <c r="CO200" s="28">
        <v>0</v>
      </c>
      <c r="CP200" s="28">
        <v>0.35756854611308198</v>
      </c>
      <c r="CQ200" s="28">
        <v>1.97003674507141</v>
      </c>
      <c r="CR200" s="28">
        <v>1.17941863557364E-2</v>
      </c>
      <c r="CS200" s="28">
        <v>1.0537335753724E-2</v>
      </c>
      <c r="CT200" s="28">
        <v>4.8047571873003498</v>
      </c>
      <c r="CU200" s="28">
        <v>4.4885619027736001E-3</v>
      </c>
      <c r="CV200" s="28">
        <v>0.234578164130721</v>
      </c>
      <c r="CW200" s="28">
        <v>0.46977950725666001</v>
      </c>
      <c r="CX200" s="28">
        <v>6.3071225294722196E-3</v>
      </c>
      <c r="CY200" s="28">
        <v>3.3679919213552401</v>
      </c>
      <c r="CZ200" s="28">
        <v>0.89076748712603604</v>
      </c>
      <c r="DA200" s="28">
        <v>0.71179635094094895</v>
      </c>
      <c r="DB200" s="28">
        <v>2.8278953068423598</v>
      </c>
      <c r="DC200" s="28">
        <v>1.10564742780905</v>
      </c>
      <c r="DD200" s="28">
        <v>1.94725998084935</v>
      </c>
      <c r="DE200" s="28">
        <v>0</v>
      </c>
      <c r="DF200" s="28">
        <v>0.189099492795888</v>
      </c>
      <c r="DG200" s="28">
        <v>4.5466129634226604</v>
      </c>
      <c r="DH200" s="28">
        <v>2.0181580199606102</v>
      </c>
      <c r="DI200" s="28">
        <v>0.62831646279297204</v>
      </c>
      <c r="DJ200" s="28">
        <v>0.56593878426504396</v>
      </c>
      <c r="DK200" s="28">
        <v>0</v>
      </c>
      <c r="DL200" s="28">
        <v>0.98801000656822802</v>
      </c>
      <c r="DM200" s="28">
        <v>0.67900095033871299</v>
      </c>
      <c r="DN200" s="28">
        <v>1.1235506829949</v>
      </c>
      <c r="DO200" s="28">
        <v>0.244285017398366</v>
      </c>
      <c r="DP200" s="28">
        <v>0</v>
      </c>
      <c r="DQ200" s="28">
        <v>1.1751589510833</v>
      </c>
      <c r="DR200" s="28">
        <v>13.757329020391399</v>
      </c>
      <c r="DS200" s="28">
        <v>3.34952492160334</v>
      </c>
      <c r="DT200" s="28">
        <v>0.21920128699626101</v>
      </c>
      <c r="DU200" s="28">
        <v>7.93281489207767</v>
      </c>
      <c r="DV200" s="28">
        <v>2.0246451778445699E-2</v>
      </c>
      <c r="DW200" s="28">
        <v>0</v>
      </c>
      <c r="DX200" s="28">
        <v>0.49346208491793903</v>
      </c>
      <c r="DY200" s="28">
        <v>0.14186781749736299</v>
      </c>
      <c r="DZ200" s="28">
        <v>7.1702683084605399</v>
      </c>
      <c r="EA200" s="28">
        <v>0.31665259749573499</v>
      </c>
      <c r="EB200" s="28">
        <v>2.2543491716039799E-2</v>
      </c>
      <c r="EC200" s="28">
        <v>0.153076587929</v>
      </c>
      <c r="ED200" s="28">
        <v>1.83037886521135</v>
      </c>
      <c r="EE200" s="28">
        <v>0.186765459070936</v>
      </c>
      <c r="EF200" s="28">
        <v>1.8775138032668099</v>
      </c>
      <c r="EG200" s="28">
        <v>0.175493718216964</v>
      </c>
      <c r="EH200" s="28">
        <v>6.0596988261553998E-2</v>
      </c>
      <c r="EI200" s="28">
        <v>2.8443830093468101E-2</v>
      </c>
      <c r="EJ200" s="28">
        <v>1.46706827011133</v>
      </c>
      <c r="EK200" s="28">
        <v>7.9526443282655606E-3</v>
      </c>
      <c r="EL200" s="28">
        <v>0.11933420545792001</v>
      </c>
      <c r="EM200" s="28">
        <v>0</v>
      </c>
      <c r="EN200" s="28">
        <v>0</v>
      </c>
      <c r="EO200" s="28">
        <v>0</v>
      </c>
      <c r="EP200" s="28">
        <v>0</v>
      </c>
      <c r="EQ200" s="28">
        <v>0.376315109445579</v>
      </c>
      <c r="ER200" s="28">
        <v>0.249821801213128</v>
      </c>
      <c r="ES200" s="28">
        <v>2.6582381591524298</v>
      </c>
      <c r="ET200" s="28">
        <v>0</v>
      </c>
      <c r="EU200" s="28">
        <v>4.3474663473598997E-2</v>
      </c>
      <c r="EV200" s="28">
        <v>0.157121860051367</v>
      </c>
      <c r="EW200" s="28">
        <v>0</v>
      </c>
      <c r="EX200" s="28">
        <v>0.95714522088281795</v>
      </c>
      <c r="EY200" s="28">
        <v>9.0951099168386804</v>
      </c>
      <c r="EZ200" s="28">
        <v>6.2303367306074504</v>
      </c>
      <c r="FA200" s="28">
        <v>5.9161256594299596</v>
      </c>
      <c r="FB200" s="28">
        <v>0.94596660293371704</v>
      </c>
      <c r="FC200" s="28">
        <v>0.279405735551848</v>
      </c>
      <c r="FD200" s="28">
        <v>0.22713838114666099</v>
      </c>
      <c r="FE200" s="28">
        <v>0</v>
      </c>
      <c r="FF200" s="28">
        <v>6.27041665836476</v>
      </c>
      <c r="FG200" s="28">
        <v>3.0554189008776498</v>
      </c>
      <c r="FH200" s="28">
        <v>0.122816810043628</v>
      </c>
      <c r="FI200" s="28">
        <v>83.043360373190296</v>
      </c>
      <c r="FJ200" s="28">
        <v>0</v>
      </c>
      <c r="FK200" s="28">
        <v>2.4348000000000001</v>
      </c>
      <c r="FL200" s="28">
        <v>53.353285372959597</v>
      </c>
      <c r="FM200" s="28">
        <v>2.1607999999999999E-2</v>
      </c>
      <c r="FN200" s="28">
        <v>48.160346212322096</v>
      </c>
      <c r="FO200" s="28">
        <v>0.45651363002666601</v>
      </c>
      <c r="FP200" s="28">
        <v>6.5392027638141503E-2</v>
      </c>
      <c r="FQ200" s="28">
        <v>11.8547167164984</v>
      </c>
      <c r="FR200" s="28">
        <v>1.9639926731620501</v>
      </c>
      <c r="FS200" s="28">
        <v>0.332367086362792</v>
      </c>
      <c r="FT200" s="28">
        <v>14.359341617057</v>
      </c>
      <c r="FU200" s="28">
        <v>20.288033553177002</v>
      </c>
      <c r="FV200" s="28">
        <v>9.1553456941945299</v>
      </c>
      <c r="FW200" s="28">
        <v>0.63101778750000004</v>
      </c>
      <c r="FX200" s="28">
        <v>26.284302701892098</v>
      </c>
      <c r="FY200" s="28">
        <v>6.3779159700000001</v>
      </c>
      <c r="FZ200" s="28">
        <v>0.93249511886027503</v>
      </c>
      <c r="GA200" s="28">
        <v>1.45879059839832E-3</v>
      </c>
      <c r="GB200" s="28">
        <v>3.2543729251520399</v>
      </c>
      <c r="GC200" s="28">
        <v>2.3368110312083799</v>
      </c>
      <c r="GD200" s="28">
        <v>17.535797341238101</v>
      </c>
      <c r="GE200" s="28">
        <v>12.796054768125201</v>
      </c>
      <c r="GF200" s="28">
        <v>64.277140611504706</v>
      </c>
      <c r="GG200" s="28">
        <v>156.68409991644299</v>
      </c>
      <c r="GH200" s="28">
        <v>29.746722282922899</v>
      </c>
      <c r="GI200" s="28">
        <v>46.101390943246003</v>
      </c>
      <c r="GJ200" s="28">
        <v>0</v>
      </c>
      <c r="GK200" s="28">
        <v>45.186977801600001</v>
      </c>
      <c r="GL200" s="28">
        <v>40.772184784161603</v>
      </c>
      <c r="GM200" s="28">
        <v>4.4342351777487403</v>
      </c>
      <c r="GN200" s="28">
        <v>0</v>
      </c>
      <c r="GO200" s="28">
        <v>0</v>
      </c>
      <c r="GP200" s="28">
        <v>0</v>
      </c>
      <c r="GQ200" s="21">
        <v>974.41815699711719</v>
      </c>
      <c r="GR200" s="21">
        <v>1388.3523747868126</v>
      </c>
      <c r="GS200" s="20">
        <v>1388.3523747868126</v>
      </c>
      <c r="GT200" s="20">
        <v>0</v>
      </c>
      <c r="GU200" s="20">
        <v>0</v>
      </c>
      <c r="GV200" s="20">
        <v>0</v>
      </c>
      <c r="GW200" s="20">
        <v>0</v>
      </c>
      <c r="GX200" s="21">
        <v>0</v>
      </c>
      <c r="GY200" s="20">
        <v>0</v>
      </c>
      <c r="GZ200" s="20">
        <v>0</v>
      </c>
      <c r="HA200" s="20"/>
      <c r="HB200" s="21">
        <v>854.63722962576003</v>
      </c>
      <c r="HC200" s="21">
        <v>3217.40776140969</v>
      </c>
    </row>
    <row r="201" spans="1:211" s="7" customFormat="1" ht="17.25" customHeight="1">
      <c r="A201" s="7">
        <f t="shared" si="10"/>
        <v>201</v>
      </c>
      <c r="B201" s="26" t="s">
        <v>178</v>
      </c>
      <c r="C201" s="10" t="s">
        <v>670</v>
      </c>
      <c r="D201" s="28">
        <v>0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2.99892969538893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2.0465814292319799</v>
      </c>
      <c r="AO201" s="28">
        <v>0</v>
      </c>
      <c r="AP201" s="28">
        <v>10.261858792932101</v>
      </c>
      <c r="AQ201" s="28">
        <v>2.6571232013942301</v>
      </c>
      <c r="AR201" s="28">
        <v>10.945301402818099</v>
      </c>
      <c r="AS201" s="28">
        <v>6.7856641159414902E-3</v>
      </c>
      <c r="AT201" s="28">
        <v>58.114931118978497</v>
      </c>
      <c r="AU201" s="28">
        <v>0.61498476313412698</v>
      </c>
      <c r="AV201" s="28">
        <v>24.599076442066099</v>
      </c>
      <c r="AW201" s="28">
        <v>3.1686835903733002</v>
      </c>
      <c r="AX201" s="28">
        <v>9.0922243442402895</v>
      </c>
      <c r="AY201" s="28">
        <v>1.9485932550922399E-2</v>
      </c>
      <c r="AZ201" s="28">
        <v>2.1863775304246</v>
      </c>
      <c r="BA201" s="28">
        <v>4.4400669753840001E-2</v>
      </c>
      <c r="BB201" s="28">
        <v>5.54793025229324E-2</v>
      </c>
      <c r="BC201" s="28">
        <v>1.4498807042667201</v>
      </c>
      <c r="BD201" s="28">
        <v>2.2547817866414702E-2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0.73558440190848595</v>
      </c>
      <c r="CM201" s="28">
        <v>0.10735092120030799</v>
      </c>
      <c r="CN201" s="28">
        <v>0</v>
      </c>
      <c r="CO201" s="28">
        <v>0</v>
      </c>
      <c r="CP201" s="28">
        <v>0.76287455958454797</v>
      </c>
      <c r="CQ201" s="28">
        <v>0</v>
      </c>
      <c r="CR201" s="28">
        <v>1.1794186355736399E-3</v>
      </c>
      <c r="CS201" s="28">
        <v>4.8513480920415099E-3</v>
      </c>
      <c r="CT201" s="28">
        <v>2.2120913823111601</v>
      </c>
      <c r="CU201" s="28">
        <v>1.89401259966758E-2</v>
      </c>
      <c r="CV201" s="28">
        <v>0.107998867606357</v>
      </c>
      <c r="CW201" s="28">
        <v>0.216284644380279</v>
      </c>
      <c r="CX201" s="28">
        <v>2.9037744990533698E-3</v>
      </c>
      <c r="CY201" s="28">
        <v>0</v>
      </c>
      <c r="CZ201" s="28">
        <v>0.41010586073374999</v>
      </c>
      <c r="DA201" s="28">
        <v>0</v>
      </c>
      <c r="DB201" s="28">
        <v>0</v>
      </c>
      <c r="DC201" s="28">
        <v>0</v>
      </c>
      <c r="DD201" s="28">
        <v>0.77890399233973995</v>
      </c>
      <c r="DE201" s="28">
        <v>0</v>
      </c>
      <c r="DF201" s="28">
        <v>0</v>
      </c>
      <c r="DG201" s="28">
        <v>0.64591521843855804</v>
      </c>
      <c r="DH201" s="28">
        <v>8.9999999999999993E-3</v>
      </c>
      <c r="DI201" s="28">
        <v>0</v>
      </c>
      <c r="DJ201" s="28">
        <v>0.70926694465795403</v>
      </c>
      <c r="DK201" s="28">
        <v>0</v>
      </c>
      <c r="DL201" s="28">
        <v>0</v>
      </c>
      <c r="DM201" s="28">
        <v>6.7778468483839394E-2</v>
      </c>
      <c r="DN201" s="28">
        <v>0</v>
      </c>
      <c r="DO201" s="28">
        <v>0.18306545760333001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0.41726773350000002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5.1056300018371799</v>
      </c>
      <c r="EE201" s="28">
        <v>4.7690049825477496</v>
      </c>
      <c r="EF201" s="28">
        <v>3.05473734188929</v>
      </c>
      <c r="EG201" s="28">
        <v>0.28278817077427598</v>
      </c>
      <c r="EH201" s="28">
        <v>9.7645155843866696E-2</v>
      </c>
      <c r="EI201" s="28">
        <v>4.58339977274956E-2</v>
      </c>
      <c r="EJ201" s="28">
        <v>3.3720585122617601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  <c r="EU201" s="28">
        <v>0</v>
      </c>
      <c r="EV201" s="28">
        <v>0</v>
      </c>
      <c r="EW201" s="28">
        <v>0</v>
      </c>
      <c r="EX201" s="28">
        <v>1.9326121207520901</v>
      </c>
      <c r="EY201" s="28">
        <v>4.3462255509615598E-2</v>
      </c>
      <c r="EZ201" s="28">
        <v>1.4574568543067899E-2</v>
      </c>
      <c r="FA201" s="28">
        <v>0.13478517696968201</v>
      </c>
      <c r="FB201" s="28">
        <v>2.27284735907308E-2</v>
      </c>
      <c r="FC201" s="28">
        <v>6.7465285326020599</v>
      </c>
      <c r="FD201" s="28">
        <v>11.9912874834882</v>
      </c>
      <c r="FE201" s="28">
        <v>0</v>
      </c>
      <c r="FF201" s="28">
        <v>21.360503510905701</v>
      </c>
      <c r="FG201" s="28">
        <v>58.890267036654002</v>
      </c>
      <c r="FH201" s="28">
        <v>5.5931386919451898</v>
      </c>
      <c r="FI201" s="28">
        <v>123.249110615934</v>
      </c>
      <c r="FJ201" s="28">
        <v>3.5566091867314</v>
      </c>
      <c r="FK201" s="28">
        <v>1.6232</v>
      </c>
      <c r="FL201" s="28">
        <v>80.029928059439499</v>
      </c>
      <c r="FM201" s="28">
        <v>0.12459595</v>
      </c>
      <c r="FN201" s="28">
        <v>53.869731101042603</v>
      </c>
      <c r="FO201" s="28">
        <v>0</v>
      </c>
      <c r="FP201" s="28">
        <v>3.75453121434888</v>
      </c>
      <c r="FQ201" s="28">
        <v>0.66871566820051398</v>
      </c>
      <c r="FR201" s="28">
        <v>0</v>
      </c>
      <c r="FS201" s="28">
        <v>5.0133597102238803E-2</v>
      </c>
      <c r="FT201" s="28">
        <v>0</v>
      </c>
      <c r="FU201" s="28">
        <v>13.248124181729899</v>
      </c>
      <c r="FV201" s="28">
        <v>24.5172045981396</v>
      </c>
      <c r="FW201" s="28">
        <v>4.5730604000000001</v>
      </c>
      <c r="FX201" s="28">
        <v>3.7710329764286001</v>
      </c>
      <c r="FY201" s="28">
        <v>10.06467915</v>
      </c>
      <c r="FZ201" s="28">
        <v>1.15730851</v>
      </c>
      <c r="GA201" s="28">
        <v>6.2519597074213896E-4</v>
      </c>
      <c r="GB201" s="28">
        <v>0</v>
      </c>
      <c r="GC201" s="28">
        <v>0</v>
      </c>
      <c r="GD201" s="28">
        <v>0</v>
      </c>
      <c r="GE201" s="28">
        <v>11.374102236165999</v>
      </c>
      <c r="GF201" s="28">
        <v>1.34936971658502</v>
      </c>
      <c r="GG201" s="28">
        <v>148.75645216682</v>
      </c>
      <c r="GH201" s="28">
        <v>20.396231065087498</v>
      </c>
      <c r="GI201" s="28">
        <v>31.818241095395798</v>
      </c>
      <c r="GJ201" s="28">
        <v>48.398997869727097</v>
      </c>
      <c r="GK201" s="28">
        <v>18.775819884499999</v>
      </c>
      <c r="GL201" s="28">
        <v>8.9520538852981595</v>
      </c>
      <c r="GM201" s="28">
        <v>0</v>
      </c>
      <c r="GN201" s="28">
        <v>1.1213304167276601</v>
      </c>
      <c r="GO201" s="28">
        <v>0</v>
      </c>
      <c r="GP201" s="28">
        <v>0</v>
      </c>
      <c r="GQ201" s="21">
        <v>874.33479027724786</v>
      </c>
      <c r="GR201" s="21">
        <v>29852.971723873343</v>
      </c>
      <c r="GS201" s="20">
        <v>29852.971723873343</v>
      </c>
      <c r="GT201" s="20">
        <v>0</v>
      </c>
      <c r="GU201" s="20">
        <v>0</v>
      </c>
      <c r="GV201" s="20">
        <v>0</v>
      </c>
      <c r="GW201" s="20">
        <v>0</v>
      </c>
      <c r="GX201" s="21">
        <v>0</v>
      </c>
      <c r="GY201" s="20">
        <v>0</v>
      </c>
      <c r="GZ201" s="20">
        <v>0</v>
      </c>
      <c r="HA201" s="20"/>
      <c r="HB201" s="21">
        <v>1406.1875442160999</v>
      </c>
      <c r="HC201" s="21">
        <v>32133.49405836669</v>
      </c>
    </row>
    <row r="202" spans="1:211" s="7" customFormat="1" ht="17.25" customHeight="1">
      <c r="A202" s="7">
        <f t="shared" si="10"/>
        <v>202</v>
      </c>
      <c r="B202" s="26" t="s">
        <v>179</v>
      </c>
      <c r="C202" s="10" t="s">
        <v>671</v>
      </c>
      <c r="D202" s="28">
        <v>0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2.46013105495381E-2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7.1974312689334301</v>
      </c>
      <c r="AD202" s="28">
        <v>0</v>
      </c>
      <c r="AE202" s="28">
        <v>0.67974109932578297</v>
      </c>
      <c r="AF202" s="28">
        <v>10.740480248085399</v>
      </c>
      <c r="AG202" s="28">
        <v>0</v>
      </c>
      <c r="AH202" s="28">
        <v>0</v>
      </c>
      <c r="AI202" s="28">
        <v>0</v>
      </c>
      <c r="AJ202" s="28">
        <v>0.37684288992176102</v>
      </c>
      <c r="AK202" s="28">
        <v>0</v>
      </c>
      <c r="AL202" s="28">
        <v>0</v>
      </c>
      <c r="AM202" s="28">
        <v>1.0363835793153999</v>
      </c>
      <c r="AN202" s="28">
        <v>0.231075336166605</v>
      </c>
      <c r="AO202" s="28">
        <v>3.80848133443248E-2</v>
      </c>
      <c r="AP202" s="28">
        <v>5.6558241131860099</v>
      </c>
      <c r="AQ202" s="28">
        <v>9.1007628954878697E-2</v>
      </c>
      <c r="AR202" s="28">
        <v>0.46361440766179901</v>
      </c>
      <c r="AS202" s="28">
        <v>4.8692123623255701E-3</v>
      </c>
      <c r="AT202" s="28">
        <v>35.2438590820488</v>
      </c>
      <c r="AU202" s="28">
        <v>25.911495491042601</v>
      </c>
      <c r="AV202" s="28">
        <v>25.069618530848398</v>
      </c>
      <c r="AW202" s="28">
        <v>73.3050281741464</v>
      </c>
      <c r="AX202" s="28">
        <v>47.274105136142097</v>
      </c>
      <c r="AY202" s="28">
        <v>6.6535065257835396E-2</v>
      </c>
      <c r="AZ202" s="28">
        <v>0.60201751798073599</v>
      </c>
      <c r="BA202" s="28">
        <v>0.40010335882111198</v>
      </c>
      <c r="BB202" s="28">
        <v>0.593859600887784</v>
      </c>
      <c r="BC202" s="28">
        <v>52.015021203468997</v>
      </c>
      <c r="BD202" s="28">
        <v>0.986098729952671</v>
      </c>
      <c r="BE202" s="28">
        <v>0</v>
      </c>
      <c r="BF202" s="28">
        <v>0</v>
      </c>
      <c r="BG202" s="28">
        <v>5.3228796516031497E-2</v>
      </c>
      <c r="BH202" s="28">
        <v>4.4960642425947004</v>
      </c>
      <c r="BI202" s="28">
        <v>0.69698887367742102</v>
      </c>
      <c r="BJ202" s="28">
        <v>0.27528076033968601</v>
      </c>
      <c r="BK202" s="28">
        <v>0</v>
      </c>
      <c r="BL202" s="28">
        <v>0.98178087039110595</v>
      </c>
      <c r="BM202" s="28">
        <v>0.34304817229397</v>
      </c>
      <c r="BN202" s="28">
        <v>0.54910387299799701</v>
      </c>
      <c r="BO202" s="28">
        <v>2.8063704086963601</v>
      </c>
      <c r="BP202" s="28">
        <v>3.6506838819230902E-3</v>
      </c>
      <c r="BQ202" s="28">
        <v>2.3582341185784701</v>
      </c>
      <c r="BR202" s="28">
        <v>0.994190885543626</v>
      </c>
      <c r="BS202" s="28">
        <v>0</v>
      </c>
      <c r="BT202" s="28">
        <v>0</v>
      </c>
      <c r="BU202" s="28">
        <v>0.66606190054162895</v>
      </c>
      <c r="BV202" s="28">
        <v>5.1688726079203402</v>
      </c>
      <c r="BW202" s="28">
        <v>0</v>
      </c>
      <c r="BX202" s="28">
        <v>7.6492086860525194E-2</v>
      </c>
      <c r="BY202" s="28">
        <v>0.44814588465587801</v>
      </c>
      <c r="BZ202" s="28">
        <v>7.6769678323028404E-2</v>
      </c>
      <c r="CA202" s="28">
        <v>0.83897000802697597</v>
      </c>
      <c r="CB202" s="28">
        <v>0.72007002057084901</v>
      </c>
      <c r="CC202" s="28">
        <v>3.9470908826590899E-2</v>
      </c>
      <c r="CD202" s="28">
        <v>0.51857401423861005</v>
      </c>
      <c r="CE202" s="28">
        <v>0.176328274172661</v>
      </c>
      <c r="CF202" s="28">
        <v>0</v>
      </c>
      <c r="CG202" s="28">
        <v>1.4348431470817999</v>
      </c>
      <c r="CH202" s="28">
        <v>0.16046489619041801</v>
      </c>
      <c r="CI202" s="28">
        <v>0.61551100015640303</v>
      </c>
      <c r="CJ202" s="28">
        <v>0.43391978709524098</v>
      </c>
      <c r="CK202" s="28">
        <v>1.0011577606201201</v>
      </c>
      <c r="CL202" s="28">
        <v>0.17890789277968699</v>
      </c>
      <c r="CM202" s="28">
        <v>4.6686189050486702</v>
      </c>
      <c r="CN202" s="28">
        <v>1.5563489869236899E-2</v>
      </c>
      <c r="CO202" s="28">
        <v>0.54699319601059004</v>
      </c>
      <c r="CP202" s="28">
        <v>3.3693554906638599</v>
      </c>
      <c r="CQ202" s="28">
        <v>0.333986431359728</v>
      </c>
      <c r="CR202" s="28">
        <v>2.12480761890032</v>
      </c>
      <c r="CS202" s="28">
        <v>2.1835883632998998</v>
      </c>
      <c r="CT202" s="28">
        <v>20.676347180857601</v>
      </c>
      <c r="CU202" s="28">
        <v>1.2859558181511299</v>
      </c>
      <c r="CV202" s="28">
        <v>0.92054689548933599</v>
      </c>
      <c r="CW202" s="28">
        <v>2.8992368808211402</v>
      </c>
      <c r="CX202" s="28">
        <v>0.54765489786371802</v>
      </c>
      <c r="CY202" s="28">
        <v>3.4589397264430501</v>
      </c>
      <c r="CZ202" s="28">
        <v>0.14354942916300301</v>
      </c>
      <c r="DA202" s="28">
        <v>1.5988880712606199</v>
      </c>
      <c r="DB202" s="28">
        <v>3.37079762249035</v>
      </c>
      <c r="DC202" s="28">
        <v>1.8463430419243301</v>
      </c>
      <c r="DD202" s="28">
        <v>0.38945199616986997</v>
      </c>
      <c r="DE202" s="28">
        <v>0</v>
      </c>
      <c r="DF202" s="28">
        <v>1.03419996724914</v>
      </c>
      <c r="DG202" s="28">
        <v>5.4482768834251996</v>
      </c>
      <c r="DH202" s="28">
        <v>12.8286313083333</v>
      </c>
      <c r="DI202" s="28">
        <v>0.61228201350075795</v>
      </c>
      <c r="DJ202" s="28">
        <v>3.33</v>
      </c>
      <c r="DK202" s="28">
        <v>0.107028558320286</v>
      </c>
      <c r="DL202" s="28">
        <v>2.1682671958324402</v>
      </c>
      <c r="DM202" s="28">
        <v>0.253876471704505</v>
      </c>
      <c r="DN202" s="28">
        <v>2.0117984511187901</v>
      </c>
      <c r="DO202" s="28">
        <v>0.47836033183241</v>
      </c>
      <c r="DP202" s="28">
        <v>0</v>
      </c>
      <c r="DQ202" s="28">
        <v>2.9227451466683201</v>
      </c>
      <c r="DR202" s="28">
        <v>10.6114723374136</v>
      </c>
      <c r="DS202" s="28">
        <v>4.3135302579811503</v>
      </c>
      <c r="DT202" s="28">
        <v>0.11122286577924501</v>
      </c>
      <c r="DU202" s="28">
        <v>10.2831078570931</v>
      </c>
      <c r="DV202" s="28">
        <v>2.4358951317971602</v>
      </c>
      <c r="DW202" s="28">
        <v>0</v>
      </c>
      <c r="DX202" s="28">
        <v>0.60514962570234399</v>
      </c>
      <c r="DY202" s="28">
        <v>2.38735236418341</v>
      </c>
      <c r="DZ202" s="28">
        <v>11.616044547047199</v>
      </c>
      <c r="EA202" s="28">
        <v>2.6137806213215702E-2</v>
      </c>
      <c r="EB202" s="28">
        <v>0.55928871332074803</v>
      </c>
      <c r="EC202" s="28">
        <v>3.69879739474317</v>
      </c>
      <c r="ED202" s="28">
        <v>6.4199692329032301</v>
      </c>
      <c r="EE202" s="28">
        <v>0.25795817202127003</v>
      </c>
      <c r="EF202" s="28">
        <v>29.331493728896699</v>
      </c>
      <c r="EG202" s="28">
        <v>0.756565238408485</v>
      </c>
      <c r="EH202" s="28">
        <v>0.26123769748988701</v>
      </c>
      <c r="EI202" s="28">
        <v>0.119736222341823</v>
      </c>
      <c r="EJ202" s="28">
        <v>6.8900788371339701</v>
      </c>
      <c r="EK202" s="28">
        <v>6.2239532464923898E-2</v>
      </c>
      <c r="EL202" s="28">
        <v>2.0463985289176501</v>
      </c>
      <c r="EM202" s="28">
        <v>4.0598640353730897E-2</v>
      </c>
      <c r="EN202" s="28">
        <v>0.87512751969423597</v>
      </c>
      <c r="EO202" s="28">
        <v>0.26383908464515698</v>
      </c>
      <c r="EP202" s="28">
        <v>0</v>
      </c>
      <c r="EQ202" s="28">
        <v>0.54487372345380003</v>
      </c>
      <c r="ER202" s="28">
        <v>1.6682757149651199</v>
      </c>
      <c r="ES202" s="28">
        <v>3.22745788478138</v>
      </c>
      <c r="ET202" s="28">
        <v>0.62022816157312399</v>
      </c>
      <c r="EU202" s="28">
        <v>1.7048708609702899E-2</v>
      </c>
      <c r="EV202" s="28">
        <v>1.7658836195118199</v>
      </c>
      <c r="EW202" s="28">
        <v>12.3844072966873</v>
      </c>
      <c r="EX202" s="28">
        <v>7.3241759219035396</v>
      </c>
      <c r="EY202" s="28">
        <v>3.10868241354048</v>
      </c>
      <c r="EZ202" s="28">
        <v>3.54967580562964</v>
      </c>
      <c r="FA202" s="28">
        <v>11.097208060489599</v>
      </c>
      <c r="FB202" s="28">
        <v>1.69222424269341</v>
      </c>
      <c r="FC202" s="28">
        <v>10.9565639092424</v>
      </c>
      <c r="FD202" s="28">
        <v>1.35346788521465</v>
      </c>
      <c r="FE202" s="28">
        <v>0</v>
      </c>
      <c r="FF202" s="28">
        <v>24.586105031341301</v>
      </c>
      <c r="FG202" s="28">
        <v>6.0814816107781802</v>
      </c>
      <c r="FH202" s="28">
        <v>0.223844914610244</v>
      </c>
      <c r="FI202" s="28">
        <v>981.45512376461102</v>
      </c>
      <c r="FJ202" s="28">
        <v>87.373864089548405</v>
      </c>
      <c r="FK202" s="28">
        <v>4.2039999999999997</v>
      </c>
      <c r="FL202" s="28">
        <v>39.849549648394301</v>
      </c>
      <c r="FM202" s="28">
        <v>1.1465568100000001</v>
      </c>
      <c r="FN202" s="28">
        <v>10.5473371562572</v>
      </c>
      <c r="FO202" s="28">
        <v>2.5884589748696101</v>
      </c>
      <c r="FP202" s="28">
        <v>13.7697578513812</v>
      </c>
      <c r="FQ202" s="28">
        <v>28.1421202255009</v>
      </c>
      <c r="FR202" s="28">
        <v>7.5035088473901101</v>
      </c>
      <c r="FS202" s="28">
        <v>84.335835018072899</v>
      </c>
      <c r="FT202" s="28">
        <v>46.969358830843397</v>
      </c>
      <c r="FU202" s="28">
        <v>2355.8083185632199</v>
      </c>
      <c r="FV202" s="28">
        <v>40.830913715318601</v>
      </c>
      <c r="FW202" s="28">
        <v>5.60358940632175</v>
      </c>
      <c r="FX202" s="28">
        <v>134.22409766949801</v>
      </c>
      <c r="FY202" s="28">
        <v>19.222500109999999</v>
      </c>
      <c r="FZ202" s="28">
        <v>22.163600642002201</v>
      </c>
      <c r="GA202" s="28">
        <v>0.52557383905579902</v>
      </c>
      <c r="GB202" s="28">
        <v>22.259181564909799</v>
      </c>
      <c r="GC202" s="28">
        <v>33.934579517066801</v>
      </c>
      <c r="GD202" s="28">
        <v>10.298789648495699</v>
      </c>
      <c r="GE202" s="28">
        <v>210.98078665501501</v>
      </c>
      <c r="GF202" s="28">
        <v>112.482555134666</v>
      </c>
      <c r="GG202" s="28">
        <v>212.15006527</v>
      </c>
      <c r="GH202" s="28">
        <v>52.740941600218697</v>
      </c>
      <c r="GI202" s="28">
        <v>58.980875577514503</v>
      </c>
      <c r="GJ202" s="28">
        <v>27.401435397951701</v>
      </c>
      <c r="GK202" s="28">
        <v>27.646385754819999</v>
      </c>
      <c r="GL202" s="28">
        <v>106.265791195117</v>
      </c>
      <c r="GM202" s="28">
        <v>78.054805215996893</v>
      </c>
      <c r="GN202" s="28">
        <v>10.3223769994626</v>
      </c>
      <c r="GO202" s="28">
        <v>10.681039495356201</v>
      </c>
      <c r="GP202" s="28">
        <v>0</v>
      </c>
      <c r="GQ202" s="21">
        <v>5440.3348111661962</v>
      </c>
      <c r="GR202" s="21">
        <v>8529.2147143253915</v>
      </c>
      <c r="GS202" s="20">
        <v>8529.2147143253915</v>
      </c>
      <c r="GT202" s="20">
        <v>0</v>
      </c>
      <c r="GU202" s="20">
        <v>0</v>
      </c>
      <c r="GV202" s="20">
        <v>0</v>
      </c>
      <c r="GW202" s="20">
        <v>0</v>
      </c>
      <c r="GX202" s="21">
        <v>0</v>
      </c>
      <c r="GY202" s="20">
        <v>0</v>
      </c>
      <c r="GZ202" s="20">
        <v>0</v>
      </c>
      <c r="HA202" s="20"/>
      <c r="HB202" s="21">
        <v>340.50391450491497</v>
      </c>
      <c r="HC202" s="21">
        <v>14310.053439996504</v>
      </c>
    </row>
    <row r="203" spans="1:211" s="7" customFormat="1" ht="17.25" customHeight="1">
      <c r="A203" s="7">
        <f t="shared" si="10"/>
        <v>203</v>
      </c>
      <c r="B203" s="26" t="s">
        <v>180</v>
      </c>
      <c r="C203" s="9" t="s">
        <v>672</v>
      </c>
      <c r="D203" s="28">
        <v>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0.31249214858704699</v>
      </c>
      <c r="BK203" s="28">
        <v>0</v>
      </c>
      <c r="BL203" s="28">
        <v>0.72727761635805799</v>
      </c>
      <c r="BM203" s="28">
        <v>0.120524380477148</v>
      </c>
      <c r="BN203" s="28">
        <v>0.37576715632642899</v>
      </c>
      <c r="BO203" s="28">
        <v>0.49510725044432802</v>
      </c>
      <c r="BP203" s="28">
        <v>1.74504830719491E-3</v>
      </c>
      <c r="BQ203" s="28">
        <v>1.4049307679327401</v>
      </c>
      <c r="BR203" s="28">
        <v>0.212565376460532</v>
      </c>
      <c r="BS203" s="28">
        <v>0</v>
      </c>
      <c r="BT203" s="28">
        <v>0</v>
      </c>
      <c r="BU203" s="28">
        <v>0.34516466487108499</v>
      </c>
      <c r="BV203" s="28">
        <v>2.9543190541820499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7.33186766916587E-3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0.40788609539919601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  <c r="EU203" s="28">
        <v>0</v>
      </c>
      <c r="EV203" s="28">
        <v>0</v>
      </c>
      <c r="EW203" s="28">
        <v>0</v>
      </c>
      <c r="EX203" s="28">
        <v>0</v>
      </c>
      <c r="EY203" s="28">
        <v>0</v>
      </c>
      <c r="EZ203" s="28">
        <v>1.4294720000000001</v>
      </c>
      <c r="FA203" s="28">
        <v>4.45180882543601E-2</v>
      </c>
      <c r="FB203" s="28">
        <v>7.50696935633098E-3</v>
      </c>
      <c r="FC203" s="28">
        <v>3.47894217870786</v>
      </c>
      <c r="FD203" s="28">
        <v>0</v>
      </c>
      <c r="FE203" s="28">
        <v>0</v>
      </c>
      <c r="FF203" s="28">
        <v>4.7980883650780504</v>
      </c>
      <c r="FG203" s="28">
        <v>0.170138700019422</v>
      </c>
      <c r="FH203" s="28">
        <v>0</v>
      </c>
      <c r="FI203" s="28">
        <v>33.454789653820903</v>
      </c>
      <c r="FJ203" s="28">
        <v>0</v>
      </c>
      <c r="FK203" s="28">
        <v>0</v>
      </c>
      <c r="FL203" s="28">
        <v>0</v>
      </c>
      <c r="FM203" s="28">
        <v>0</v>
      </c>
      <c r="FN203" s="28">
        <v>0</v>
      </c>
      <c r="FO203" s="28">
        <v>0</v>
      </c>
      <c r="FP203" s="28">
        <v>0</v>
      </c>
      <c r="FQ203" s="28">
        <v>1.6216419282972998E-2</v>
      </c>
      <c r="FR203" s="28">
        <v>0</v>
      </c>
      <c r="FS203" s="28">
        <v>10.795459825576</v>
      </c>
      <c r="FT203" s="28">
        <v>9.2570747783410994</v>
      </c>
      <c r="FU203" s="28">
        <v>3.5031835649378298</v>
      </c>
      <c r="FV203" s="28">
        <v>75.038168224382602</v>
      </c>
      <c r="FW203" s="28">
        <v>0</v>
      </c>
      <c r="FX203" s="28">
        <v>0</v>
      </c>
      <c r="FY203" s="28">
        <v>0</v>
      </c>
      <c r="FZ203" s="28">
        <v>0</v>
      </c>
      <c r="GA203" s="28">
        <v>3.9766491054396703E-2</v>
      </c>
      <c r="GB203" s="28">
        <v>2.0657043895298601</v>
      </c>
      <c r="GC203" s="28">
        <v>1.4832844654530299</v>
      </c>
      <c r="GD203" s="28">
        <v>57.880117797118402</v>
      </c>
      <c r="GE203" s="28">
        <v>0.71854288976713898</v>
      </c>
      <c r="GF203" s="28">
        <v>0</v>
      </c>
      <c r="GG203" s="28">
        <v>5.0894399741121497</v>
      </c>
      <c r="GH203" s="28">
        <v>4.3500430341121499</v>
      </c>
      <c r="GI203" s="28">
        <v>0.51738076</v>
      </c>
      <c r="GJ203" s="28">
        <v>1.62527426332576</v>
      </c>
      <c r="GK203" s="28">
        <v>0</v>
      </c>
      <c r="GL203" s="28">
        <v>0</v>
      </c>
      <c r="GM203" s="28">
        <v>16.644482920024402</v>
      </c>
      <c r="GN203" s="28">
        <v>0.15028193931606099</v>
      </c>
      <c r="GO203" s="28">
        <v>0</v>
      </c>
      <c r="GP203" s="28">
        <v>0</v>
      </c>
      <c r="GQ203" s="21">
        <v>239.92298911858566</v>
      </c>
      <c r="GR203" s="21">
        <v>767.02337522766459</v>
      </c>
      <c r="GS203" s="20">
        <v>767.02337522766459</v>
      </c>
      <c r="GT203" s="20">
        <v>0</v>
      </c>
      <c r="GU203" s="20">
        <v>0</v>
      </c>
      <c r="GV203" s="20">
        <v>0</v>
      </c>
      <c r="GW203" s="20">
        <v>0</v>
      </c>
      <c r="GX203" s="21">
        <v>0</v>
      </c>
      <c r="GY203" s="20">
        <v>0</v>
      </c>
      <c r="GZ203" s="20">
        <v>0</v>
      </c>
      <c r="HA203" s="20"/>
      <c r="HB203" s="21">
        <v>55.137889491060101</v>
      </c>
      <c r="HC203" s="21">
        <v>1062.0842538373104</v>
      </c>
    </row>
    <row r="204" spans="1:211" s="7" customFormat="1" ht="17.25" customHeight="1">
      <c r="A204" s="7">
        <f t="shared" si="10"/>
        <v>204</v>
      </c>
      <c r="B204" s="26" t="s">
        <v>183</v>
      </c>
      <c r="C204" s="10" t="s">
        <v>673</v>
      </c>
      <c r="D204" s="28">
        <v>0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  <c r="EU204" s="28">
        <v>0</v>
      </c>
      <c r="EV204" s="28">
        <v>0</v>
      </c>
      <c r="EW204" s="28">
        <v>0</v>
      </c>
      <c r="EX204" s="28">
        <v>0</v>
      </c>
      <c r="EY204" s="28">
        <v>4.9590532281121602</v>
      </c>
      <c r="EZ204" s="28">
        <v>0</v>
      </c>
      <c r="FA204" s="28">
        <v>0</v>
      </c>
      <c r="FB204" s="28">
        <v>0</v>
      </c>
      <c r="FC204" s="28">
        <v>0</v>
      </c>
      <c r="FD204" s="28">
        <v>0</v>
      </c>
      <c r="FE204" s="28">
        <v>0</v>
      </c>
      <c r="FF204" s="28">
        <v>0</v>
      </c>
      <c r="FG204" s="28">
        <v>0</v>
      </c>
      <c r="FH204" s="28">
        <v>0</v>
      </c>
      <c r="FI204" s="28">
        <v>0</v>
      </c>
      <c r="FJ204" s="28">
        <v>0</v>
      </c>
      <c r="FK204" s="28">
        <v>0</v>
      </c>
      <c r="FL204" s="28">
        <v>0</v>
      </c>
      <c r="FM204" s="28">
        <v>0</v>
      </c>
      <c r="FN204" s="28">
        <v>0</v>
      </c>
      <c r="FO204" s="28">
        <v>0</v>
      </c>
      <c r="FP204" s="28">
        <v>0</v>
      </c>
      <c r="FQ204" s="28">
        <v>0</v>
      </c>
      <c r="FR204" s="28">
        <v>0</v>
      </c>
      <c r="FS204" s="28">
        <v>0</v>
      </c>
      <c r="FT204" s="28">
        <v>0</v>
      </c>
      <c r="FU204" s="28">
        <v>0</v>
      </c>
      <c r="FV204" s="28">
        <v>0</v>
      </c>
      <c r="FW204" s="28">
        <v>0</v>
      </c>
      <c r="FX204" s="28">
        <v>423.76830158010102</v>
      </c>
      <c r="FY204" s="28">
        <v>0</v>
      </c>
      <c r="FZ204" s="28">
        <v>0</v>
      </c>
      <c r="GA204" s="28">
        <v>0</v>
      </c>
      <c r="GB204" s="28">
        <v>0</v>
      </c>
      <c r="GC204" s="28">
        <v>0</v>
      </c>
      <c r="GD204" s="28">
        <v>0</v>
      </c>
      <c r="GE204" s="28">
        <v>0</v>
      </c>
      <c r="GF204" s="28">
        <v>0</v>
      </c>
      <c r="GG204" s="28">
        <v>216.802506919899</v>
      </c>
      <c r="GH204" s="28">
        <v>0</v>
      </c>
      <c r="GI204" s="28">
        <v>0</v>
      </c>
      <c r="GJ204" s="28">
        <v>0</v>
      </c>
      <c r="GK204" s="28">
        <v>0</v>
      </c>
      <c r="GL204" s="28">
        <v>0</v>
      </c>
      <c r="GM204" s="28">
        <v>0</v>
      </c>
      <c r="GN204" s="28">
        <v>0</v>
      </c>
      <c r="GO204" s="28">
        <v>0</v>
      </c>
      <c r="GP204" s="28">
        <v>0</v>
      </c>
      <c r="GQ204" s="21">
        <v>645.52986172811222</v>
      </c>
      <c r="GR204" s="21">
        <v>188.40415476547199</v>
      </c>
      <c r="GS204" s="20">
        <v>188.40415476547199</v>
      </c>
      <c r="GT204" s="20">
        <v>0</v>
      </c>
      <c r="GU204" s="20">
        <v>0</v>
      </c>
      <c r="GV204" s="20">
        <v>0</v>
      </c>
      <c r="GW204" s="20">
        <v>0</v>
      </c>
      <c r="GX204" s="21">
        <v>0</v>
      </c>
      <c r="GY204" s="20">
        <v>0</v>
      </c>
      <c r="GZ204" s="20">
        <v>0</v>
      </c>
      <c r="HA204" s="20"/>
      <c r="HB204" s="21">
        <v>0</v>
      </c>
      <c r="HC204" s="21">
        <v>833.93401649358418</v>
      </c>
    </row>
    <row r="205" spans="1:211" s="7" customFormat="1" ht="17.25" customHeight="1">
      <c r="A205" s="7">
        <f t="shared" si="10"/>
        <v>205</v>
      </c>
      <c r="B205" s="26" t="s">
        <v>184</v>
      </c>
      <c r="C205" s="10" t="s">
        <v>674</v>
      </c>
      <c r="D205" s="28">
        <v>0</v>
      </c>
      <c r="E205" s="28">
        <v>46.048397169638903</v>
      </c>
      <c r="F205" s="28">
        <v>0</v>
      </c>
      <c r="G205" s="28">
        <v>13.6943759302216</v>
      </c>
      <c r="H205" s="28">
        <v>5.4670657208131299</v>
      </c>
      <c r="I205" s="28">
        <v>0.53813457785318097</v>
      </c>
      <c r="J205" s="28">
        <v>18.0673439837066</v>
      </c>
      <c r="K205" s="28">
        <v>2.2967706435164899</v>
      </c>
      <c r="L205" s="28">
        <v>2.8760837160867001</v>
      </c>
      <c r="M205" s="28">
        <v>35.168700000000001</v>
      </c>
      <c r="N205" s="28">
        <v>0</v>
      </c>
      <c r="O205" s="28">
        <v>5.34622505511512</v>
      </c>
      <c r="P205" s="28">
        <v>0</v>
      </c>
      <c r="Q205" s="28">
        <v>0</v>
      </c>
      <c r="R205" s="28">
        <v>10.142414787366</v>
      </c>
      <c r="S205" s="28">
        <v>260.65499699999998</v>
      </c>
      <c r="T205" s="28">
        <v>0</v>
      </c>
      <c r="U205" s="28">
        <v>55.855435174874799</v>
      </c>
      <c r="V205" s="28">
        <v>0</v>
      </c>
      <c r="W205" s="28">
        <v>0</v>
      </c>
      <c r="X205" s="28">
        <v>3.5142497080620299</v>
      </c>
      <c r="Y205" s="28">
        <v>0.13042281193019001</v>
      </c>
      <c r="Z205" s="28">
        <v>0.113113330608459</v>
      </c>
      <c r="AA205" s="28">
        <v>1.7653100818648899</v>
      </c>
      <c r="AB205" s="28">
        <v>2.5646</v>
      </c>
      <c r="AC205" s="28">
        <v>10.1963609643224</v>
      </c>
      <c r="AD205" s="28">
        <v>0</v>
      </c>
      <c r="AE205" s="28">
        <v>0</v>
      </c>
      <c r="AF205" s="28">
        <v>206.47771705811101</v>
      </c>
      <c r="AG205" s="28">
        <v>6.7223860194860396</v>
      </c>
      <c r="AH205" s="28">
        <v>0.50544990987355598</v>
      </c>
      <c r="AI205" s="28">
        <v>0.418429703434613</v>
      </c>
      <c r="AJ205" s="28">
        <v>0</v>
      </c>
      <c r="AK205" s="28">
        <v>0.58962901804310497</v>
      </c>
      <c r="AL205" s="28">
        <v>24.3158012635486</v>
      </c>
      <c r="AM205" s="28">
        <v>21.0967027907957</v>
      </c>
      <c r="AN205" s="28">
        <v>11.297810495268701</v>
      </c>
      <c r="AO205" s="28">
        <v>2.3760721870673298</v>
      </c>
      <c r="AP205" s="28">
        <v>0</v>
      </c>
      <c r="AQ205" s="28">
        <v>0</v>
      </c>
      <c r="AR205" s="28">
        <v>0</v>
      </c>
      <c r="AS205" s="28">
        <v>0</v>
      </c>
      <c r="AT205" s="28">
        <v>67.734009217979505</v>
      </c>
      <c r="AU205" s="28">
        <v>10.401841164251101</v>
      </c>
      <c r="AV205" s="28">
        <v>0</v>
      </c>
      <c r="AW205" s="28">
        <v>28.932565522588298</v>
      </c>
      <c r="AX205" s="28">
        <v>10.8879383468537</v>
      </c>
      <c r="AY205" s="28">
        <v>0</v>
      </c>
      <c r="AZ205" s="28">
        <v>0</v>
      </c>
      <c r="BA205" s="28">
        <v>23.377824518137199</v>
      </c>
      <c r="BB205" s="28">
        <v>0</v>
      </c>
      <c r="BC205" s="28">
        <v>26.368986023529001</v>
      </c>
      <c r="BD205" s="28">
        <v>2.3256680469110198</v>
      </c>
      <c r="BE205" s="28">
        <v>14.7550259500112</v>
      </c>
      <c r="BF205" s="28">
        <v>0</v>
      </c>
      <c r="BG205" s="28">
        <v>0</v>
      </c>
      <c r="BH205" s="28">
        <v>0</v>
      </c>
      <c r="BI205" s="28">
        <v>0</v>
      </c>
      <c r="BJ205" s="28">
        <v>19.844028885956899</v>
      </c>
      <c r="BK205" s="28">
        <v>0</v>
      </c>
      <c r="BL205" s="28">
        <v>14.465993583400801</v>
      </c>
      <c r="BM205" s="28">
        <v>4.71179755833146</v>
      </c>
      <c r="BN205" s="28">
        <v>13.550875862810001</v>
      </c>
      <c r="BO205" s="28">
        <v>15.957990299068999</v>
      </c>
      <c r="BP205" s="28">
        <v>2.8900703522186801E-2</v>
      </c>
      <c r="BQ205" s="28">
        <v>1.8836607366904701</v>
      </c>
      <c r="BR205" s="28">
        <v>41.284941023203302</v>
      </c>
      <c r="BS205" s="28">
        <v>0</v>
      </c>
      <c r="BT205" s="28">
        <v>0</v>
      </c>
      <c r="BU205" s="28">
        <v>42.209560736762697</v>
      </c>
      <c r="BV205" s="28">
        <v>10.101575593992701</v>
      </c>
      <c r="BW205" s="28">
        <v>0</v>
      </c>
      <c r="BX205" s="28">
        <v>0</v>
      </c>
      <c r="BY205" s="28">
        <v>0</v>
      </c>
      <c r="BZ205" s="28">
        <v>0</v>
      </c>
      <c r="CA205" s="28">
        <v>82.352129466532105</v>
      </c>
      <c r="CB205" s="28">
        <v>54.060402359502604</v>
      </c>
      <c r="CC205" s="28">
        <v>2.96334127474038</v>
      </c>
      <c r="CD205" s="28">
        <v>38.932769122504197</v>
      </c>
      <c r="CE205" s="28">
        <v>13.238125705571999</v>
      </c>
      <c r="CF205" s="28">
        <v>0</v>
      </c>
      <c r="CG205" s="28">
        <v>0</v>
      </c>
      <c r="CH205" s="28">
        <v>5.1063319110916003</v>
      </c>
      <c r="CI205" s="28">
        <v>3.6469922021070902</v>
      </c>
      <c r="CJ205" s="28">
        <v>6.8198596643558904</v>
      </c>
      <c r="CK205" s="28">
        <v>0.74690950407223899</v>
      </c>
      <c r="CL205" s="28">
        <v>41.060971308763101</v>
      </c>
      <c r="CM205" s="28">
        <v>75.432988945358105</v>
      </c>
      <c r="CN205" s="28">
        <v>17.748805636836</v>
      </c>
      <c r="CO205" s="28">
        <v>4.9432749598897097</v>
      </c>
      <c r="CP205" s="28">
        <v>0</v>
      </c>
      <c r="CQ205" s="28">
        <v>0.16746858430689099</v>
      </c>
      <c r="CR205" s="28">
        <v>8.3385208053789395</v>
      </c>
      <c r="CS205" s="28">
        <v>2.8150846980455202</v>
      </c>
      <c r="CT205" s="28">
        <v>141.63</v>
      </c>
      <c r="CU205" s="28">
        <v>2.2185802953316101</v>
      </c>
      <c r="CV205" s="28">
        <v>12.0484013928957</v>
      </c>
      <c r="CW205" s="28">
        <v>5.6266122192831096</v>
      </c>
      <c r="CX205" s="28">
        <v>4.0094684578055197</v>
      </c>
      <c r="CY205" s="28">
        <v>5.2678449618037604</v>
      </c>
      <c r="CZ205" s="28">
        <v>0</v>
      </c>
      <c r="DA205" s="28">
        <v>5.2064029295136498</v>
      </c>
      <c r="DB205" s="28">
        <v>14.123350926566401</v>
      </c>
      <c r="DC205" s="28">
        <v>12.2959912056797</v>
      </c>
      <c r="DD205" s="28">
        <v>0.41262252268522098</v>
      </c>
      <c r="DE205" s="28">
        <v>0</v>
      </c>
      <c r="DF205" s="28">
        <v>18.88</v>
      </c>
      <c r="DG205" s="28">
        <v>52</v>
      </c>
      <c r="DH205" s="28">
        <v>20.45</v>
      </c>
      <c r="DI205" s="28">
        <v>11.945013260922799</v>
      </c>
      <c r="DJ205" s="28">
        <v>0.71703065471750804</v>
      </c>
      <c r="DK205" s="28">
        <v>0.38075070273346101</v>
      </c>
      <c r="DL205" s="28">
        <v>1.7131719277004001</v>
      </c>
      <c r="DM205" s="28">
        <v>0.30595840608629099</v>
      </c>
      <c r="DN205" s="28">
        <v>12.818</v>
      </c>
      <c r="DO205" s="28">
        <v>8.2098172637627904</v>
      </c>
      <c r="DP205" s="28">
        <v>0</v>
      </c>
      <c r="DQ205" s="28">
        <v>4.6403453040172797</v>
      </c>
      <c r="DR205" s="28">
        <v>25.5401272787681</v>
      </c>
      <c r="DS205" s="28">
        <v>4.4192763425512096</v>
      </c>
      <c r="DT205" s="28">
        <v>1.6613062687042599</v>
      </c>
      <c r="DU205" s="28">
        <v>17.4001036900491</v>
      </c>
      <c r="DV205" s="28">
        <v>27.5934890162894</v>
      </c>
      <c r="DW205" s="28">
        <v>0</v>
      </c>
      <c r="DX205" s="28">
        <v>11.755041909088099</v>
      </c>
      <c r="DY205" s="28">
        <v>27.811307362485302</v>
      </c>
      <c r="DZ205" s="28">
        <v>117.56955913101299</v>
      </c>
      <c r="EA205" s="28">
        <v>0</v>
      </c>
      <c r="EB205" s="28">
        <v>1.85737949376319</v>
      </c>
      <c r="EC205" s="28">
        <v>40.949436483613503</v>
      </c>
      <c r="ED205" s="28">
        <v>9.5142900606830896</v>
      </c>
      <c r="EE205" s="28">
        <v>0</v>
      </c>
      <c r="EF205" s="28">
        <v>1.08088089723022</v>
      </c>
      <c r="EG205" s="28">
        <v>0</v>
      </c>
      <c r="EH205" s="28">
        <v>0</v>
      </c>
      <c r="EI205" s="28">
        <v>1.47569191476346</v>
      </c>
      <c r="EJ205" s="28">
        <v>75.344103578204596</v>
      </c>
      <c r="EK205" s="28">
        <v>9.2268978415888991</v>
      </c>
      <c r="EL205" s="28">
        <v>7.3089388630355803</v>
      </c>
      <c r="EM205" s="28">
        <v>0.31326679868558299</v>
      </c>
      <c r="EN205" s="28">
        <v>7.1545268723075296E-3</v>
      </c>
      <c r="EO205" s="28">
        <v>2.0174267416099299</v>
      </c>
      <c r="EP205" s="28">
        <v>0</v>
      </c>
      <c r="EQ205" s="28">
        <v>1.7316544901167601</v>
      </c>
      <c r="ER205" s="28">
        <v>8.3899660948216308</v>
      </c>
      <c r="ES205" s="28">
        <v>41.7356596830694</v>
      </c>
      <c r="ET205" s="28">
        <v>10.202291037517201</v>
      </c>
      <c r="EU205" s="28">
        <v>1.5996824655239099</v>
      </c>
      <c r="EV205" s="28">
        <v>6.7712734328893598</v>
      </c>
      <c r="EW205" s="28">
        <v>3.2865825169229899</v>
      </c>
      <c r="EX205" s="28">
        <v>43.179999773426999</v>
      </c>
      <c r="EY205" s="28">
        <v>20.499398893107301</v>
      </c>
      <c r="EZ205" s="28">
        <v>51.142309028509601</v>
      </c>
      <c r="FA205" s="28">
        <v>4.33578056486125</v>
      </c>
      <c r="FB205" s="28">
        <v>15.9395751787923</v>
      </c>
      <c r="FC205" s="28">
        <v>174.372268300597</v>
      </c>
      <c r="FD205" s="28">
        <v>53.624139545539798</v>
      </c>
      <c r="FE205" s="28">
        <v>5.9466530168779999</v>
      </c>
      <c r="FF205" s="28">
        <v>8.4203237825919004</v>
      </c>
      <c r="FG205" s="28">
        <v>212.12751708010501</v>
      </c>
      <c r="FH205" s="28">
        <v>18.756055690822599</v>
      </c>
      <c r="FI205" s="28">
        <v>1472.5623463572799</v>
      </c>
      <c r="FJ205" s="28">
        <v>49.861685530083001</v>
      </c>
      <c r="FK205" s="28">
        <v>18.0074894696398</v>
      </c>
      <c r="FL205" s="28">
        <v>197.00653230343599</v>
      </c>
      <c r="FM205" s="28">
        <v>182.728580059938</v>
      </c>
      <c r="FN205" s="28">
        <v>11.597671255184199</v>
      </c>
      <c r="FO205" s="28">
        <v>1.0375280541688201</v>
      </c>
      <c r="FP205" s="28">
        <v>7.0283715313633897</v>
      </c>
      <c r="FQ205" s="28">
        <v>53.641855215064901</v>
      </c>
      <c r="FR205" s="28">
        <v>1.0167142106142799</v>
      </c>
      <c r="FS205" s="28">
        <v>89.375943448838996</v>
      </c>
      <c r="FT205" s="28">
        <v>160.18396944125601</v>
      </c>
      <c r="FU205" s="28">
        <v>55.841778030456403</v>
      </c>
      <c r="FV205" s="28">
        <v>15.688657226436099</v>
      </c>
      <c r="FW205" s="28">
        <v>0</v>
      </c>
      <c r="FX205" s="28">
        <v>502.189562662757</v>
      </c>
      <c r="FY205" s="28">
        <v>0</v>
      </c>
      <c r="FZ205" s="28">
        <v>0</v>
      </c>
      <c r="GA205" s="28">
        <v>657.77562862903301</v>
      </c>
      <c r="GB205" s="28">
        <v>6.2548910624856902</v>
      </c>
      <c r="GC205" s="28">
        <v>0</v>
      </c>
      <c r="GD205" s="28">
        <v>300.12651</v>
      </c>
      <c r="GE205" s="28">
        <v>343.25295878010297</v>
      </c>
      <c r="GF205" s="28">
        <v>230.92641679384599</v>
      </c>
      <c r="GG205" s="28">
        <v>435.57534096791301</v>
      </c>
      <c r="GH205" s="28">
        <v>159.960893179274</v>
      </c>
      <c r="GI205" s="28">
        <v>7.4161680862228501</v>
      </c>
      <c r="GJ205" s="28">
        <v>102.584662068631</v>
      </c>
      <c r="GK205" s="28">
        <v>29.079374558667102</v>
      </c>
      <c r="GL205" s="28">
        <v>49.556872981823197</v>
      </c>
      <c r="GM205" s="28">
        <v>171.957649686666</v>
      </c>
      <c r="GN205" s="28">
        <v>15.0820067452269</v>
      </c>
      <c r="GO205" s="28">
        <v>79.463797646005006</v>
      </c>
      <c r="GP205" s="28">
        <v>0</v>
      </c>
      <c r="GQ205" s="21">
        <v>8262.025186213672</v>
      </c>
      <c r="GR205" s="21">
        <v>4761.6482235606609</v>
      </c>
      <c r="GS205" s="20">
        <v>4761.6482235606609</v>
      </c>
      <c r="GT205" s="20">
        <v>0</v>
      </c>
      <c r="GU205" s="20">
        <v>0</v>
      </c>
      <c r="GV205" s="20">
        <v>0</v>
      </c>
      <c r="GW205" s="20">
        <v>0</v>
      </c>
      <c r="GX205" s="21">
        <v>0</v>
      </c>
      <c r="GY205" s="20">
        <v>0</v>
      </c>
      <c r="GZ205" s="20">
        <v>0</v>
      </c>
      <c r="HA205" s="20"/>
      <c r="HB205" s="21">
        <v>0</v>
      </c>
      <c r="HC205" s="21">
        <v>13023.673409774332</v>
      </c>
    </row>
    <row r="206" spans="1:211" s="7" customFormat="1" ht="17.25" customHeight="1">
      <c r="A206" s="7">
        <f t="shared" si="10"/>
        <v>206</v>
      </c>
      <c r="B206" s="26" t="s">
        <v>185</v>
      </c>
      <c r="C206" s="10" t="s">
        <v>675</v>
      </c>
      <c r="D206" s="28">
        <v>0</v>
      </c>
      <c r="E206" s="28">
        <v>5.0880676403754101</v>
      </c>
      <c r="F206" s="28">
        <v>0</v>
      </c>
      <c r="G206" s="28">
        <v>1.5306785502284801</v>
      </c>
      <c r="H206" s="28">
        <v>4.4093072265287097</v>
      </c>
      <c r="I206" s="28">
        <v>4.4356058656317998</v>
      </c>
      <c r="J206" s="28">
        <v>1.0522996279774699</v>
      </c>
      <c r="K206" s="28">
        <v>0</v>
      </c>
      <c r="L206" s="28">
        <v>1.3072496449190301</v>
      </c>
      <c r="M206" s="28">
        <v>11.362355722855099</v>
      </c>
      <c r="N206" s="28">
        <v>0</v>
      </c>
      <c r="O206" s="28">
        <v>2.4138049457488902</v>
      </c>
      <c r="P206" s="28">
        <v>0</v>
      </c>
      <c r="Q206" s="28">
        <v>0</v>
      </c>
      <c r="R206" s="28">
        <v>5.9293103026111202</v>
      </c>
      <c r="S206" s="28">
        <v>18.979263744745399</v>
      </c>
      <c r="T206" s="28">
        <v>1.07971197153684</v>
      </c>
      <c r="U206" s="28">
        <v>2.3511637750391499</v>
      </c>
      <c r="V206" s="28">
        <v>0</v>
      </c>
      <c r="W206" s="28">
        <v>0</v>
      </c>
      <c r="X206" s="28">
        <v>0.66167777078562895</v>
      </c>
      <c r="Y206" s="28">
        <v>0.17837323273184799</v>
      </c>
      <c r="Z206" s="28">
        <v>1.6991043641866801</v>
      </c>
      <c r="AA206" s="28">
        <v>0.288954091838515</v>
      </c>
      <c r="AB206" s="28">
        <v>0.11942446239778901</v>
      </c>
      <c r="AC206" s="28">
        <v>4.7915727182191103</v>
      </c>
      <c r="AD206" s="28">
        <v>0</v>
      </c>
      <c r="AE206" s="28">
        <v>0</v>
      </c>
      <c r="AF206" s="28">
        <v>17.190144019428601</v>
      </c>
      <c r="AG206" s="28">
        <v>4.08454075434459</v>
      </c>
      <c r="AH206" s="28">
        <v>0.475811216768532</v>
      </c>
      <c r="AI206" s="28">
        <v>0.86387654496650801</v>
      </c>
      <c r="AJ206" s="28">
        <v>0</v>
      </c>
      <c r="AK206" s="28">
        <v>0.51513300895042302</v>
      </c>
      <c r="AL206" s="28">
        <v>11.066222738267101</v>
      </c>
      <c r="AM206" s="28">
        <v>0.67542556431886003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10.7271171930091</v>
      </c>
      <c r="AU206" s="28">
        <v>0</v>
      </c>
      <c r="AV206" s="28">
        <v>1.5</v>
      </c>
      <c r="AW206" s="28">
        <v>6.5</v>
      </c>
      <c r="AX206" s="28">
        <v>2.5752619117236999</v>
      </c>
      <c r="AY206" s="28">
        <v>0</v>
      </c>
      <c r="AZ206" s="28">
        <v>0</v>
      </c>
      <c r="BA206" s="28">
        <v>3</v>
      </c>
      <c r="BB206" s="28">
        <v>0</v>
      </c>
      <c r="BC206" s="28">
        <v>0</v>
      </c>
      <c r="BD206" s="28">
        <v>0</v>
      </c>
      <c r="BE206" s="28">
        <v>3.27446474623759</v>
      </c>
      <c r="BF206" s="28">
        <v>0</v>
      </c>
      <c r="BG206" s="28">
        <v>0</v>
      </c>
      <c r="BH206" s="28">
        <v>0</v>
      </c>
      <c r="BI206" s="28">
        <v>0</v>
      </c>
      <c r="BJ206" s="28">
        <v>4.40382641348977</v>
      </c>
      <c r="BK206" s="28">
        <v>0</v>
      </c>
      <c r="BL206" s="28">
        <v>3.6963086384717498</v>
      </c>
      <c r="BM206" s="28">
        <v>0</v>
      </c>
      <c r="BN206" s="28">
        <v>3.9308504537992399</v>
      </c>
      <c r="BO206" s="28">
        <v>3.6291084092191999</v>
      </c>
      <c r="BP206" s="28">
        <v>8.3835424887249693E-3</v>
      </c>
      <c r="BQ206" s="28">
        <v>2.4697538541523398</v>
      </c>
      <c r="BR206" s="28">
        <v>7.2957819241781703</v>
      </c>
      <c r="BS206" s="28">
        <v>0</v>
      </c>
      <c r="BT206" s="28">
        <v>0</v>
      </c>
      <c r="BU206" s="28">
        <v>8.5263667984124201</v>
      </c>
      <c r="BV206" s="28">
        <v>2.5191659919750502</v>
      </c>
      <c r="BW206" s="28">
        <v>0</v>
      </c>
      <c r="BX206" s="28">
        <v>0</v>
      </c>
      <c r="BY206" s="28">
        <v>0</v>
      </c>
      <c r="BZ206" s="28">
        <v>0</v>
      </c>
      <c r="CA206" s="28">
        <v>15.537259954000399</v>
      </c>
      <c r="CB206" s="28">
        <v>13.4817708256855</v>
      </c>
      <c r="CC206" s="28">
        <v>0</v>
      </c>
      <c r="CD206" s="28">
        <v>9.7091891293824908</v>
      </c>
      <c r="CE206" s="28">
        <v>3.9324066951325198</v>
      </c>
      <c r="CF206" s="28">
        <v>0</v>
      </c>
      <c r="CG206" s="28">
        <v>0</v>
      </c>
      <c r="CH206" s="28">
        <v>1.09700364242147</v>
      </c>
      <c r="CI206" s="28">
        <v>9.6047024891075594</v>
      </c>
      <c r="CJ206" s="28">
        <v>0</v>
      </c>
      <c r="CK206" s="28">
        <v>0.16046008383174301</v>
      </c>
      <c r="CL206" s="28">
        <v>0</v>
      </c>
      <c r="CM206" s="28">
        <v>23.237999438648501</v>
      </c>
      <c r="CN206" s="28">
        <v>0</v>
      </c>
      <c r="CO206" s="28">
        <v>1.2327710714100499</v>
      </c>
      <c r="CP206" s="28">
        <v>0</v>
      </c>
      <c r="CQ206" s="28">
        <v>0</v>
      </c>
      <c r="CR206" s="28">
        <v>1.85859456943818</v>
      </c>
      <c r="CS206" s="28">
        <v>0.69880827323952299</v>
      </c>
      <c r="CT206" s="28">
        <v>38</v>
      </c>
      <c r="CU206" s="28">
        <v>1.0063735015236599</v>
      </c>
      <c r="CV206" s="28">
        <v>0.7</v>
      </c>
      <c r="CW206" s="28">
        <v>1.3969212385933001</v>
      </c>
      <c r="CX206" s="28">
        <v>0.99481913439713598</v>
      </c>
      <c r="CY206" s="28">
        <v>1.30724773933516</v>
      </c>
      <c r="CZ206" s="28">
        <v>0</v>
      </c>
      <c r="DA206" s="28">
        <v>2.59</v>
      </c>
      <c r="DB206" s="28">
        <v>2.61</v>
      </c>
      <c r="DC206" s="28">
        <v>2.7</v>
      </c>
      <c r="DD206" s="28">
        <v>0.12</v>
      </c>
      <c r="DE206" s="28">
        <v>0</v>
      </c>
      <c r="DF206" s="28">
        <v>2.02</v>
      </c>
      <c r="DG206" s="28">
        <v>10.638999999999999</v>
      </c>
      <c r="DH206" s="28">
        <v>11.956</v>
      </c>
      <c r="DI206" s="28">
        <v>1.196</v>
      </c>
      <c r="DJ206" s="28">
        <v>0.177150214013746</v>
      </c>
      <c r="DK206" s="28">
        <v>8.4000000000000005E-2</v>
      </c>
      <c r="DL206" s="28">
        <v>1.6990000000000001</v>
      </c>
      <c r="DM206" s="28">
        <v>0.19900000000000001</v>
      </c>
      <c r="DN206" s="28">
        <v>1.228</v>
      </c>
      <c r="DO206" s="28">
        <v>0.375</v>
      </c>
      <c r="DP206" s="28">
        <v>0</v>
      </c>
      <c r="DQ206" s="28">
        <v>2.29</v>
      </c>
      <c r="DR206" s="28">
        <v>6.8810000000000002</v>
      </c>
      <c r="DS206" s="28">
        <v>3.38</v>
      </c>
      <c r="DT206" s="28">
        <v>8.6999999999999994E-2</v>
      </c>
      <c r="DU206" s="28">
        <v>8.0579999999999998</v>
      </c>
      <c r="DV206" s="28">
        <v>1.909</v>
      </c>
      <c r="DW206" s="28">
        <v>0</v>
      </c>
      <c r="DX206" s="28">
        <v>0</v>
      </c>
      <c r="DY206" s="28">
        <v>21</v>
      </c>
      <c r="DZ206" s="28">
        <v>30</v>
      </c>
      <c r="EA206" s="28">
        <v>0</v>
      </c>
      <c r="EB206" s="28">
        <v>0</v>
      </c>
      <c r="EC206" s="28">
        <v>0</v>
      </c>
      <c r="ED206" s="28">
        <v>0</v>
      </c>
      <c r="EE206" s="28">
        <v>0.39761940466472201</v>
      </c>
      <c r="EF206" s="28">
        <v>0</v>
      </c>
      <c r="EG206" s="28">
        <v>0</v>
      </c>
      <c r="EH206" s="28">
        <v>0</v>
      </c>
      <c r="EI206" s="28">
        <v>0</v>
      </c>
      <c r="EJ206" s="28">
        <v>3.7024861983376001</v>
      </c>
      <c r="EK206" s="28">
        <v>0.23162036270352099</v>
      </c>
      <c r="EL206" s="28">
        <v>2.2393483819629298</v>
      </c>
      <c r="EM206" s="28">
        <v>0.135840048671175</v>
      </c>
      <c r="EN206" s="28">
        <v>0.75513236332224898</v>
      </c>
      <c r="EO206" s="28">
        <v>0.71765641642941103</v>
      </c>
      <c r="EP206" s="28">
        <v>0</v>
      </c>
      <c r="EQ206" s="28">
        <v>0.25039817927111802</v>
      </c>
      <c r="ER206" s="28">
        <v>2.90095416252684</v>
      </c>
      <c r="ES206" s="28">
        <v>5.4863901912156301</v>
      </c>
      <c r="ET206" s="28">
        <v>3.9098704263733901</v>
      </c>
      <c r="EU206" s="28">
        <v>2.3564125346024901E-2</v>
      </c>
      <c r="EV206" s="28">
        <v>1.3286537253552699</v>
      </c>
      <c r="EW206" s="28">
        <v>5.1111854013252298</v>
      </c>
      <c r="EX206" s="28">
        <v>7.5604218967874601</v>
      </c>
      <c r="EY206" s="28">
        <v>3.6603440634640401</v>
      </c>
      <c r="EZ206" s="28">
        <v>9.1903938264575995</v>
      </c>
      <c r="FA206" s="28">
        <v>3.3419413139243801</v>
      </c>
      <c r="FB206" s="28">
        <v>2.9663379714751499</v>
      </c>
      <c r="FC206" s="28">
        <v>0</v>
      </c>
      <c r="FD206" s="28">
        <v>60.468019584150802</v>
      </c>
      <c r="FE206" s="28">
        <v>0</v>
      </c>
      <c r="FF206" s="28">
        <v>0</v>
      </c>
      <c r="FG206" s="28">
        <v>42.357912596867997</v>
      </c>
      <c r="FH206" s="28">
        <v>15.2440126722055</v>
      </c>
      <c r="FI206" s="28">
        <v>410.38034674255198</v>
      </c>
      <c r="FJ206" s="28">
        <v>10.1896993257691</v>
      </c>
      <c r="FK206" s="28">
        <v>2.3487084684437902</v>
      </c>
      <c r="FL206" s="28">
        <v>39.289420637524103</v>
      </c>
      <c r="FM206" s="28">
        <v>39.577405664072501</v>
      </c>
      <c r="FN206" s="28">
        <v>4.2738880581054604</v>
      </c>
      <c r="FO206" s="28">
        <v>0.105656544058697</v>
      </c>
      <c r="FP206" s="28">
        <v>19.766366557119198</v>
      </c>
      <c r="FQ206" s="28">
        <v>11.895423401715</v>
      </c>
      <c r="FR206" s="28">
        <v>0.76336986511237803</v>
      </c>
      <c r="FS206" s="28">
        <v>11.733475816515099</v>
      </c>
      <c r="FT206" s="28">
        <v>50.502641674587501</v>
      </c>
      <c r="FU206" s="28">
        <v>13.199128103910001</v>
      </c>
      <c r="FV206" s="28">
        <v>1.1423850049337201</v>
      </c>
      <c r="FW206" s="28">
        <v>3.70966328</v>
      </c>
      <c r="FX206" s="28">
        <v>544.49967026707498</v>
      </c>
      <c r="FY206" s="28">
        <v>1.3298195100000001</v>
      </c>
      <c r="FZ206" s="28">
        <v>26.1060486020965</v>
      </c>
      <c r="GA206" s="28">
        <v>45.827391239793997</v>
      </c>
      <c r="GB206" s="28">
        <v>0</v>
      </c>
      <c r="GC206" s="28">
        <v>0</v>
      </c>
      <c r="GD206" s="28">
        <v>60.315510000000003</v>
      </c>
      <c r="GE206" s="28">
        <v>143.12616499999999</v>
      </c>
      <c r="GF206" s="28">
        <v>14.7445241765835</v>
      </c>
      <c r="GG206" s="28">
        <v>269.30117876107198</v>
      </c>
      <c r="GH206" s="28">
        <v>39.891602888446698</v>
      </c>
      <c r="GI206" s="28">
        <v>5.2194417685790002</v>
      </c>
      <c r="GJ206" s="28">
        <v>25.5829191770077</v>
      </c>
      <c r="GK206" s="28">
        <v>0.17701923281076901</v>
      </c>
      <c r="GL206" s="28">
        <v>0</v>
      </c>
      <c r="GM206" s="28">
        <v>51.247638614468997</v>
      </c>
      <c r="GN206" s="28">
        <v>0.90871435467085104</v>
      </c>
      <c r="GO206" s="28">
        <v>23.682179839723201</v>
      </c>
      <c r="GP206" s="28">
        <v>0</v>
      </c>
      <c r="GQ206" s="21">
        <v>2444.5774532723053</v>
      </c>
      <c r="GR206" s="21">
        <v>640.28588392878214</v>
      </c>
      <c r="GS206" s="20">
        <v>640.28588392878214</v>
      </c>
      <c r="GT206" s="20">
        <v>0</v>
      </c>
      <c r="GU206" s="20">
        <v>0</v>
      </c>
      <c r="GV206" s="20">
        <v>0</v>
      </c>
      <c r="GW206" s="20">
        <v>0</v>
      </c>
      <c r="GX206" s="21">
        <v>0</v>
      </c>
      <c r="GY206" s="20">
        <v>0</v>
      </c>
      <c r="GZ206" s="20">
        <v>0</v>
      </c>
      <c r="HA206" s="20"/>
      <c r="HB206" s="21">
        <v>31.129592842000001</v>
      </c>
      <c r="HC206" s="21">
        <v>3115.9929300430872</v>
      </c>
    </row>
    <row r="207" spans="1:211" s="7" customFormat="1" ht="17.25" customHeight="1">
      <c r="A207" s="7">
        <f t="shared" ref="A207:A230" si="11">+A206+1</f>
        <v>207</v>
      </c>
      <c r="B207" s="26" t="s">
        <v>676</v>
      </c>
      <c r="C207" s="9" t="s">
        <v>677</v>
      </c>
      <c r="D207" s="28">
        <v>0</v>
      </c>
      <c r="E207" s="28">
        <v>29.0645131437877</v>
      </c>
      <c r="F207" s="28">
        <v>0</v>
      </c>
      <c r="G207" s="28">
        <v>1.37100311526739</v>
      </c>
      <c r="H207" s="28">
        <v>3.9493425597683598</v>
      </c>
      <c r="I207" s="28">
        <v>3.9728978099103598</v>
      </c>
      <c r="J207" s="28">
        <v>0.94252713473803496</v>
      </c>
      <c r="K207" s="28">
        <v>0</v>
      </c>
      <c r="L207" s="28">
        <v>1.17088159061786</v>
      </c>
      <c r="M207" s="28">
        <v>10.1770715284965</v>
      </c>
      <c r="N207" s="28">
        <v>0</v>
      </c>
      <c r="O207" s="28">
        <v>2.1620046219211599</v>
      </c>
      <c r="P207" s="28">
        <v>0</v>
      </c>
      <c r="Q207" s="28">
        <v>0</v>
      </c>
      <c r="R207" s="28">
        <v>5.3107838318198404</v>
      </c>
      <c r="S207" s="28">
        <v>17.000533413964099</v>
      </c>
      <c r="T207" s="28">
        <v>0.96707991129002002</v>
      </c>
      <c r="U207" s="28">
        <v>2.1058979755098401</v>
      </c>
      <c r="V207" s="28">
        <v>0</v>
      </c>
      <c r="W207" s="28">
        <v>0</v>
      </c>
      <c r="X207" s="28">
        <v>0.59265368611513303</v>
      </c>
      <c r="Y207" s="28">
        <v>0.15976591409030599</v>
      </c>
      <c r="Z207" s="28">
        <v>1.5218592931328601</v>
      </c>
      <c r="AA207" s="28">
        <v>0.25881133567902198</v>
      </c>
      <c r="AB207" s="28">
        <v>0.10696648879156399</v>
      </c>
      <c r="AC207" s="28">
        <v>4.2917313519079698</v>
      </c>
      <c r="AD207" s="28">
        <v>0</v>
      </c>
      <c r="AE207" s="28">
        <v>0</v>
      </c>
      <c r="AF207" s="28">
        <v>25.53616585847</v>
      </c>
      <c r="AG207" s="28">
        <v>6.0676344561591602</v>
      </c>
      <c r="AH207" s="28">
        <v>0.70682328984498599</v>
      </c>
      <c r="AI207" s="28">
        <v>1.28329900602194</v>
      </c>
      <c r="AJ207" s="28">
        <v>0</v>
      </c>
      <c r="AK207" s="28">
        <v>0.76523628544724298</v>
      </c>
      <c r="AL207" s="28">
        <v>21.269337267469801</v>
      </c>
      <c r="AM207" s="28">
        <v>1.0033528058871</v>
      </c>
      <c r="AN207" s="28">
        <v>6.0581492086349997E-2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7.33385694470548</v>
      </c>
      <c r="AU207" s="28">
        <v>1.2320607215225701</v>
      </c>
      <c r="AV207" s="28">
        <v>0</v>
      </c>
      <c r="AW207" s="28">
        <v>4.2734105824607003</v>
      </c>
      <c r="AX207" s="28">
        <v>2.4030965529244002</v>
      </c>
      <c r="AY207" s="28">
        <v>0</v>
      </c>
      <c r="AZ207" s="28">
        <v>0</v>
      </c>
      <c r="BA207" s="28">
        <v>2.70868661434936</v>
      </c>
      <c r="BB207" s="28">
        <v>0</v>
      </c>
      <c r="BC207" s="28">
        <v>0.882182429821601</v>
      </c>
      <c r="BD207" s="28">
        <v>0.90103763634384004</v>
      </c>
      <c r="BE207" s="28">
        <v>0</v>
      </c>
      <c r="BF207" s="28">
        <v>0</v>
      </c>
      <c r="BG207" s="28">
        <v>0</v>
      </c>
      <c r="BH207" s="28">
        <v>0.17353922176060599</v>
      </c>
      <c r="BI207" s="28">
        <v>3.4530794133235197E-2</v>
      </c>
      <c r="BJ207" s="28">
        <v>4.4108673831318201</v>
      </c>
      <c r="BK207" s="28">
        <v>0</v>
      </c>
      <c r="BL207" s="28">
        <v>8.9092407392772494E-2</v>
      </c>
      <c r="BM207" s="28">
        <v>1.59945223421416E-2</v>
      </c>
      <c r="BN207" s="28">
        <v>0.15654475267534501</v>
      </c>
      <c r="BO207" s="28">
        <v>12.257453629787999</v>
      </c>
      <c r="BP207" s="28">
        <v>5.5364372235281096E-4</v>
      </c>
      <c r="BQ207" s="28">
        <v>0.55015706220091498</v>
      </c>
      <c r="BR207" s="28">
        <v>0.59048226600972098</v>
      </c>
      <c r="BS207" s="28">
        <v>0</v>
      </c>
      <c r="BT207" s="28">
        <v>0</v>
      </c>
      <c r="BU207" s="28">
        <v>1.10302651674908</v>
      </c>
      <c r="BV207" s="28">
        <v>2.5810649700133399</v>
      </c>
      <c r="BW207" s="28">
        <v>0</v>
      </c>
      <c r="BX207" s="28">
        <v>0</v>
      </c>
      <c r="BY207" s="28">
        <v>11.119200862220801</v>
      </c>
      <c r="BZ207" s="28">
        <v>0</v>
      </c>
      <c r="CA207" s="28">
        <v>10</v>
      </c>
      <c r="CB207" s="28">
        <v>3.4975919948287002</v>
      </c>
      <c r="CC207" s="28">
        <v>0.19172181981837499</v>
      </c>
      <c r="CD207" s="28">
        <v>2.5188665950698099</v>
      </c>
      <c r="CE207" s="28">
        <v>0.85647831820485798</v>
      </c>
      <c r="CF207" s="28">
        <v>0</v>
      </c>
      <c r="CG207" s="28">
        <v>0</v>
      </c>
      <c r="CH207" s="28">
        <v>0.27020228859364298</v>
      </c>
      <c r="CI207" s="28">
        <v>0.18203620612621299</v>
      </c>
      <c r="CJ207" s="28">
        <v>0</v>
      </c>
      <c r="CK207" s="28">
        <v>4.5506007969379397E-2</v>
      </c>
      <c r="CL207" s="28">
        <v>2.39073938827286</v>
      </c>
      <c r="CM207" s="28">
        <v>16.390810112101899</v>
      </c>
      <c r="CN207" s="28">
        <v>0.30915886163711498</v>
      </c>
      <c r="CO207" s="28">
        <v>9.2817299067974104E-2</v>
      </c>
      <c r="CP207" s="28">
        <v>0.27497419213284202</v>
      </c>
      <c r="CQ207" s="28">
        <v>3.8224388845264899E-3</v>
      </c>
      <c r="CR207" s="28">
        <v>0.63816300000000004</v>
      </c>
      <c r="CS207" s="28">
        <v>0.23993999999999999</v>
      </c>
      <c r="CT207" s="28">
        <v>13.071999999999999</v>
      </c>
      <c r="CU207" s="28">
        <v>0.34399999999999997</v>
      </c>
      <c r="CV207" s="28">
        <v>4.3E-3</v>
      </c>
      <c r="CW207" s="28">
        <v>0.47966500000000001</v>
      </c>
      <c r="CX207" s="28">
        <v>0.34159200000000001</v>
      </c>
      <c r="CY207" s="28">
        <v>0.44887700000000003</v>
      </c>
      <c r="CZ207" s="28">
        <v>0</v>
      </c>
      <c r="DA207" s="28">
        <v>1.7202742253583201</v>
      </c>
      <c r="DB207" s="28">
        <v>2.0218058196987001</v>
      </c>
      <c r="DC207" s="28">
        <v>1.5686631950267</v>
      </c>
      <c r="DD207" s="28">
        <v>0</v>
      </c>
      <c r="DE207" s="28">
        <v>0</v>
      </c>
      <c r="DF207" s="28">
        <v>0.91168000000000005</v>
      </c>
      <c r="DG207" s="28">
        <v>4.8019999999999996</v>
      </c>
      <c r="DH207" s="28">
        <v>5.3983999999999996</v>
      </c>
      <c r="DI207" s="28">
        <v>0.53983999999999999</v>
      </c>
      <c r="DJ207" s="28">
        <v>0</v>
      </c>
      <c r="DK207" s="28">
        <v>2.4753000000000001E-2</v>
      </c>
      <c r="DL207" s="28">
        <v>0.50116499999999997</v>
      </c>
      <c r="DM207" s="28">
        <v>5.8681999999999998E-2</v>
      </c>
      <c r="DN207" s="28">
        <v>0.36223</v>
      </c>
      <c r="DO207" s="28">
        <v>0.110556</v>
      </c>
      <c r="DP207" s="28">
        <v>0</v>
      </c>
      <c r="DQ207" s="28">
        <v>0.67554599999999998</v>
      </c>
      <c r="DR207" s="28">
        <v>2.02982</v>
      </c>
      <c r="DS207" s="28">
        <v>0.99700200000000005</v>
      </c>
      <c r="DT207" s="28">
        <v>2.5714999999999998E-2</v>
      </c>
      <c r="DU207" s="28">
        <v>2.3767320000000001</v>
      </c>
      <c r="DV207" s="28">
        <v>0.56299200000000005</v>
      </c>
      <c r="DW207" s="28">
        <v>0</v>
      </c>
      <c r="DX207" s="28">
        <v>1.15035451996223</v>
      </c>
      <c r="DY207" s="28">
        <v>2.4666634922930899</v>
      </c>
      <c r="DZ207" s="28">
        <v>26.850367672213199</v>
      </c>
      <c r="EA207" s="28">
        <v>0.105172578309634</v>
      </c>
      <c r="EB207" s="28">
        <v>5.3310323934341799</v>
      </c>
      <c r="EC207" s="28">
        <v>4.4451218283750702</v>
      </c>
      <c r="ED207" s="28">
        <v>0.53544694353080302</v>
      </c>
      <c r="EE207" s="28">
        <v>2.8373856925262899</v>
      </c>
      <c r="EF207" s="28">
        <v>6.0830011388280002E-2</v>
      </c>
      <c r="EG207" s="28">
        <v>0</v>
      </c>
      <c r="EH207" s="28">
        <v>0</v>
      </c>
      <c r="EI207" s="28">
        <v>8.2850014046495099E-2</v>
      </c>
      <c r="EJ207" s="28">
        <v>9.84915254728155</v>
      </c>
      <c r="EK207" s="28">
        <v>0.71556362527383799</v>
      </c>
      <c r="EL207" s="28">
        <v>0</v>
      </c>
      <c r="EM207" s="28">
        <v>0</v>
      </c>
      <c r="EN207" s="28">
        <v>5.5484728169330998E-4</v>
      </c>
      <c r="EO207" s="28">
        <v>0.15645531333878901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  <c r="EU207" s="28">
        <v>0</v>
      </c>
      <c r="EV207" s="28">
        <v>0</v>
      </c>
      <c r="EW207" s="28">
        <v>0</v>
      </c>
      <c r="EX207" s="28">
        <v>11.5154475163149</v>
      </c>
      <c r="EY207" s="28">
        <v>6.0243119109904697</v>
      </c>
      <c r="EZ207" s="28">
        <v>6.4845524836850998</v>
      </c>
      <c r="FA207" s="28">
        <v>4.9360820139530901</v>
      </c>
      <c r="FB207" s="28">
        <v>1.57428802155294</v>
      </c>
      <c r="FC207" s="28">
        <v>33.382347473261802</v>
      </c>
      <c r="FD207" s="28">
        <v>16.174359260779902</v>
      </c>
      <c r="FE207" s="28">
        <v>0</v>
      </c>
      <c r="FF207" s="28">
        <v>2.1012579323962601E-3</v>
      </c>
      <c r="FG207" s="28">
        <v>36.356001071798097</v>
      </c>
      <c r="FH207" s="28">
        <v>9.6408255120173507</v>
      </c>
      <c r="FI207" s="28">
        <v>192.27715182948899</v>
      </c>
      <c r="FJ207" s="28">
        <v>2.90107175748359</v>
      </c>
      <c r="FK207" s="28">
        <v>3.5384959215234502</v>
      </c>
      <c r="FL207" s="28">
        <v>12.258000634466701</v>
      </c>
      <c r="FM207" s="28">
        <v>0.85448983535359702</v>
      </c>
      <c r="FN207" s="28">
        <v>40.640605097488397</v>
      </c>
      <c r="FO207" s="28">
        <v>0.64913955220624797</v>
      </c>
      <c r="FP207" s="28">
        <v>1.4442180975162999</v>
      </c>
      <c r="FQ207" s="28">
        <v>19.902909270294</v>
      </c>
      <c r="FR207" s="28">
        <v>1.23414292049559</v>
      </c>
      <c r="FS207" s="28">
        <v>1.9341751246936301</v>
      </c>
      <c r="FT207" s="28">
        <v>49.697364977229</v>
      </c>
      <c r="FU207" s="28">
        <v>16.5038475721358</v>
      </c>
      <c r="FV207" s="28">
        <v>0.82910690925347597</v>
      </c>
      <c r="FW207" s="28">
        <v>1.54836763497084</v>
      </c>
      <c r="FX207" s="28">
        <v>50.513461186354903</v>
      </c>
      <c r="FY207" s="28">
        <v>138.909860664197</v>
      </c>
      <c r="FZ207" s="28">
        <v>7.5591604436628304</v>
      </c>
      <c r="GA207" s="28">
        <v>29.083747255734401</v>
      </c>
      <c r="GB207" s="28">
        <v>5.1372320553492496</v>
      </c>
      <c r="GC207" s="28">
        <v>3.6888029776908802</v>
      </c>
      <c r="GD207" s="28">
        <v>66.606254173352298</v>
      </c>
      <c r="GE207" s="28">
        <v>103.567861906863</v>
      </c>
      <c r="GF207" s="28">
        <v>3.1315176033123602</v>
      </c>
      <c r="GG207" s="28">
        <v>109.285920465288</v>
      </c>
      <c r="GH207" s="28">
        <v>31.8546147830838</v>
      </c>
      <c r="GI207" s="28">
        <v>3.85587589212918</v>
      </c>
      <c r="GJ207" s="28">
        <v>19.638456156394199</v>
      </c>
      <c r="GK207" s="28">
        <v>9.3169801927562492</v>
      </c>
      <c r="GL207" s="28">
        <v>12.854635109004301</v>
      </c>
      <c r="GM207" s="28">
        <v>36.135620129766501</v>
      </c>
      <c r="GN207" s="28">
        <v>3.0034310604069798</v>
      </c>
      <c r="GO207" s="28">
        <v>16.6987255934059</v>
      </c>
      <c r="GP207" s="28">
        <v>0</v>
      </c>
      <c r="GQ207" s="21">
        <v>1449.6492262301488</v>
      </c>
      <c r="GR207" s="21">
        <v>866.32790185863075</v>
      </c>
      <c r="GS207" s="20">
        <v>866.32790185863075</v>
      </c>
      <c r="GT207" s="20">
        <v>0</v>
      </c>
      <c r="GU207" s="20">
        <v>0</v>
      </c>
      <c r="GV207" s="20">
        <v>0</v>
      </c>
      <c r="GW207" s="20">
        <v>0</v>
      </c>
      <c r="GX207" s="21">
        <v>0</v>
      </c>
      <c r="GY207" s="20">
        <v>0</v>
      </c>
      <c r="GZ207" s="20">
        <v>0</v>
      </c>
      <c r="HA207" s="20"/>
      <c r="HB207" s="21">
        <v>0</v>
      </c>
      <c r="HC207" s="21">
        <v>2315.9771280887794</v>
      </c>
    </row>
    <row r="208" spans="1:211" s="7" customFormat="1" ht="17.25" customHeight="1">
      <c r="A208" s="7">
        <f t="shared" si="11"/>
        <v>208</v>
      </c>
      <c r="B208" s="26" t="s">
        <v>678</v>
      </c>
      <c r="C208" s="10" t="s">
        <v>679</v>
      </c>
      <c r="D208" s="28">
        <v>0</v>
      </c>
      <c r="E208" s="28">
        <v>4.1958446911028302</v>
      </c>
      <c r="F208" s="28">
        <v>0</v>
      </c>
      <c r="G208" s="28">
        <v>1.2622649545372999</v>
      </c>
      <c r="H208" s="28">
        <v>3.6361089563869902</v>
      </c>
      <c r="I208" s="28">
        <v>3.65779597257134</v>
      </c>
      <c r="J208" s="28">
        <v>0.86777262402371802</v>
      </c>
      <c r="K208" s="28">
        <v>0</v>
      </c>
      <c r="L208" s="28">
        <v>1.0780156378139001</v>
      </c>
      <c r="M208" s="28">
        <v>9.3698990083877405</v>
      </c>
      <c r="N208" s="28">
        <v>0</v>
      </c>
      <c r="O208" s="28">
        <v>1.9905298794791499</v>
      </c>
      <c r="P208" s="28">
        <v>0</v>
      </c>
      <c r="Q208" s="28">
        <v>0</v>
      </c>
      <c r="R208" s="28">
        <v>4.88957044471928</v>
      </c>
      <c r="S208" s="28">
        <v>15.6511368662848</v>
      </c>
      <c r="T208" s="28">
        <v>0.890378049958225</v>
      </c>
      <c r="U208" s="28">
        <v>1.93887321094722</v>
      </c>
      <c r="V208" s="28">
        <v>0</v>
      </c>
      <c r="W208" s="28">
        <v>0</v>
      </c>
      <c r="X208" s="28">
        <v>0.54564863480604098</v>
      </c>
      <c r="Y208" s="28">
        <v>0.14709442454219299</v>
      </c>
      <c r="Z208" s="28">
        <v>1.40115629940335</v>
      </c>
      <c r="AA208" s="28">
        <v>0.238284271732602</v>
      </c>
      <c r="AB208" s="28">
        <v>9.8482671999738203E-2</v>
      </c>
      <c r="AC208" s="28">
        <v>3.95134191853814</v>
      </c>
      <c r="AD208" s="28">
        <v>0</v>
      </c>
      <c r="AE208" s="28">
        <v>0</v>
      </c>
      <c r="AF208" s="28">
        <v>15.166430627212099</v>
      </c>
      <c r="AG208" s="28">
        <v>3.6036873178475402</v>
      </c>
      <c r="AH208" s="28">
        <v>0.41979623920621301</v>
      </c>
      <c r="AI208" s="28">
        <v>0.76217649339657501</v>
      </c>
      <c r="AJ208" s="28">
        <v>0</v>
      </c>
      <c r="AK208" s="28">
        <v>0.45448886496841001</v>
      </c>
      <c r="AL208" s="28">
        <v>9.7634492925430898</v>
      </c>
      <c r="AM208" s="28">
        <v>0.59591094487107399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5.0874668015271904</v>
      </c>
      <c r="AU208" s="28">
        <v>0</v>
      </c>
      <c r="AV208" s="28">
        <v>0</v>
      </c>
      <c r="AW208" s="28">
        <v>0</v>
      </c>
      <c r="AX208" s="28">
        <v>3.3722272238747499</v>
      </c>
      <c r="AY208" s="28">
        <v>0</v>
      </c>
      <c r="AZ208" s="28">
        <v>0</v>
      </c>
      <c r="BA208" s="28">
        <v>3.3494669384136401E-2</v>
      </c>
      <c r="BB208" s="28">
        <v>0</v>
      </c>
      <c r="BC208" s="28">
        <v>3.0286752751298098</v>
      </c>
      <c r="BD208" s="28">
        <v>3.8371731676743099E-3</v>
      </c>
      <c r="BE208" s="28">
        <v>1.7170431244834801</v>
      </c>
      <c r="BF208" s="28">
        <v>0</v>
      </c>
      <c r="BG208" s="28">
        <v>0</v>
      </c>
      <c r="BH208" s="28">
        <v>0</v>
      </c>
      <c r="BI208" s="28">
        <v>0</v>
      </c>
      <c r="BJ208" s="28">
        <v>2.3768022490932399</v>
      </c>
      <c r="BK208" s="28">
        <v>0</v>
      </c>
      <c r="BL208" s="28">
        <v>1.9796085979481499</v>
      </c>
      <c r="BM208" s="28">
        <v>4.4479312586010199E-2</v>
      </c>
      <c r="BN208" s="28">
        <v>0.83305146742762304</v>
      </c>
      <c r="BO208" s="28">
        <v>2.2128555735596902</v>
      </c>
      <c r="BP208" s="28">
        <v>4.6974163526080298E-3</v>
      </c>
      <c r="BQ208" s="28">
        <v>2.5067858879621401</v>
      </c>
      <c r="BR208" s="28">
        <v>4.39400886226076</v>
      </c>
      <c r="BS208" s="28">
        <v>0</v>
      </c>
      <c r="BT208" s="28">
        <v>0</v>
      </c>
      <c r="BU208" s="28">
        <v>3.9896842633476202</v>
      </c>
      <c r="BV208" s="28">
        <v>1.59839215653981</v>
      </c>
      <c r="BW208" s="28">
        <v>0</v>
      </c>
      <c r="BX208" s="28">
        <v>0</v>
      </c>
      <c r="BY208" s="28">
        <v>0</v>
      </c>
      <c r="BZ208" s="28">
        <v>0</v>
      </c>
      <c r="CA208" s="28">
        <v>4.7400472401292397</v>
      </c>
      <c r="CB208" s="28">
        <v>6.3938950481655903</v>
      </c>
      <c r="CC208" s="28">
        <v>0</v>
      </c>
      <c r="CD208" s="28">
        <v>4.6047019415125998</v>
      </c>
      <c r="CE208" s="28">
        <v>1.8649920711808701</v>
      </c>
      <c r="CF208" s="28">
        <v>0</v>
      </c>
      <c r="CG208" s="28">
        <v>0</v>
      </c>
      <c r="CH208" s="28">
        <v>0.52026742241716095</v>
      </c>
      <c r="CI208" s="28">
        <v>4.5551478717623199</v>
      </c>
      <c r="CJ208" s="28">
        <v>0</v>
      </c>
      <c r="CK208" s="28">
        <v>7.6100161373856501E-2</v>
      </c>
      <c r="CL208" s="28">
        <v>0</v>
      </c>
      <c r="CM208" s="28">
        <v>11.0209060412875</v>
      </c>
      <c r="CN208" s="28">
        <v>0</v>
      </c>
      <c r="CO208" s="28">
        <v>0.58465678959572198</v>
      </c>
      <c r="CP208" s="28">
        <v>0</v>
      </c>
      <c r="CQ208" s="28">
        <v>0</v>
      </c>
      <c r="CR208" s="28">
        <v>0.88149999999999995</v>
      </c>
      <c r="CS208" s="28">
        <v>0.33139999999999997</v>
      </c>
      <c r="CT208" s="28">
        <v>18.054539999999999</v>
      </c>
      <c r="CU208" s="28">
        <v>0.4773</v>
      </c>
      <c r="CV208" s="28">
        <v>0</v>
      </c>
      <c r="CW208" s="28">
        <v>0.66249999999999998</v>
      </c>
      <c r="CX208" s="28">
        <v>0.4718</v>
      </c>
      <c r="CY208" s="28">
        <v>0.62</v>
      </c>
      <c r="CZ208" s="28">
        <v>0</v>
      </c>
      <c r="DA208" s="28">
        <v>1.23</v>
      </c>
      <c r="DB208" s="28">
        <v>1.24</v>
      </c>
      <c r="DC208" s="28">
        <v>1.28</v>
      </c>
      <c r="DD208" s="28">
        <v>0.05</v>
      </c>
      <c r="DE208" s="28">
        <v>0</v>
      </c>
      <c r="DF208" s="28">
        <v>0.95799999999999996</v>
      </c>
      <c r="DG208" s="28">
        <v>5.0460000000000003</v>
      </c>
      <c r="DH208" s="28">
        <v>5.67</v>
      </c>
      <c r="DI208" s="28">
        <v>0.56699999999999995</v>
      </c>
      <c r="DJ208" s="28">
        <v>8.48054870567444E-2</v>
      </c>
      <c r="DK208" s="28">
        <v>0.04</v>
      </c>
      <c r="DL208" s="28">
        <v>0.81</v>
      </c>
      <c r="DM208" s="28">
        <v>0.09</v>
      </c>
      <c r="DN208" s="28">
        <v>0.57999999999999996</v>
      </c>
      <c r="DO208" s="28">
        <v>0.18</v>
      </c>
      <c r="DP208" s="28">
        <v>0</v>
      </c>
      <c r="DQ208" s="28">
        <v>1.0900000000000001</v>
      </c>
      <c r="DR208" s="28">
        <v>3.26</v>
      </c>
      <c r="DS208" s="28">
        <v>1.6</v>
      </c>
      <c r="DT208" s="28">
        <v>0.04</v>
      </c>
      <c r="DU208" s="28">
        <v>3.82</v>
      </c>
      <c r="DV208" s="28">
        <v>0.91</v>
      </c>
      <c r="DW208" s="28">
        <v>0</v>
      </c>
      <c r="DX208" s="28">
        <v>0</v>
      </c>
      <c r="DY208" s="28">
        <v>9</v>
      </c>
      <c r="DZ208" s="28">
        <v>15</v>
      </c>
      <c r="EA208" s="28">
        <v>0</v>
      </c>
      <c r="EB208" s="28">
        <v>0</v>
      </c>
      <c r="EC208" s="28">
        <v>0</v>
      </c>
      <c r="ED208" s="28">
        <v>0.64985739735296799</v>
      </c>
      <c r="EE208" s="28">
        <v>0</v>
      </c>
      <c r="EF208" s="28">
        <v>4.1433395944928302</v>
      </c>
      <c r="EG208" s="28">
        <v>0</v>
      </c>
      <c r="EH208" s="28">
        <v>0</v>
      </c>
      <c r="EI208" s="28">
        <v>0.14866873949054499</v>
      </c>
      <c r="EJ208" s="28">
        <v>3.1680689316856498</v>
      </c>
      <c r="EK208" s="28">
        <v>0.109847526819005</v>
      </c>
      <c r="EL208" s="28">
        <v>1.06203868335054</v>
      </c>
      <c r="EM208" s="28">
        <v>6.4423844093572005E-2</v>
      </c>
      <c r="EN208" s="28">
        <v>0.35813124466052898</v>
      </c>
      <c r="EO208" s="28">
        <v>0.34035748662952497</v>
      </c>
      <c r="EP208" s="28">
        <v>0</v>
      </c>
      <c r="EQ208" s="28">
        <v>0.11875425731662199</v>
      </c>
      <c r="ER208" s="28">
        <v>1.3758135775927001</v>
      </c>
      <c r="ES208" s="28">
        <v>2.6019877899930299</v>
      </c>
      <c r="ET208" s="28">
        <v>1.85430396951484</v>
      </c>
      <c r="EU208" s="28">
        <v>1.11755752498961E-2</v>
      </c>
      <c r="EV208" s="28">
        <v>0.63013031337772296</v>
      </c>
      <c r="EW208" s="28">
        <v>2.4240423198358299</v>
      </c>
      <c r="EX208" s="28">
        <v>1.9144154458196101</v>
      </c>
      <c r="EY208" s="28">
        <v>1.27316315250923</v>
      </c>
      <c r="EZ208" s="28">
        <v>4.6062904224017602</v>
      </c>
      <c r="FA208" s="28">
        <v>1.16241437006065</v>
      </c>
      <c r="FB208" s="28">
        <v>1.03176972920875</v>
      </c>
      <c r="FC208" s="28">
        <v>3.00427477804751E-3</v>
      </c>
      <c r="FD208" s="28">
        <v>0</v>
      </c>
      <c r="FE208" s="28">
        <v>0</v>
      </c>
      <c r="FF208" s="28">
        <v>28.674695115785799</v>
      </c>
      <c r="FG208" s="28">
        <v>27.3172188697095</v>
      </c>
      <c r="FH208" s="28">
        <v>0</v>
      </c>
      <c r="FI208" s="28">
        <v>169.45239695383501</v>
      </c>
      <c r="FJ208" s="28">
        <v>30.008101947376002</v>
      </c>
      <c r="FK208" s="28">
        <v>1.11390377719196</v>
      </c>
      <c r="FL208" s="28">
        <v>18.633489272859499</v>
      </c>
      <c r="FM208" s="28">
        <v>18.7700697012767</v>
      </c>
      <c r="FN208" s="28">
        <v>2.0269437928044001</v>
      </c>
      <c r="FO208" s="28">
        <v>5.0108910958204599E-2</v>
      </c>
      <c r="FP208" s="28">
        <v>9.3744415985030294</v>
      </c>
      <c r="FQ208" s="28">
        <v>5.6415503398969804</v>
      </c>
      <c r="FR208" s="28">
        <v>0.36203751447560401</v>
      </c>
      <c r="FS208" s="28">
        <v>0</v>
      </c>
      <c r="FT208" s="28">
        <v>29.516241492940502</v>
      </c>
      <c r="FU208" s="28">
        <v>6.2660529018984299</v>
      </c>
      <c r="FV208" s="28">
        <v>0.53558546115209804</v>
      </c>
      <c r="FW208" s="28">
        <v>5.7500126199999997</v>
      </c>
      <c r="FX208" s="28">
        <v>268.58098043201898</v>
      </c>
      <c r="FY208" s="28">
        <v>154.79836490296901</v>
      </c>
      <c r="FZ208" s="28">
        <v>36.965790455672</v>
      </c>
      <c r="GA208" s="28">
        <v>0</v>
      </c>
      <c r="GB208" s="28">
        <v>0</v>
      </c>
      <c r="GC208" s="28">
        <v>21.734201961081499</v>
      </c>
      <c r="GD208" s="28">
        <v>33.734201961081503</v>
      </c>
      <c r="GE208" s="28">
        <v>0.29911166172543402</v>
      </c>
      <c r="GF208" s="28">
        <v>43.448912626225002</v>
      </c>
      <c r="GG208" s="28">
        <v>79.156732624979</v>
      </c>
      <c r="GH208" s="28">
        <v>18.919081585772201</v>
      </c>
      <c r="GI208" s="28">
        <v>0</v>
      </c>
      <c r="GJ208" s="28">
        <v>12.1330129668016</v>
      </c>
      <c r="GK208" s="28">
        <v>0</v>
      </c>
      <c r="GL208" s="28">
        <v>5.8612483616735904</v>
      </c>
      <c r="GM208" s="28">
        <v>20.3379759831274</v>
      </c>
      <c r="GN208" s="28">
        <v>1.78379671692834</v>
      </c>
      <c r="GO208" s="28">
        <v>9.3984350856003704</v>
      </c>
      <c r="GP208" s="28">
        <v>0</v>
      </c>
      <c r="GQ208" s="21">
        <v>1317.8615046689602</v>
      </c>
      <c r="GR208" s="21">
        <v>1052.8444548518937</v>
      </c>
      <c r="GS208" s="20">
        <v>1052.8444548518937</v>
      </c>
      <c r="GT208" s="20">
        <v>0</v>
      </c>
      <c r="GU208" s="20">
        <v>0</v>
      </c>
      <c r="GV208" s="20">
        <v>0</v>
      </c>
      <c r="GW208" s="20">
        <v>0</v>
      </c>
      <c r="GX208" s="21">
        <v>0</v>
      </c>
      <c r="GY208" s="20">
        <v>0</v>
      </c>
      <c r="GZ208" s="20">
        <v>0</v>
      </c>
      <c r="HA208" s="20"/>
      <c r="HB208" s="21">
        <v>0</v>
      </c>
      <c r="HC208" s="21">
        <v>2370.7059595208539</v>
      </c>
    </row>
    <row r="209" spans="1:211" s="7" customFormat="1" ht="17.25" customHeight="1">
      <c r="A209" s="7">
        <f t="shared" si="11"/>
        <v>209</v>
      </c>
      <c r="B209" s="26" t="s">
        <v>680</v>
      </c>
      <c r="C209" s="10" t="s">
        <v>681</v>
      </c>
      <c r="D209" s="28">
        <v>0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  <c r="EU209" s="28">
        <v>0</v>
      </c>
      <c r="EV209" s="28">
        <v>0</v>
      </c>
      <c r="EW209" s="28">
        <v>0</v>
      </c>
      <c r="EX209" s="28">
        <v>0</v>
      </c>
      <c r="EY209" s="28">
        <v>0</v>
      </c>
      <c r="EZ209" s="28">
        <v>0</v>
      </c>
      <c r="FA209" s="28">
        <v>0</v>
      </c>
      <c r="FB209" s="28">
        <v>0</v>
      </c>
      <c r="FC209" s="28">
        <v>0</v>
      </c>
      <c r="FD209" s="28">
        <v>0</v>
      </c>
      <c r="FE209" s="28">
        <v>0</v>
      </c>
      <c r="FF209" s="28">
        <v>0</v>
      </c>
      <c r="FG209" s="28">
        <v>0</v>
      </c>
      <c r="FH209" s="28">
        <v>0</v>
      </c>
      <c r="FI209" s="28">
        <v>0</v>
      </c>
      <c r="FJ209" s="28">
        <v>0</v>
      </c>
      <c r="FK209" s="28">
        <v>0</v>
      </c>
      <c r="FL209" s="28">
        <v>0</v>
      </c>
      <c r="FM209" s="28">
        <v>0</v>
      </c>
      <c r="FN209" s="28">
        <v>0</v>
      </c>
      <c r="FO209" s="28">
        <v>0</v>
      </c>
      <c r="FP209" s="28">
        <v>0</v>
      </c>
      <c r="FQ209" s="28">
        <v>0</v>
      </c>
      <c r="FR209" s="28">
        <v>0</v>
      </c>
      <c r="FS209" s="28">
        <v>0</v>
      </c>
      <c r="FT209" s="28">
        <v>0</v>
      </c>
      <c r="FU209" s="28">
        <v>0</v>
      </c>
      <c r="FV209" s="28">
        <v>0</v>
      </c>
      <c r="FW209" s="28">
        <v>0</v>
      </c>
      <c r="FX209" s="28">
        <v>0</v>
      </c>
      <c r="FY209" s="28">
        <v>917.78132696</v>
      </c>
      <c r="FZ209" s="28">
        <v>0</v>
      </c>
      <c r="GA209" s="28">
        <v>0</v>
      </c>
      <c r="GB209" s="28">
        <v>0</v>
      </c>
      <c r="GC209" s="28">
        <v>0</v>
      </c>
      <c r="GD209" s="28">
        <v>0</v>
      </c>
      <c r="GE209" s="28">
        <v>0</v>
      </c>
      <c r="GF209" s="28">
        <v>0</v>
      </c>
      <c r="GG209" s="28">
        <v>0</v>
      </c>
      <c r="GH209" s="28">
        <v>0</v>
      </c>
      <c r="GI209" s="28">
        <v>0</v>
      </c>
      <c r="GJ209" s="28">
        <v>0</v>
      </c>
      <c r="GK209" s="28">
        <v>0</v>
      </c>
      <c r="GL209" s="28">
        <v>0</v>
      </c>
      <c r="GM209" s="28">
        <v>0</v>
      </c>
      <c r="GN209" s="28">
        <v>0</v>
      </c>
      <c r="GO209" s="28">
        <v>0</v>
      </c>
      <c r="GP209" s="28">
        <v>0</v>
      </c>
      <c r="GQ209" s="21">
        <v>917.78132696</v>
      </c>
      <c r="GR209" s="21">
        <v>0</v>
      </c>
      <c r="GS209" s="20">
        <v>0</v>
      </c>
      <c r="GT209" s="20">
        <v>0</v>
      </c>
      <c r="GU209" s="20">
        <v>0</v>
      </c>
      <c r="GV209" s="20">
        <v>0</v>
      </c>
      <c r="GW209" s="20">
        <v>0</v>
      </c>
      <c r="GX209" s="21">
        <v>0</v>
      </c>
      <c r="GY209" s="20">
        <v>0</v>
      </c>
      <c r="GZ209" s="20">
        <v>0</v>
      </c>
      <c r="HA209" s="20"/>
      <c r="HB209" s="21">
        <v>0</v>
      </c>
      <c r="HC209" s="21">
        <v>917.78132696</v>
      </c>
    </row>
    <row r="210" spans="1:211" s="7" customFormat="1" ht="17.25" customHeight="1">
      <c r="A210" s="7">
        <f t="shared" si="11"/>
        <v>210</v>
      </c>
      <c r="B210" s="26" t="s">
        <v>186</v>
      </c>
      <c r="C210" s="10" t="s">
        <v>682</v>
      </c>
      <c r="D210" s="28">
        <v>0</v>
      </c>
      <c r="E210" s="28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0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  <c r="BP210" s="28">
        <v>0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0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  <c r="CR210" s="28">
        <v>0</v>
      </c>
      <c r="CS210" s="28">
        <v>0</v>
      </c>
      <c r="CT210" s="28">
        <v>0</v>
      </c>
      <c r="CU210" s="28">
        <v>0</v>
      </c>
      <c r="CV210" s="28">
        <v>0</v>
      </c>
      <c r="CW210" s="28">
        <v>0</v>
      </c>
      <c r="CX210" s="28">
        <v>0</v>
      </c>
      <c r="CY210" s="28">
        <v>0</v>
      </c>
      <c r="CZ210" s="28">
        <v>0</v>
      </c>
      <c r="DA210" s="28">
        <v>2.87269430493855</v>
      </c>
      <c r="DB210" s="28">
        <v>2.57888694866232</v>
      </c>
      <c r="DC210" s="28">
        <v>0.119942028657787</v>
      </c>
      <c r="DD210" s="28">
        <v>0</v>
      </c>
      <c r="DE210" s="28">
        <v>0</v>
      </c>
      <c r="DF210" s="28">
        <v>0</v>
      </c>
      <c r="DG210" s="28">
        <v>0</v>
      </c>
      <c r="DH210" s="28">
        <v>0</v>
      </c>
      <c r="DI210" s="28">
        <v>0</v>
      </c>
      <c r="DJ210" s="28">
        <v>0</v>
      </c>
      <c r="DK210" s="28">
        <v>0</v>
      </c>
      <c r="DL210" s="28">
        <v>0</v>
      </c>
      <c r="DM210" s="28">
        <v>0</v>
      </c>
      <c r="DN210" s="28">
        <v>0</v>
      </c>
      <c r="DO210" s="28">
        <v>0</v>
      </c>
      <c r="DP210" s="28">
        <v>0</v>
      </c>
      <c r="DQ210" s="28">
        <v>0</v>
      </c>
      <c r="DR210" s="28">
        <v>0</v>
      </c>
      <c r="DS210" s="28">
        <v>0</v>
      </c>
      <c r="DT210" s="28">
        <v>0</v>
      </c>
      <c r="DU210" s="28">
        <v>0</v>
      </c>
      <c r="DV210" s="28">
        <v>0</v>
      </c>
      <c r="DW210" s="28">
        <v>0</v>
      </c>
      <c r="DX210" s="28">
        <v>0</v>
      </c>
      <c r="DY210" s="28">
        <v>0</v>
      </c>
      <c r="DZ210" s="28">
        <v>0</v>
      </c>
      <c r="EA210" s="28">
        <v>0</v>
      </c>
      <c r="EB210" s="28">
        <v>0</v>
      </c>
      <c r="EC210" s="28">
        <v>0</v>
      </c>
      <c r="ED210" s="28">
        <v>0</v>
      </c>
      <c r="EE210" s="28">
        <v>0</v>
      </c>
      <c r="EF210" s="28">
        <v>0</v>
      </c>
      <c r="EG210" s="28">
        <v>0</v>
      </c>
      <c r="EH210" s="28">
        <v>0</v>
      </c>
      <c r="EI210" s="28">
        <v>0</v>
      </c>
      <c r="EJ210" s="28">
        <v>0</v>
      </c>
      <c r="EK210" s="28">
        <v>0</v>
      </c>
      <c r="EL210" s="28">
        <v>0</v>
      </c>
      <c r="EM210" s="28">
        <v>0</v>
      </c>
      <c r="EN210" s="28">
        <v>0</v>
      </c>
      <c r="EO210" s="28">
        <v>0</v>
      </c>
      <c r="EP210" s="28">
        <v>0</v>
      </c>
      <c r="EQ210" s="28">
        <v>0</v>
      </c>
      <c r="ER210" s="28">
        <v>0</v>
      </c>
      <c r="ES210" s="28">
        <v>0</v>
      </c>
      <c r="ET210" s="28">
        <v>0</v>
      </c>
      <c r="EU210" s="28">
        <v>0</v>
      </c>
      <c r="EV210" s="28">
        <v>0</v>
      </c>
      <c r="EW210" s="28">
        <v>0</v>
      </c>
      <c r="EX210" s="28">
        <v>9.3765636439694499E-3</v>
      </c>
      <c r="EY210" s="28">
        <v>0</v>
      </c>
      <c r="EZ210" s="28">
        <v>0</v>
      </c>
      <c r="FA210" s="28">
        <v>0.68343896177886099</v>
      </c>
      <c r="FB210" s="28">
        <v>0.78901991036057495</v>
      </c>
      <c r="FC210" s="28">
        <v>0</v>
      </c>
      <c r="FD210" s="28">
        <v>0</v>
      </c>
      <c r="FE210" s="28">
        <v>0</v>
      </c>
      <c r="FF210" s="28">
        <v>0</v>
      </c>
      <c r="FG210" s="28">
        <v>0</v>
      </c>
      <c r="FH210" s="28">
        <v>0</v>
      </c>
      <c r="FI210" s="28">
        <v>0</v>
      </c>
      <c r="FJ210" s="28">
        <v>0</v>
      </c>
      <c r="FK210" s="28">
        <v>0</v>
      </c>
      <c r="FL210" s="28">
        <v>0</v>
      </c>
      <c r="FM210" s="28">
        <v>0</v>
      </c>
      <c r="FN210" s="28">
        <v>26.681308320660701</v>
      </c>
      <c r="FO210" s="28">
        <v>0</v>
      </c>
      <c r="FP210" s="28">
        <v>1.2616569514636</v>
      </c>
      <c r="FQ210" s="28">
        <v>42.222600875894003</v>
      </c>
      <c r="FR210" s="28">
        <v>1.5798895727426401</v>
      </c>
      <c r="FS210" s="28">
        <v>0</v>
      </c>
      <c r="FT210" s="28">
        <v>0</v>
      </c>
      <c r="FU210" s="28">
        <v>0</v>
      </c>
      <c r="FV210" s="28">
        <v>35.0299614257179</v>
      </c>
      <c r="FW210" s="28">
        <v>0</v>
      </c>
      <c r="FX210" s="28">
        <v>0</v>
      </c>
      <c r="FY210" s="28">
        <v>0</v>
      </c>
      <c r="FZ210" s="28">
        <v>0</v>
      </c>
      <c r="GA210" s="28">
        <v>0</v>
      </c>
      <c r="GB210" s="28">
        <v>82.068356034790895</v>
      </c>
      <c r="GC210" s="28">
        <v>54.2347449415509</v>
      </c>
      <c r="GD210" s="28">
        <v>0</v>
      </c>
      <c r="GE210" s="28">
        <v>10.8401897082529</v>
      </c>
      <c r="GF210" s="28">
        <v>0</v>
      </c>
      <c r="GG210" s="28">
        <v>0</v>
      </c>
      <c r="GH210" s="28">
        <v>0</v>
      </c>
      <c r="GI210" s="28">
        <v>0</v>
      </c>
      <c r="GJ210" s="28">
        <v>0</v>
      </c>
      <c r="GK210" s="28">
        <v>0</v>
      </c>
      <c r="GL210" s="28">
        <v>0</v>
      </c>
      <c r="GM210" s="28">
        <v>0</v>
      </c>
      <c r="GN210" s="28">
        <v>0</v>
      </c>
      <c r="GO210" s="28">
        <v>0</v>
      </c>
      <c r="GP210" s="28">
        <v>0</v>
      </c>
      <c r="GQ210" s="21">
        <v>260.97206654911577</v>
      </c>
      <c r="GR210" s="21">
        <v>20904.179148752457</v>
      </c>
      <c r="GS210" s="20">
        <v>20904.179148752457</v>
      </c>
      <c r="GT210" s="20">
        <v>0</v>
      </c>
      <c r="GU210" s="20">
        <v>0</v>
      </c>
      <c r="GV210" s="20">
        <v>0</v>
      </c>
      <c r="GW210" s="20">
        <v>0</v>
      </c>
      <c r="GX210" s="21">
        <v>0</v>
      </c>
      <c r="GY210" s="20">
        <v>0</v>
      </c>
      <c r="GZ210" s="20">
        <v>0</v>
      </c>
      <c r="HA210" s="20"/>
      <c r="HB210" s="21">
        <v>0</v>
      </c>
      <c r="HC210" s="21">
        <v>21165.151215301572</v>
      </c>
    </row>
    <row r="211" spans="1:211" s="7" customFormat="1" ht="17.25" customHeight="1">
      <c r="A211" s="7">
        <f t="shared" si="11"/>
        <v>211</v>
      </c>
      <c r="B211" s="26" t="s">
        <v>187</v>
      </c>
      <c r="C211" s="9" t="s">
        <v>381</v>
      </c>
      <c r="D211" s="28">
        <v>0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3.7395357012205997E-2</v>
      </c>
      <c r="T211" s="28">
        <v>0</v>
      </c>
      <c r="U211" s="28">
        <v>45.078852838895997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0.46015899559891998</v>
      </c>
      <c r="AF211" s="28">
        <v>7.74591657081878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86.213789023575302</v>
      </c>
      <c r="AM211" s="28">
        <v>21.338486930648099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24.233301807780901</v>
      </c>
      <c r="AU211" s="28">
        <v>2.3052305734725098</v>
      </c>
      <c r="AV211" s="28">
        <v>24.216137663063801</v>
      </c>
      <c r="AW211" s="28">
        <v>138.521454610609</v>
      </c>
      <c r="AX211" s="28">
        <v>48.680974189227101</v>
      </c>
      <c r="AY211" s="28">
        <v>0</v>
      </c>
      <c r="AZ211" s="28">
        <v>0</v>
      </c>
      <c r="BA211" s="28">
        <v>3.2968858764185503E-2</v>
      </c>
      <c r="BB211" s="28">
        <v>0</v>
      </c>
      <c r="BC211" s="28">
        <v>56.293934549166202</v>
      </c>
      <c r="BD211" s="28">
        <v>0</v>
      </c>
      <c r="BE211" s="28">
        <v>0</v>
      </c>
      <c r="BF211" s="28">
        <v>0</v>
      </c>
      <c r="BG211" s="28">
        <v>0</v>
      </c>
      <c r="BH211" s="28">
        <v>5.8212509917154804</v>
      </c>
      <c r="BI211" s="28">
        <v>0</v>
      </c>
      <c r="BJ211" s="28">
        <v>0.55020935995196196</v>
      </c>
      <c r="BK211" s="28">
        <v>0</v>
      </c>
      <c r="BL211" s="28">
        <v>2.0057697351402001E-2</v>
      </c>
      <c r="BM211" s="28">
        <v>0.110992291404559</v>
      </c>
      <c r="BN211" s="28">
        <v>0.23463787929621299</v>
      </c>
      <c r="BO211" s="28">
        <v>0</v>
      </c>
      <c r="BP211" s="28">
        <v>0</v>
      </c>
      <c r="BQ211" s="28">
        <v>1.5671866886090201E-2</v>
      </c>
      <c r="BR211" s="28">
        <v>1.30426606336689E-2</v>
      </c>
      <c r="BS211" s="28">
        <v>0</v>
      </c>
      <c r="BT211" s="28">
        <v>0</v>
      </c>
      <c r="BU211" s="28">
        <v>0</v>
      </c>
      <c r="BV211" s="28">
        <v>0.556481356467739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0.47553600544061098</v>
      </c>
      <c r="CH211" s="28">
        <v>0.26717569869387298</v>
      </c>
      <c r="CI211" s="28">
        <v>0.90746313333511397</v>
      </c>
      <c r="CJ211" s="28">
        <v>0.30342649878893002</v>
      </c>
      <c r="CK211" s="28">
        <v>0.18755096197128299</v>
      </c>
      <c r="CL211" s="28">
        <v>1.9054270792712</v>
      </c>
      <c r="CM211" s="28">
        <v>0.195365830124032</v>
      </c>
      <c r="CN211" s="28">
        <v>0.16808222234249101</v>
      </c>
      <c r="CO211" s="28">
        <v>0.36404356360435502</v>
      </c>
      <c r="CP211" s="28">
        <v>0.56342697143554699</v>
      </c>
      <c r="CQ211" s="28">
        <v>0.12966588139533999</v>
      </c>
      <c r="CR211" s="28">
        <v>1.1103866718886399</v>
      </c>
      <c r="CS211" s="28">
        <v>0.12852959161507199</v>
      </c>
      <c r="CT211" s="28">
        <v>9.9034052614424208</v>
      </c>
      <c r="CU211" s="28">
        <v>0.84682502615117605</v>
      </c>
      <c r="CV211" s="28">
        <v>0.55108694797723801</v>
      </c>
      <c r="CW211" s="28">
        <v>1.8860275938817901</v>
      </c>
      <c r="CX211" s="28">
        <v>0.39116403824927398</v>
      </c>
      <c r="CY211" s="28">
        <v>2.1185163574559498</v>
      </c>
      <c r="CZ211" s="28">
        <v>0.112938116320502</v>
      </c>
      <c r="DA211" s="28">
        <v>0</v>
      </c>
      <c r="DB211" s="28">
        <v>0.26711514355606902</v>
      </c>
      <c r="DC211" s="28">
        <v>0</v>
      </c>
      <c r="DD211" s="28">
        <v>1.94725998084935</v>
      </c>
      <c r="DE211" s="28">
        <v>0</v>
      </c>
      <c r="DF211" s="28">
        <v>0.45852821295902702</v>
      </c>
      <c r="DG211" s="28">
        <v>4.8113618533539704</v>
      </c>
      <c r="DH211" s="28">
        <v>3.4024928586846199</v>
      </c>
      <c r="DI211" s="28">
        <v>0.35360555986341802</v>
      </c>
      <c r="DJ211" s="28">
        <v>2.1232480106467899</v>
      </c>
      <c r="DK211" s="28">
        <v>1.1803283503982499E-2</v>
      </c>
      <c r="DL211" s="28">
        <v>0.227926140964684</v>
      </c>
      <c r="DM211" s="28">
        <v>3.8061048183061399E-2</v>
      </c>
      <c r="DN211" s="28">
        <v>0.147787793372365</v>
      </c>
      <c r="DO211" s="28">
        <v>6.5960880009770601E-2</v>
      </c>
      <c r="DP211" s="28">
        <v>0</v>
      </c>
      <c r="DQ211" s="28">
        <v>0.34834458885873099</v>
      </c>
      <c r="DR211" s="28">
        <v>1.24050347097835</v>
      </c>
      <c r="DS211" s="28">
        <v>0.61144610032244895</v>
      </c>
      <c r="DT211" s="28">
        <v>1.63864374374839E-2</v>
      </c>
      <c r="DU211" s="28">
        <v>1.38063586474207</v>
      </c>
      <c r="DV211" s="28">
        <v>0.29740325744936502</v>
      </c>
      <c r="DW211" s="28">
        <v>0</v>
      </c>
      <c r="DX211" s="28">
        <v>0.20746707967147099</v>
      </c>
      <c r="DY211" s="28">
        <v>1.81293321637418</v>
      </c>
      <c r="DZ211" s="28">
        <v>0</v>
      </c>
      <c r="EA211" s="28">
        <v>1.05066087258897E-2</v>
      </c>
      <c r="EB211" s="28">
        <v>0.112470549301705</v>
      </c>
      <c r="EC211" s="28">
        <v>0.457903652084996</v>
      </c>
      <c r="ED211" s="28">
        <v>5.7518253788048499</v>
      </c>
      <c r="EE211" s="28">
        <v>5.4910550672786898E-2</v>
      </c>
      <c r="EF211" s="28">
        <v>2.3475586965480701</v>
      </c>
      <c r="EG211" s="28">
        <v>0.235980622717364</v>
      </c>
      <c r="EH211" s="28">
        <v>8.14827742556542E-2</v>
      </c>
      <c r="EI211" s="28">
        <v>3.81945781741658E-2</v>
      </c>
      <c r="EJ211" s="28">
        <v>0.28136959272152801</v>
      </c>
      <c r="EK211" s="28">
        <v>1.6176943783831399</v>
      </c>
      <c r="EL211" s="28">
        <v>0.114554459719496</v>
      </c>
      <c r="EM211" s="28">
        <v>0.104794311748824</v>
      </c>
      <c r="EN211" s="28">
        <v>8.2963665934426098E-2</v>
      </c>
      <c r="EO211" s="28">
        <v>1.1442263992852799</v>
      </c>
      <c r="EP211" s="28">
        <v>0</v>
      </c>
      <c r="EQ211" s="28">
        <v>0.62369061810711302</v>
      </c>
      <c r="ER211" s="28">
        <v>0.90691350217991196</v>
      </c>
      <c r="ES211" s="28">
        <v>7.9175867077165298</v>
      </c>
      <c r="ET211" s="28">
        <v>0.53154364528773101</v>
      </c>
      <c r="EU211" s="28">
        <v>3.7333646417624801E-2</v>
      </c>
      <c r="EV211" s="28">
        <v>0</v>
      </c>
      <c r="EW211" s="28">
        <v>0</v>
      </c>
      <c r="EX211" s="28">
        <v>1.47867132830187</v>
      </c>
      <c r="EY211" s="28">
        <v>0.76974474804882698</v>
      </c>
      <c r="EZ211" s="28">
        <v>26.452414419996298</v>
      </c>
      <c r="FA211" s="28">
        <v>3.8642524133987499E-2</v>
      </c>
      <c r="FB211" s="28">
        <v>6.3608477445466898</v>
      </c>
      <c r="FC211" s="28">
        <v>8.2804214207162303</v>
      </c>
      <c r="FD211" s="28">
        <v>0.34091918562307899</v>
      </c>
      <c r="FE211" s="28">
        <v>0</v>
      </c>
      <c r="FF211" s="28">
        <v>13.087954549979001</v>
      </c>
      <c r="FG211" s="28">
        <v>4.3465041844991203</v>
      </c>
      <c r="FH211" s="28">
        <v>0.16995881487766401</v>
      </c>
      <c r="FI211" s="28">
        <v>1816.9115132214699</v>
      </c>
      <c r="FJ211" s="28">
        <v>48.468238921441603</v>
      </c>
      <c r="FK211" s="28">
        <v>0</v>
      </c>
      <c r="FL211" s="28">
        <v>100.438082093422</v>
      </c>
      <c r="FM211" s="28">
        <v>7.3716054077656397</v>
      </c>
      <c r="FN211" s="28">
        <v>34.3840342441761</v>
      </c>
      <c r="FO211" s="28">
        <v>1.26848988074451</v>
      </c>
      <c r="FP211" s="28">
        <v>0</v>
      </c>
      <c r="FQ211" s="28">
        <v>32.2878789856059</v>
      </c>
      <c r="FR211" s="28">
        <v>0.36593475945960802</v>
      </c>
      <c r="FS211" s="28">
        <v>84.150346947729801</v>
      </c>
      <c r="FT211" s="28">
        <v>114.07485782766101</v>
      </c>
      <c r="FU211" s="28">
        <v>462.91254590067598</v>
      </c>
      <c r="FV211" s="28">
        <v>0.23914016443081701</v>
      </c>
      <c r="FW211" s="28">
        <v>0</v>
      </c>
      <c r="FX211" s="28">
        <v>389.795338100545</v>
      </c>
      <c r="FY211" s="28">
        <v>22.61121636</v>
      </c>
      <c r="FZ211" s="28">
        <v>30.8340931454171</v>
      </c>
      <c r="GA211" s="28">
        <v>6.9963099857710598E-2</v>
      </c>
      <c r="GB211" s="28">
        <v>0.184416221379614</v>
      </c>
      <c r="GC211" s="28">
        <v>0.13242055239674599</v>
      </c>
      <c r="GD211" s="28">
        <v>31.5425774308172</v>
      </c>
      <c r="GE211" s="28">
        <v>64.960015583887099</v>
      </c>
      <c r="GF211" s="28">
        <v>46.633764847339101</v>
      </c>
      <c r="GG211" s="28">
        <v>170.26012914573801</v>
      </c>
      <c r="GH211" s="28">
        <v>29.218690070234199</v>
      </c>
      <c r="GI211" s="28">
        <v>33.5160390886115</v>
      </c>
      <c r="GJ211" s="28">
        <v>8.9887247287751695</v>
      </c>
      <c r="GK211" s="28">
        <v>20.5355659105856</v>
      </c>
      <c r="GL211" s="28">
        <v>74.885068021829795</v>
      </c>
      <c r="GM211" s="28">
        <v>448.11877714111898</v>
      </c>
      <c r="GN211" s="28">
        <v>5.5401348283330396</v>
      </c>
      <c r="GO211" s="28">
        <v>0</v>
      </c>
      <c r="GP211" s="28">
        <v>0</v>
      </c>
      <c r="GQ211" s="21">
        <v>4675.2812461964622</v>
      </c>
      <c r="GR211" s="21">
        <v>0</v>
      </c>
      <c r="GS211" s="20">
        <v>0</v>
      </c>
      <c r="GT211" s="20">
        <v>0</v>
      </c>
      <c r="GU211" s="20">
        <v>0</v>
      </c>
      <c r="GV211" s="20">
        <v>0</v>
      </c>
      <c r="GW211" s="20">
        <v>0</v>
      </c>
      <c r="GX211" s="21">
        <v>0</v>
      </c>
      <c r="GY211" s="20">
        <v>0</v>
      </c>
      <c r="GZ211" s="20">
        <v>0</v>
      </c>
      <c r="HA211" s="20"/>
      <c r="HB211" s="21">
        <v>0</v>
      </c>
      <c r="HC211" s="21">
        <v>4675.2812461964622</v>
      </c>
    </row>
    <row r="212" spans="1:211" s="7" customFormat="1" ht="17.25" customHeight="1">
      <c r="A212" s="7">
        <f t="shared" si="11"/>
        <v>212</v>
      </c>
      <c r="B212" s="26" t="s">
        <v>188</v>
      </c>
      <c r="C212" s="10" t="s">
        <v>683</v>
      </c>
      <c r="D212" s="28">
        <v>0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12.5955047206335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1.1182629483087201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  <c r="EU212" s="28">
        <v>0</v>
      </c>
      <c r="EV212" s="28">
        <v>0</v>
      </c>
      <c r="EW212" s="28">
        <v>0</v>
      </c>
      <c r="EX212" s="28">
        <v>0</v>
      </c>
      <c r="EY212" s="28">
        <v>0</v>
      </c>
      <c r="EZ212" s="28">
        <v>0</v>
      </c>
      <c r="FA212" s="28">
        <v>0</v>
      </c>
      <c r="FB212" s="28">
        <v>0</v>
      </c>
      <c r="FC212" s="28">
        <v>2.4477810417920698</v>
      </c>
      <c r="FD212" s="28">
        <v>0.538639983113954</v>
      </c>
      <c r="FE212" s="28">
        <v>0</v>
      </c>
      <c r="FF212" s="28">
        <v>0</v>
      </c>
      <c r="FG212" s="28">
        <v>0.93471719519532004</v>
      </c>
      <c r="FH212" s="28">
        <v>0</v>
      </c>
      <c r="FI212" s="28">
        <v>189.66494937516401</v>
      </c>
      <c r="FJ212" s="28">
        <v>0</v>
      </c>
      <c r="FK212" s="28">
        <v>0</v>
      </c>
      <c r="FL212" s="28">
        <v>0</v>
      </c>
      <c r="FM212" s="28">
        <v>0</v>
      </c>
      <c r="FN212" s="28">
        <v>0</v>
      </c>
      <c r="FO212" s="28">
        <v>0</v>
      </c>
      <c r="FP212" s="28">
        <v>1.017149496274</v>
      </c>
      <c r="FQ212" s="28">
        <v>0</v>
      </c>
      <c r="FR212" s="28">
        <v>0</v>
      </c>
      <c r="FS212" s="28">
        <v>0</v>
      </c>
      <c r="FT212" s="28">
        <v>7.9798253124981997E-2</v>
      </c>
      <c r="FU212" s="28">
        <v>0.27364322960239301</v>
      </c>
      <c r="FV212" s="28">
        <v>0</v>
      </c>
      <c r="FW212" s="28">
        <v>0.15596467999999999</v>
      </c>
      <c r="FX212" s="28">
        <v>0</v>
      </c>
      <c r="FY212" s="28">
        <v>0</v>
      </c>
      <c r="FZ212" s="28">
        <v>0</v>
      </c>
      <c r="GA212" s="28">
        <v>0</v>
      </c>
      <c r="GB212" s="28">
        <v>0</v>
      </c>
      <c r="GC212" s="28">
        <v>0</v>
      </c>
      <c r="GD212" s="28">
        <v>0</v>
      </c>
      <c r="GE212" s="28">
        <v>0</v>
      </c>
      <c r="GF212" s="28">
        <v>0</v>
      </c>
      <c r="GG212" s="28">
        <v>0</v>
      </c>
      <c r="GH212" s="28">
        <v>0.33726690059304398</v>
      </c>
      <c r="GI212" s="28">
        <v>0</v>
      </c>
      <c r="GJ212" s="28">
        <v>0</v>
      </c>
      <c r="GK212" s="28">
        <v>0</v>
      </c>
      <c r="GL212" s="28">
        <v>0</v>
      </c>
      <c r="GM212" s="28">
        <v>0</v>
      </c>
      <c r="GN212" s="28">
        <v>0</v>
      </c>
      <c r="GO212" s="28">
        <v>0</v>
      </c>
      <c r="GP212" s="28">
        <v>0</v>
      </c>
      <c r="GQ212" s="21">
        <v>203.12887782380199</v>
      </c>
      <c r="GR212" s="21">
        <v>1542.7678773344251</v>
      </c>
      <c r="GS212" s="20">
        <v>1542.7678773344251</v>
      </c>
      <c r="GT212" s="20">
        <v>0</v>
      </c>
      <c r="GU212" s="20">
        <v>0</v>
      </c>
      <c r="GV212" s="20">
        <v>0</v>
      </c>
      <c r="GW212" s="20">
        <v>0</v>
      </c>
      <c r="GX212" s="21">
        <v>0</v>
      </c>
      <c r="GY212" s="20">
        <v>0</v>
      </c>
      <c r="GZ212" s="20">
        <v>0</v>
      </c>
      <c r="HA212" s="20"/>
      <c r="HB212" s="21">
        <v>0</v>
      </c>
      <c r="HC212" s="21">
        <v>1745.8967551582271</v>
      </c>
    </row>
    <row r="213" spans="1:211" s="7" customFormat="1" ht="17.25" customHeight="1">
      <c r="A213" s="7">
        <f t="shared" si="11"/>
        <v>213</v>
      </c>
      <c r="B213" s="26" t="s">
        <v>189</v>
      </c>
      <c r="C213" s="10" t="s">
        <v>684</v>
      </c>
      <c r="D213" s="28">
        <v>73.835813032049799</v>
      </c>
      <c r="E213" s="28">
        <v>252.78562853877901</v>
      </c>
      <c r="F213" s="28">
        <v>425.48806148128301</v>
      </c>
      <c r="G213" s="28">
        <v>70.354350860060805</v>
      </c>
      <c r="H213" s="28">
        <v>257.477419221834</v>
      </c>
      <c r="I213" s="28">
        <v>0</v>
      </c>
      <c r="J213" s="28">
        <v>2.5567718285456</v>
      </c>
      <c r="K213" s="28">
        <v>1.9622693594112799</v>
      </c>
      <c r="L213" s="28">
        <v>3.9629351261274</v>
      </c>
      <c r="M213" s="28">
        <v>62.189158979419197</v>
      </c>
      <c r="N213" s="28">
        <v>11.040097098508699</v>
      </c>
      <c r="O213" s="28">
        <v>0</v>
      </c>
      <c r="P213" s="28">
        <v>0</v>
      </c>
      <c r="Q213" s="28">
        <v>89.669886096704602</v>
      </c>
      <c r="R213" s="28">
        <v>194.89046061424099</v>
      </c>
      <c r="S213" s="28">
        <v>643.584979472393</v>
      </c>
      <c r="T213" s="28">
        <v>42.571611454699699</v>
      </c>
      <c r="U213" s="28">
        <v>12.365645000000001</v>
      </c>
      <c r="V213" s="28">
        <v>1.0164979999999999</v>
      </c>
      <c r="W213" s="28">
        <v>0</v>
      </c>
      <c r="X213" s="28">
        <v>0</v>
      </c>
      <c r="Y213" s="28">
        <v>0</v>
      </c>
      <c r="Z213" s="28">
        <v>21.814815440508699</v>
      </c>
      <c r="AA213" s="28">
        <v>0</v>
      </c>
      <c r="AB213" s="28">
        <v>3</v>
      </c>
      <c r="AC213" s="28">
        <v>203.73799368619899</v>
      </c>
      <c r="AD213" s="28">
        <v>1.31316211392616</v>
      </c>
      <c r="AE213" s="28">
        <v>2.4555705383833901</v>
      </c>
      <c r="AF213" s="28">
        <v>9.1649053022203208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1224.0688028458001</v>
      </c>
      <c r="AU213" s="28">
        <v>151.11207539959099</v>
      </c>
      <c r="AV213" s="28">
        <v>0.75030486144519304</v>
      </c>
      <c r="AW213" s="28">
        <v>257.13088028909198</v>
      </c>
      <c r="AX213" s="28">
        <v>495.79944431963798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4.0592849482872499E-2</v>
      </c>
      <c r="BH213" s="28">
        <v>0</v>
      </c>
      <c r="BI213" s="28">
        <v>0.246981567506809</v>
      </c>
      <c r="BJ213" s="28">
        <v>0</v>
      </c>
      <c r="BK213" s="28">
        <v>0</v>
      </c>
      <c r="BL213" s="28">
        <v>0.20547008798288399</v>
      </c>
      <c r="BM213" s="28">
        <v>0</v>
      </c>
      <c r="BN213" s="28">
        <v>0.178831467464621</v>
      </c>
      <c r="BO213" s="28">
        <v>0.42245494531806799</v>
      </c>
      <c r="BP213" s="28">
        <v>1.81839734636801E-3</v>
      </c>
      <c r="BQ213" s="28">
        <v>0.124599711893745</v>
      </c>
      <c r="BR213" s="28">
        <v>0.13487465852112401</v>
      </c>
      <c r="BS213" s="28">
        <v>0</v>
      </c>
      <c r="BT213" s="28">
        <v>0</v>
      </c>
      <c r="BU213" s="28">
        <v>0</v>
      </c>
      <c r="BV213" s="28">
        <v>1.02484503884592</v>
      </c>
      <c r="BW213" s="28">
        <v>8.6970130980196694E-2</v>
      </c>
      <c r="BX213" s="28">
        <v>0.24682974514542599</v>
      </c>
      <c r="BY213" s="28">
        <v>0.47172557437172302</v>
      </c>
      <c r="BZ213" s="28">
        <v>0.29998675255113</v>
      </c>
      <c r="CA213" s="28">
        <v>3.1282681463169E-3</v>
      </c>
      <c r="CB213" s="28">
        <v>0.353426416633431</v>
      </c>
      <c r="CC213" s="28">
        <v>1.93732018683235E-2</v>
      </c>
      <c r="CD213" s="28">
        <v>0.25452768533019798</v>
      </c>
      <c r="CE213" s="28">
        <v>8.6545847364393996E-2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0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0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0</v>
      </c>
      <c r="DD213" s="28">
        <v>1.1189443743983601E-2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0</v>
      </c>
      <c r="DK213" s="28">
        <v>0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0</v>
      </c>
      <c r="DR213" s="28">
        <v>0</v>
      </c>
      <c r="DS213" s="28">
        <v>0</v>
      </c>
      <c r="DT213" s="28">
        <v>0</v>
      </c>
      <c r="DU213" s="28">
        <v>12.095723650831699</v>
      </c>
      <c r="DV213" s="28">
        <v>0</v>
      </c>
      <c r="DW213" s="28">
        <v>0</v>
      </c>
      <c r="DX213" s="28">
        <v>0.29134676978733498</v>
      </c>
      <c r="DY213" s="28">
        <v>0.53997376965687505</v>
      </c>
      <c r="DZ213" s="28">
        <v>7.8481843590584903</v>
      </c>
      <c r="EA213" s="28">
        <v>0.158436020554484</v>
      </c>
      <c r="EB213" s="28">
        <v>2.4546338586511899E-2</v>
      </c>
      <c r="EC213" s="28">
        <v>1.7205844129597301</v>
      </c>
      <c r="ED213" s="28">
        <v>0.54412799724249505</v>
      </c>
      <c r="EE213" s="28">
        <v>3.61193826688695E-2</v>
      </c>
      <c r="EF213" s="28">
        <v>7.4446954246502507E-5</v>
      </c>
      <c r="EG213" s="28">
        <v>0</v>
      </c>
      <c r="EH213" s="28">
        <v>0</v>
      </c>
      <c r="EI213" s="28">
        <v>0</v>
      </c>
      <c r="EJ213" s="28">
        <v>3.9361882920908999</v>
      </c>
      <c r="EK213" s="28">
        <v>0</v>
      </c>
      <c r="EL213" s="28">
        <v>2.3797905160578101E-2</v>
      </c>
      <c r="EM213" s="28">
        <v>0</v>
      </c>
      <c r="EN213" s="28">
        <v>1.0849580952735001</v>
      </c>
      <c r="EO213" s="28">
        <v>0</v>
      </c>
      <c r="EP213" s="28">
        <v>0</v>
      </c>
      <c r="EQ213" s="28">
        <v>0.85475811672397195</v>
      </c>
      <c r="ER213" s="28">
        <v>0.133607885607474</v>
      </c>
      <c r="ES213" s="28">
        <v>3.2122717940019301E-2</v>
      </c>
      <c r="ET213" s="28">
        <v>0.58025560507055096</v>
      </c>
      <c r="EU213" s="28">
        <v>6.4556729485051506E-2</v>
      </c>
      <c r="EV213" s="28">
        <v>0.36035502586519202</v>
      </c>
      <c r="EW213" s="28">
        <v>11.4100787885572</v>
      </c>
      <c r="EX213" s="28">
        <v>0.26142916251664799</v>
      </c>
      <c r="EY213" s="28">
        <v>0.66705349655352097</v>
      </c>
      <c r="EZ213" s="28">
        <v>20.725231658366798</v>
      </c>
      <c r="FA213" s="28">
        <v>0.48968881393779301</v>
      </c>
      <c r="FB213" s="28">
        <v>2.4131752538658201E-2</v>
      </c>
      <c r="FC213" s="28">
        <v>2.52996680276911E-2</v>
      </c>
      <c r="FD213" s="28">
        <v>0</v>
      </c>
      <c r="FE213" s="28">
        <v>0</v>
      </c>
      <c r="FF213" s="28">
        <v>0</v>
      </c>
      <c r="FG213" s="28">
        <v>0.19789698056170199</v>
      </c>
      <c r="FH213" s="28">
        <v>0</v>
      </c>
      <c r="FI213" s="28">
        <v>49.024777354850798</v>
      </c>
      <c r="FJ213" s="28">
        <v>0</v>
      </c>
      <c r="FK213" s="28">
        <v>6.2050000000000001</v>
      </c>
      <c r="FL213" s="28">
        <v>0</v>
      </c>
      <c r="FM213" s="28">
        <v>2.0650000000000002E-2</v>
      </c>
      <c r="FN213" s="28">
        <v>358.64655135977</v>
      </c>
      <c r="FO213" s="28">
        <v>0</v>
      </c>
      <c r="FP213" s="28">
        <v>4.93870836939311</v>
      </c>
      <c r="FQ213" s="28">
        <v>2.9984615340353198</v>
      </c>
      <c r="FR213" s="28">
        <v>0</v>
      </c>
      <c r="FS213" s="28">
        <v>3.9224811085867302</v>
      </c>
      <c r="FT213" s="28">
        <v>7.0468606196206602</v>
      </c>
      <c r="FU213" s="28">
        <v>2.04286536780088E-2</v>
      </c>
      <c r="FV213" s="28">
        <v>0</v>
      </c>
      <c r="FW213" s="28">
        <v>0</v>
      </c>
      <c r="FX213" s="28">
        <v>0.05</v>
      </c>
      <c r="FY213" s="28">
        <v>2.9498859300000002</v>
      </c>
      <c r="FZ213" s="28">
        <v>0</v>
      </c>
      <c r="GA213" s="28">
        <v>0</v>
      </c>
      <c r="GB213" s="28">
        <v>0</v>
      </c>
      <c r="GC213" s="28">
        <v>0</v>
      </c>
      <c r="GD213" s="28">
        <v>0</v>
      </c>
      <c r="GE213" s="28">
        <v>0</v>
      </c>
      <c r="GF213" s="28">
        <v>23.306824371745101</v>
      </c>
      <c r="GG213" s="28">
        <v>203.572992774</v>
      </c>
      <c r="GH213" s="28">
        <v>3.5725527763135E-2</v>
      </c>
      <c r="GI213" s="28">
        <v>31.0041008529594</v>
      </c>
      <c r="GJ213" s="28">
        <v>26.2274992334792</v>
      </c>
      <c r="GK213" s="28">
        <v>3.4191816253385099</v>
      </c>
      <c r="GL213" s="28">
        <v>19.3071880368209</v>
      </c>
      <c r="GM213" s="28">
        <v>0</v>
      </c>
      <c r="GN213" s="28">
        <v>0</v>
      </c>
      <c r="GO213" s="28">
        <v>0</v>
      </c>
      <c r="GP213" s="28">
        <v>0</v>
      </c>
      <c r="GQ213" s="21">
        <v>5327.1415579459772</v>
      </c>
      <c r="GR213" s="21">
        <v>292.7163950921165</v>
      </c>
      <c r="GS213" s="20">
        <v>292.7163950921165</v>
      </c>
      <c r="GT213" s="20">
        <v>0</v>
      </c>
      <c r="GU213" s="20">
        <v>0</v>
      </c>
      <c r="GV213" s="20">
        <v>0</v>
      </c>
      <c r="GW213" s="20">
        <v>0</v>
      </c>
      <c r="GX213" s="21">
        <v>0</v>
      </c>
      <c r="GY213" s="20">
        <v>0</v>
      </c>
      <c r="GZ213" s="20">
        <v>0</v>
      </c>
      <c r="HA213" s="20"/>
      <c r="HB213" s="21">
        <v>103.1742868404</v>
      </c>
      <c r="HC213" s="21">
        <v>5723.0322398784938</v>
      </c>
    </row>
    <row r="214" spans="1:211" s="7" customFormat="1" ht="17.25" customHeight="1">
      <c r="A214" s="7">
        <f t="shared" si="11"/>
        <v>214</v>
      </c>
      <c r="B214" s="26" t="s">
        <v>685</v>
      </c>
      <c r="C214" s="10" t="s">
        <v>686</v>
      </c>
      <c r="D214" s="28">
        <v>0</v>
      </c>
      <c r="E214" s="28">
        <v>0</v>
      </c>
      <c r="F214" s="28">
        <v>0</v>
      </c>
      <c r="G214" s="28">
        <v>0</v>
      </c>
      <c r="H214" s="28">
        <v>2.99097181844509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0.94536905952110695</v>
      </c>
      <c r="U214" s="28">
        <v>1.76806767817475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23.991437563111401</v>
      </c>
      <c r="AD214" s="28">
        <v>0</v>
      </c>
      <c r="AE214" s="28">
        <v>0.162453710825159</v>
      </c>
      <c r="AF214" s="28">
        <v>2.8327889115953702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95.6951652585159</v>
      </c>
      <c r="AU214" s="28">
        <v>54.956044472771097</v>
      </c>
      <c r="AV214" s="28">
        <v>18.5764037113825</v>
      </c>
      <c r="AW214" s="28">
        <v>7.32043587891439</v>
      </c>
      <c r="AX214" s="28">
        <v>254.40819940832199</v>
      </c>
      <c r="AY214" s="28">
        <v>0</v>
      </c>
      <c r="AZ214" s="28">
        <v>17.9376520026394</v>
      </c>
      <c r="BA214" s="28">
        <v>3.6547233433125101</v>
      </c>
      <c r="BB214" s="28">
        <v>0</v>
      </c>
      <c r="BC214" s="28">
        <v>14.427616863868201</v>
      </c>
      <c r="BD214" s="28">
        <v>7.9187528776242404</v>
      </c>
      <c r="BE214" s="28">
        <v>0</v>
      </c>
      <c r="BF214" s="28">
        <v>0</v>
      </c>
      <c r="BG214" s="28">
        <v>0</v>
      </c>
      <c r="BH214" s="28">
        <v>26.880988062565098</v>
      </c>
      <c r="BI214" s="28">
        <v>0.37477459506046801</v>
      </c>
      <c r="BJ214" s="28">
        <v>1.43516133234873</v>
      </c>
      <c r="BK214" s="28">
        <v>0</v>
      </c>
      <c r="BL214" s="28">
        <v>0.78537401338357005</v>
      </c>
      <c r="BM214" s="28">
        <v>0.30277089310704097</v>
      </c>
      <c r="BN214" s="28">
        <v>0.82175422408759902</v>
      </c>
      <c r="BO214" s="28">
        <v>0.80565938227051304</v>
      </c>
      <c r="BP214" s="28">
        <v>4.5544920614425796E-3</v>
      </c>
      <c r="BQ214" s="28">
        <v>0.75752097645254401</v>
      </c>
      <c r="BR214" s="28">
        <v>0.57284853291591498</v>
      </c>
      <c r="BS214" s="28">
        <v>0</v>
      </c>
      <c r="BT214" s="28">
        <v>0</v>
      </c>
      <c r="BU214" s="28">
        <v>0.26186110923825301</v>
      </c>
      <c r="BV214" s="28">
        <v>8.8601196556637092</v>
      </c>
      <c r="BW214" s="28">
        <v>0</v>
      </c>
      <c r="BX214" s="28">
        <v>0.46585141390625501</v>
      </c>
      <c r="BY214" s="28">
        <v>0</v>
      </c>
      <c r="BZ214" s="28">
        <v>7.2112465041362594E-2</v>
      </c>
      <c r="CA214" s="28">
        <v>0</v>
      </c>
      <c r="CB214" s="28">
        <v>10.002428106819799</v>
      </c>
      <c r="CC214" s="28">
        <v>0.54828685623632301</v>
      </c>
      <c r="CD214" s="28">
        <v>7.2034651454792797</v>
      </c>
      <c r="CE214" s="28">
        <v>2.4493602500121301</v>
      </c>
      <c r="CF214" s="28">
        <v>0</v>
      </c>
      <c r="CG214" s="28">
        <v>1.39138742372937</v>
      </c>
      <c r="CH214" s="28">
        <v>0.21909882265712499</v>
      </c>
      <c r="CI214" s="28">
        <v>1.0013781785964999</v>
      </c>
      <c r="CJ214" s="28">
        <v>0.19833732452243699</v>
      </c>
      <c r="CK214" s="28">
        <v>1.29235947132111</v>
      </c>
      <c r="CL214" s="28">
        <v>2.01134625364082</v>
      </c>
      <c r="CM214" s="28">
        <v>82.331170794985695</v>
      </c>
      <c r="CN214" s="28">
        <v>1.1439074277877801</v>
      </c>
      <c r="CO214" s="28">
        <v>15.449799703785599</v>
      </c>
      <c r="CP214" s="28">
        <v>5.8285281503559201</v>
      </c>
      <c r="CQ214" s="28">
        <v>8.9673280715942401</v>
      </c>
      <c r="CR214" s="28">
        <v>0.883483502432024</v>
      </c>
      <c r="CS214" s="28">
        <v>4.1537984624071003E-2</v>
      </c>
      <c r="CT214" s="28">
        <v>32.742935964024497</v>
      </c>
      <c r="CU214" s="28">
        <v>4.9651471276190202</v>
      </c>
      <c r="CV214" s="28">
        <v>1.95039604464905</v>
      </c>
      <c r="CW214" s="28">
        <v>5.3672597823991701</v>
      </c>
      <c r="CX214" s="28">
        <v>0.13890029573550799</v>
      </c>
      <c r="CY214" s="28">
        <v>10.5595211095315</v>
      </c>
      <c r="CZ214" s="28">
        <v>5.73850332827395E-2</v>
      </c>
      <c r="DA214" s="28">
        <v>7.3712208931490899</v>
      </c>
      <c r="DB214" s="28">
        <v>9.9175382188988106</v>
      </c>
      <c r="DC214" s="28">
        <v>14.566167122031599</v>
      </c>
      <c r="DD214" s="28">
        <v>0.14595306863084601</v>
      </c>
      <c r="DE214" s="28">
        <v>0</v>
      </c>
      <c r="DF214" s="28">
        <v>1.54099082661149</v>
      </c>
      <c r="DG214" s="28">
        <v>39.654744594746397</v>
      </c>
      <c r="DH214" s="28">
        <v>29.986478640642002</v>
      </c>
      <c r="DI214" s="28">
        <v>5.5727214303618</v>
      </c>
      <c r="DJ214" s="28">
        <v>2.5315262714242399</v>
      </c>
      <c r="DK214" s="28">
        <v>4.1110364765274597E-2</v>
      </c>
      <c r="DL214" s="28">
        <v>1.8820249847942401</v>
      </c>
      <c r="DM214" s="28">
        <v>1.55704729209056</v>
      </c>
      <c r="DN214" s="28">
        <v>1.5595721398454701</v>
      </c>
      <c r="DO214" s="28">
        <v>0.63466267029855605</v>
      </c>
      <c r="DP214" s="28">
        <v>0</v>
      </c>
      <c r="DQ214" s="28">
        <v>12.2345910765205</v>
      </c>
      <c r="DR214" s="28">
        <v>107.87364186331099</v>
      </c>
      <c r="DS214" s="28">
        <v>84.924743667249501</v>
      </c>
      <c r="DT214" s="28">
        <v>0.39619620878899497</v>
      </c>
      <c r="DU214" s="28">
        <v>19.333772712880801</v>
      </c>
      <c r="DV214" s="28">
        <v>2.9252972492317002</v>
      </c>
      <c r="DW214" s="28">
        <v>0</v>
      </c>
      <c r="DX214" s="28">
        <v>5.6462001915910998</v>
      </c>
      <c r="DY214" s="28">
        <v>3.78370302036938</v>
      </c>
      <c r="DZ214" s="28">
        <v>23.562940967540602</v>
      </c>
      <c r="EA214" s="28">
        <v>0.20482508140504099</v>
      </c>
      <c r="EB214" s="28">
        <v>0.108775469107964</v>
      </c>
      <c r="EC214" s="28">
        <v>7.9884655276183496</v>
      </c>
      <c r="ED214" s="28">
        <v>4.1237929655578496</v>
      </c>
      <c r="EE214" s="28">
        <v>2.1765245779373199</v>
      </c>
      <c r="EF214" s="28">
        <v>18.1853868707644</v>
      </c>
      <c r="EG214" s="28">
        <v>0.27720837807808502</v>
      </c>
      <c r="EH214" s="28">
        <v>9.5718484986651198E-2</v>
      </c>
      <c r="EI214" s="28">
        <v>4.4898615308494497E-2</v>
      </c>
      <c r="EJ214" s="28">
        <v>3.8097215171368299</v>
      </c>
      <c r="EK214" s="28">
        <v>0</v>
      </c>
      <c r="EL214" s="28">
        <v>4.5945728852603999E-2</v>
      </c>
      <c r="EM214" s="28">
        <v>0</v>
      </c>
      <c r="EN214" s="28">
        <v>0</v>
      </c>
      <c r="EO214" s="28">
        <v>4.1696151739311</v>
      </c>
      <c r="EP214" s="28">
        <v>0</v>
      </c>
      <c r="EQ214" s="28">
        <v>8.3434859247008206E-2</v>
      </c>
      <c r="ER214" s="28">
        <v>1.55811140453323E-2</v>
      </c>
      <c r="ES214" s="28">
        <v>10.7273330175966</v>
      </c>
      <c r="ET214" s="28">
        <v>0.788270739040274</v>
      </c>
      <c r="EU214" s="28">
        <v>5.0532234508932197E-2</v>
      </c>
      <c r="EV214" s="28">
        <v>2.7346556334011698</v>
      </c>
      <c r="EW214" s="28">
        <v>10.9104541537224</v>
      </c>
      <c r="EX214" s="28">
        <v>90.348371583941798</v>
      </c>
      <c r="EY214" s="28">
        <v>85.8873399119922</v>
      </c>
      <c r="EZ214" s="28">
        <v>263.31648708097998</v>
      </c>
      <c r="FA214" s="28">
        <v>48.720503601431901</v>
      </c>
      <c r="FB214" s="28">
        <v>36.695619861540898</v>
      </c>
      <c r="FC214" s="28">
        <v>32.185127387520097</v>
      </c>
      <c r="FD214" s="28">
        <v>1.8282984805929501</v>
      </c>
      <c r="FE214" s="28">
        <v>0</v>
      </c>
      <c r="FF214" s="28">
        <v>15.5166759399709</v>
      </c>
      <c r="FG214" s="28">
        <v>12.0819771498054</v>
      </c>
      <c r="FH214" s="28">
        <v>0.62523104320593004</v>
      </c>
      <c r="FI214" s="28">
        <v>836.30963896833896</v>
      </c>
      <c r="FJ214" s="28">
        <v>43.2004281824562</v>
      </c>
      <c r="FK214" s="28">
        <v>29.847000000000001</v>
      </c>
      <c r="FL214" s="28">
        <v>11.3667113998373</v>
      </c>
      <c r="FM214" s="28">
        <v>14.75814025</v>
      </c>
      <c r="FN214" s="28">
        <v>35.158857031558803</v>
      </c>
      <c r="FO214" s="28">
        <v>5.7056776592502496</v>
      </c>
      <c r="FP214" s="28">
        <v>56.216357936956399</v>
      </c>
      <c r="FQ214" s="28">
        <v>76.532577351204594</v>
      </c>
      <c r="FR214" s="28">
        <v>10.103064702640401</v>
      </c>
      <c r="FS214" s="28">
        <v>54.608437697186403</v>
      </c>
      <c r="FT214" s="28">
        <v>32.097373861515699</v>
      </c>
      <c r="FU214" s="28">
        <v>1619.24071545025</v>
      </c>
      <c r="FV214" s="28">
        <v>248.82379081226199</v>
      </c>
      <c r="FW214" s="28">
        <v>17.22094426</v>
      </c>
      <c r="FX214" s="28">
        <v>512.946676600763</v>
      </c>
      <c r="FY214" s="28">
        <v>24.01</v>
      </c>
      <c r="FZ214" s="28">
        <v>325.62103805670199</v>
      </c>
      <c r="GA214" s="28">
        <v>3.0682112064710498</v>
      </c>
      <c r="GB214" s="28">
        <v>27.9166872082655</v>
      </c>
      <c r="GC214" s="28">
        <v>192.37828131938201</v>
      </c>
      <c r="GD214" s="28">
        <v>105.822746015538</v>
      </c>
      <c r="GE214" s="28">
        <v>114.687125208784</v>
      </c>
      <c r="GF214" s="28">
        <v>156.86568816424199</v>
      </c>
      <c r="GG214" s="28">
        <v>988.71460273124603</v>
      </c>
      <c r="GH214" s="28">
        <v>147.211158789753</v>
      </c>
      <c r="GI214" s="28">
        <v>73.699309422601999</v>
      </c>
      <c r="GJ214" s="28">
        <v>265.87301794221702</v>
      </c>
      <c r="GK214" s="28">
        <v>68.172282474616296</v>
      </c>
      <c r="GL214" s="28">
        <v>170.84650398841001</v>
      </c>
      <c r="GM214" s="28">
        <v>408.21272513094999</v>
      </c>
      <c r="GN214" s="28">
        <v>13.629672259753001</v>
      </c>
      <c r="GO214" s="28">
        <v>13.038258242722399</v>
      </c>
      <c r="GP214" s="28">
        <v>0</v>
      </c>
      <c r="GQ214" s="21">
        <v>8482.0255005178224</v>
      </c>
      <c r="GR214" s="21">
        <v>1066.5985893702634</v>
      </c>
      <c r="GS214" s="20">
        <v>1007.0777788067219</v>
      </c>
      <c r="GT214" s="20">
        <v>59.520810563541595</v>
      </c>
      <c r="GU214" s="20">
        <v>0</v>
      </c>
      <c r="GV214" s="20">
        <v>0</v>
      </c>
      <c r="GW214" s="20">
        <v>0</v>
      </c>
      <c r="GX214" s="21">
        <v>860.72560152858796</v>
      </c>
      <c r="GY214" s="20">
        <v>860.72560152858796</v>
      </c>
      <c r="GZ214" s="20">
        <v>0</v>
      </c>
      <c r="HA214" s="20"/>
      <c r="HB214" s="21">
        <v>338.85253538841499</v>
      </c>
      <c r="HC214" s="21">
        <v>10748.202226805088</v>
      </c>
    </row>
    <row r="215" spans="1:211" s="7" customFormat="1" ht="17.25" customHeight="1">
      <c r="A215" s="7">
        <f t="shared" si="11"/>
        <v>215</v>
      </c>
      <c r="B215" s="26" t="s">
        <v>687</v>
      </c>
      <c r="C215" s="9" t="s">
        <v>688</v>
      </c>
      <c r="D215" s="28">
        <v>0</v>
      </c>
      <c r="E215" s="28">
        <v>0</v>
      </c>
      <c r="F215" s="28">
        <v>48.549878999999997</v>
      </c>
      <c r="G215" s="28">
        <v>10.324687000000001</v>
      </c>
      <c r="H215" s="28">
        <v>39.014330197469</v>
      </c>
      <c r="I215" s="28">
        <v>12.228406543385001</v>
      </c>
      <c r="J215" s="28">
        <v>0</v>
      </c>
      <c r="K215" s="28">
        <v>0</v>
      </c>
      <c r="L215" s="28">
        <v>5.7705868080123999</v>
      </c>
      <c r="M215" s="28">
        <v>55.699168035299998</v>
      </c>
      <c r="N215" s="28">
        <v>0</v>
      </c>
      <c r="O215" s="28">
        <v>18.7678945698745</v>
      </c>
      <c r="P215" s="28">
        <v>2.6598700000000002</v>
      </c>
      <c r="Q215" s="28">
        <v>0</v>
      </c>
      <c r="R215" s="28">
        <v>0</v>
      </c>
      <c r="S215" s="28">
        <v>200.35468700000001</v>
      </c>
      <c r="T215" s="28">
        <v>17.097999885771799</v>
      </c>
      <c r="U215" s="28">
        <v>47.888946223183602</v>
      </c>
      <c r="V215" s="28">
        <v>0</v>
      </c>
      <c r="W215" s="28">
        <v>5.35487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55.216598699999999</v>
      </c>
      <c r="AD215" s="28">
        <v>0</v>
      </c>
      <c r="AE215" s="28">
        <v>6.3343069486763</v>
      </c>
      <c r="AF215" s="28">
        <v>197.04546399773699</v>
      </c>
      <c r="AG215" s="28">
        <v>1.4099223115759401</v>
      </c>
      <c r="AH215" s="28">
        <v>0</v>
      </c>
      <c r="AI215" s="28">
        <v>0</v>
      </c>
      <c r="AJ215" s="28">
        <v>2.2118544512255198</v>
      </c>
      <c r="AK215" s="28">
        <v>0</v>
      </c>
      <c r="AL215" s="28">
        <v>0</v>
      </c>
      <c r="AM215" s="28">
        <v>0</v>
      </c>
      <c r="AN215" s="28">
        <v>0</v>
      </c>
      <c r="AO215" s="28">
        <v>5.4195304355302197E-2</v>
      </c>
      <c r="AP215" s="28">
        <v>0</v>
      </c>
      <c r="AQ215" s="28">
        <v>6.4571471485602605E-2</v>
      </c>
      <c r="AR215" s="28">
        <v>7.4178305225887906E-2</v>
      </c>
      <c r="AS215" s="28">
        <v>7.4197521711627697E-3</v>
      </c>
      <c r="AT215" s="28">
        <v>470.24847652425802</v>
      </c>
      <c r="AU215" s="28">
        <v>0.97288284991919505</v>
      </c>
      <c r="AV215" s="28">
        <v>41.054471611578599</v>
      </c>
      <c r="AW215" s="28">
        <v>71.633712883661801</v>
      </c>
      <c r="AX215" s="28">
        <v>118.53959343871701</v>
      </c>
      <c r="AY215" s="28">
        <v>0.32240607934042498</v>
      </c>
      <c r="AZ215" s="28">
        <v>14.279342168902099</v>
      </c>
      <c r="BA215" s="28">
        <v>0.76312366273910204</v>
      </c>
      <c r="BB215" s="28">
        <v>0.493265597127652</v>
      </c>
      <c r="BC215" s="28">
        <v>30.944565981809799</v>
      </c>
      <c r="BD215" s="28">
        <v>0.19986426847813299</v>
      </c>
      <c r="BE215" s="28">
        <v>103.096860163505</v>
      </c>
      <c r="BF215" s="28">
        <v>54.397244021926603</v>
      </c>
      <c r="BG215" s="28">
        <v>0.256801145342271</v>
      </c>
      <c r="BH215" s="28">
        <v>25.186391471111602</v>
      </c>
      <c r="BI215" s="28">
        <v>6.19606277382508</v>
      </c>
      <c r="BJ215" s="28">
        <v>5.8082650562371798</v>
      </c>
      <c r="BK215" s="28">
        <v>0</v>
      </c>
      <c r="BL215" s="28">
        <v>2.4223442734407201</v>
      </c>
      <c r="BM215" s="28">
        <v>0.69377448795298202</v>
      </c>
      <c r="BN215" s="28">
        <v>0.66646298250894798</v>
      </c>
      <c r="BO215" s="28">
        <v>1.2797202688661</v>
      </c>
      <c r="BP215" s="28">
        <v>7.6035323969272199E-3</v>
      </c>
      <c r="BQ215" s="28">
        <v>5.4133600326262501</v>
      </c>
      <c r="BR215" s="28">
        <v>1.1022909399666401</v>
      </c>
      <c r="BS215" s="28">
        <v>121.459355107912</v>
      </c>
      <c r="BT215" s="28">
        <v>0</v>
      </c>
      <c r="BU215" s="28">
        <v>9.3535015125308096E-2</v>
      </c>
      <c r="BV215" s="28">
        <v>11.5797836945955</v>
      </c>
      <c r="BW215" s="28">
        <v>0.459242372287824</v>
      </c>
      <c r="BX215" s="28">
        <v>11.5159226982957</v>
      </c>
      <c r="BY215" s="28">
        <v>0.63217031901269305</v>
      </c>
      <c r="BZ215" s="28">
        <v>3.3707885204282202</v>
      </c>
      <c r="CA215" s="28">
        <v>2.7387746723953099</v>
      </c>
      <c r="CB215" s="28">
        <v>18.366348922055799</v>
      </c>
      <c r="CC215" s="28">
        <v>1.0067583194272101</v>
      </c>
      <c r="CD215" s="28">
        <v>13.226923792587399</v>
      </c>
      <c r="CE215" s="28">
        <v>4.4974884605133703</v>
      </c>
      <c r="CF215" s="28">
        <v>0</v>
      </c>
      <c r="CG215" s="28">
        <v>3.8156556323756998</v>
      </c>
      <c r="CH215" s="28">
        <v>4.09974450289209</v>
      </c>
      <c r="CI215" s="28">
        <v>6.2280464172363201</v>
      </c>
      <c r="CJ215" s="28">
        <v>15.618399854632599</v>
      </c>
      <c r="CK215" s="28">
        <v>5.1210432052612296</v>
      </c>
      <c r="CL215" s="28">
        <v>7.4329472833684296</v>
      </c>
      <c r="CM215" s="28">
        <v>43.284217264855997</v>
      </c>
      <c r="CN215" s="28">
        <v>6.3627462387085103</v>
      </c>
      <c r="CO215" s="28">
        <v>14.7648245637535</v>
      </c>
      <c r="CP215" s="28">
        <v>13.9676680545004</v>
      </c>
      <c r="CQ215" s="28">
        <v>5.3724732398986799</v>
      </c>
      <c r="CR215" s="28">
        <v>3.8531058945411898</v>
      </c>
      <c r="CS215" s="28">
        <v>0.16807602838528299</v>
      </c>
      <c r="CT215" s="28">
        <v>170.63240639155401</v>
      </c>
      <c r="CU215" s="28">
        <v>3.9290582536379302</v>
      </c>
      <c r="CV215" s="28">
        <v>5.2390120123258699</v>
      </c>
      <c r="CW215" s="28">
        <v>31.965923247252601</v>
      </c>
      <c r="CX215" s="28">
        <v>2.3700368115172701</v>
      </c>
      <c r="CY215" s="28">
        <v>36.568696453901403</v>
      </c>
      <c r="CZ215" s="28">
        <v>1.47217328187862</v>
      </c>
      <c r="DA215" s="28">
        <v>34.327660136059301</v>
      </c>
      <c r="DB215" s="28">
        <v>63.680386054199502</v>
      </c>
      <c r="DC215" s="28">
        <v>18.2218361322339</v>
      </c>
      <c r="DD215" s="28">
        <v>2.5517011525620501</v>
      </c>
      <c r="DE215" s="28">
        <v>0</v>
      </c>
      <c r="DF215" s="28">
        <v>4.8539399621304504</v>
      </c>
      <c r="DG215" s="28">
        <v>40.385581347241903</v>
      </c>
      <c r="DH215" s="28">
        <v>67.276238196182007</v>
      </c>
      <c r="DI215" s="28">
        <v>6.3378860300637596</v>
      </c>
      <c r="DJ215" s="28">
        <v>1.9577149369297899</v>
      </c>
      <c r="DK215" s="28">
        <v>0.34960492628715201</v>
      </c>
      <c r="DL215" s="28">
        <v>5.9836680651444896</v>
      </c>
      <c r="DM215" s="28">
        <v>2.4711077732472102</v>
      </c>
      <c r="DN215" s="28">
        <v>9.3098871542255406</v>
      </c>
      <c r="DO215" s="28">
        <v>15.880081470508999</v>
      </c>
      <c r="DP215" s="28">
        <v>0</v>
      </c>
      <c r="DQ215" s="28">
        <v>23.0808036607812</v>
      </c>
      <c r="DR215" s="28">
        <v>31.7585107291656</v>
      </c>
      <c r="DS215" s="28">
        <v>84.646185242060994</v>
      </c>
      <c r="DT215" s="28">
        <v>1.0562371540019699</v>
      </c>
      <c r="DU215" s="28">
        <v>39.533345357714701</v>
      </c>
      <c r="DV215" s="28">
        <v>9.7152425953501194</v>
      </c>
      <c r="DW215" s="28">
        <v>0</v>
      </c>
      <c r="DX215" s="28">
        <v>5.7361721566967798</v>
      </c>
      <c r="DY215" s="28">
        <v>18.384907607757999</v>
      </c>
      <c r="DZ215" s="28">
        <v>142.54778043252799</v>
      </c>
      <c r="EA215" s="28">
        <v>0.52634514142730104</v>
      </c>
      <c r="EB215" s="28">
        <v>8.7302433085943107</v>
      </c>
      <c r="EC215" s="28">
        <v>27.147265769595698</v>
      </c>
      <c r="ED215" s="28">
        <v>41.507358447735903</v>
      </c>
      <c r="EE215" s="28">
        <v>3.0807793577975802</v>
      </c>
      <c r="EF215" s="28">
        <v>30.339912056212299</v>
      </c>
      <c r="EG215" s="28">
        <v>0.35991993333300598</v>
      </c>
      <c r="EH215" s="28">
        <v>0.124278317177801</v>
      </c>
      <c r="EI215" s="28">
        <v>5.8335510277693702E-2</v>
      </c>
      <c r="EJ215" s="28">
        <v>8.0738602249709395</v>
      </c>
      <c r="EK215" s="28">
        <v>1.9237055241486001</v>
      </c>
      <c r="EL215" s="28">
        <v>9.0634840400943801</v>
      </c>
      <c r="EM215" s="28">
        <v>2.6997314468303401E-2</v>
      </c>
      <c r="EN215" s="28">
        <v>0</v>
      </c>
      <c r="EO215" s="28">
        <v>4.1721080021980201</v>
      </c>
      <c r="EP215" s="28">
        <v>0</v>
      </c>
      <c r="EQ215" s="28">
        <v>0.32333587714634998</v>
      </c>
      <c r="ER215" s="28">
        <v>19.3314093237693</v>
      </c>
      <c r="ES215" s="28">
        <v>16.734366488560202</v>
      </c>
      <c r="ET215" s="28">
        <v>1.60675478921583</v>
      </c>
      <c r="EU215" s="28">
        <v>0.40980577122023298</v>
      </c>
      <c r="EV215" s="28">
        <v>3.2081553657861299</v>
      </c>
      <c r="EW215" s="28">
        <v>12.839252417831601</v>
      </c>
      <c r="EX215" s="28">
        <v>101.260766471162</v>
      </c>
      <c r="EY215" s="28">
        <v>44.941021018741701</v>
      </c>
      <c r="EZ215" s="28">
        <v>42.370936175383001</v>
      </c>
      <c r="FA215" s="28">
        <v>116.858394890291</v>
      </c>
      <c r="FB215" s="28">
        <v>21.169217558602199</v>
      </c>
      <c r="FC215" s="28">
        <v>7.6757260198443698</v>
      </c>
      <c r="FD215" s="28">
        <v>41.03715815228</v>
      </c>
      <c r="FE215" s="28">
        <v>12.076579981579901</v>
      </c>
      <c r="FF215" s="28">
        <v>131.527493155408</v>
      </c>
      <c r="FG215" s="28">
        <v>77.409136680652097</v>
      </c>
      <c r="FH215" s="28">
        <v>4.8194227620197303</v>
      </c>
      <c r="FI215" s="28">
        <v>185.10417889336199</v>
      </c>
      <c r="FJ215" s="28">
        <v>0</v>
      </c>
      <c r="FK215" s="28">
        <v>49.145498576007398</v>
      </c>
      <c r="FL215" s="28">
        <v>854.06477244593702</v>
      </c>
      <c r="FM215" s="28">
        <v>279.06084405546898</v>
      </c>
      <c r="FN215" s="28">
        <v>482.05134952939602</v>
      </c>
      <c r="FO215" s="28">
        <v>0.27483484463199598</v>
      </c>
      <c r="FP215" s="28">
        <v>80.378647919921804</v>
      </c>
      <c r="FQ215" s="28">
        <v>318.70399426940702</v>
      </c>
      <c r="FR215" s="28">
        <v>22.9538566174758</v>
      </c>
      <c r="FS215" s="28">
        <v>28.250926631383098</v>
      </c>
      <c r="FT215" s="28">
        <v>5.3454550140014403</v>
      </c>
      <c r="FU215" s="28">
        <v>619.18650661504398</v>
      </c>
      <c r="FV215" s="28">
        <v>19.386873893628898</v>
      </c>
      <c r="FW215" s="28">
        <v>5.9826305</v>
      </c>
      <c r="FX215" s="28">
        <v>660.50809387167305</v>
      </c>
      <c r="FY215" s="28">
        <v>60.755403170297299</v>
      </c>
      <c r="FZ215" s="28">
        <v>85.565241757975002</v>
      </c>
      <c r="GA215" s="28">
        <v>1.1819576225205799</v>
      </c>
      <c r="GB215" s="28">
        <v>42.955273994141102</v>
      </c>
      <c r="GC215" s="28">
        <v>74.286331365941905</v>
      </c>
      <c r="GD215" s="28">
        <v>336.58750645202298</v>
      </c>
      <c r="GE215" s="28">
        <v>145.395162858296</v>
      </c>
      <c r="GF215" s="28">
        <v>43.130022837370298</v>
      </c>
      <c r="GG215" s="28">
        <v>914.17382286468796</v>
      </c>
      <c r="GH215" s="28">
        <v>97.497954909892997</v>
      </c>
      <c r="GI215" s="28">
        <v>213.292251403601</v>
      </c>
      <c r="GJ215" s="28">
        <v>46.639670013705597</v>
      </c>
      <c r="GK215" s="28">
        <v>232.87519799873999</v>
      </c>
      <c r="GL215" s="28">
        <v>63.971952592676203</v>
      </c>
      <c r="GM215" s="28">
        <v>207.68645847935801</v>
      </c>
      <c r="GN215" s="28">
        <v>1.5574491787337801</v>
      </c>
      <c r="GO215" s="28">
        <v>0</v>
      </c>
      <c r="GP215" s="28">
        <v>0</v>
      </c>
      <c r="GQ215" s="21">
        <v>9852.5805945467018</v>
      </c>
      <c r="GR215" s="21">
        <v>1611.6018992530537</v>
      </c>
      <c r="GS215" s="20">
        <v>1606.5746494930538</v>
      </c>
      <c r="GT215" s="20">
        <v>0</v>
      </c>
      <c r="GU215" s="20">
        <v>5.0272497600000001</v>
      </c>
      <c r="GV215" s="20">
        <v>5.0272497600000001</v>
      </c>
      <c r="GW215" s="20">
        <v>0</v>
      </c>
      <c r="GX215" s="21">
        <v>0</v>
      </c>
      <c r="GY215" s="20">
        <v>0</v>
      </c>
      <c r="GZ215" s="20">
        <v>0</v>
      </c>
      <c r="HA215" s="20"/>
      <c r="HB215" s="21">
        <v>174.26293004001201</v>
      </c>
      <c r="HC215" s="21">
        <v>11638.445423839767</v>
      </c>
    </row>
    <row r="216" spans="1:211" s="7" customFormat="1" ht="17.25" customHeight="1">
      <c r="A216" s="7">
        <f t="shared" si="11"/>
        <v>216</v>
      </c>
      <c r="B216" s="26" t="s">
        <v>689</v>
      </c>
      <c r="C216" s="10" t="s">
        <v>690</v>
      </c>
      <c r="D216" s="28">
        <v>0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  <c r="EU216" s="28">
        <v>0</v>
      </c>
      <c r="EV216" s="28">
        <v>0</v>
      </c>
      <c r="EW216" s="28">
        <v>0</v>
      </c>
      <c r="EX216" s="28">
        <v>0</v>
      </c>
      <c r="EY216" s="28">
        <v>0</v>
      </c>
      <c r="EZ216" s="28">
        <v>0</v>
      </c>
      <c r="FA216" s="28">
        <v>0</v>
      </c>
      <c r="FB216" s="28">
        <v>0</v>
      </c>
      <c r="FC216" s="28">
        <v>0</v>
      </c>
      <c r="FD216" s="28">
        <v>0</v>
      </c>
      <c r="FE216" s="28">
        <v>0</v>
      </c>
      <c r="FF216" s="28">
        <v>0</v>
      </c>
      <c r="FG216" s="28">
        <v>0</v>
      </c>
      <c r="FH216" s="28">
        <v>0</v>
      </c>
      <c r="FI216" s="28">
        <v>0</v>
      </c>
      <c r="FJ216" s="28">
        <v>0</v>
      </c>
      <c r="FK216" s="28">
        <v>0</v>
      </c>
      <c r="FL216" s="28">
        <v>0</v>
      </c>
      <c r="FM216" s="28">
        <v>0</v>
      </c>
      <c r="FN216" s="28">
        <v>0</v>
      </c>
      <c r="FO216" s="28">
        <v>0</v>
      </c>
      <c r="FP216" s="28">
        <v>0</v>
      </c>
      <c r="FQ216" s="28">
        <v>0</v>
      </c>
      <c r="FR216" s="28">
        <v>0</v>
      </c>
      <c r="FS216" s="28">
        <v>0</v>
      </c>
      <c r="FT216" s="28">
        <v>0</v>
      </c>
      <c r="FU216" s="28">
        <v>0</v>
      </c>
      <c r="FV216" s="28">
        <v>0</v>
      </c>
      <c r="FW216" s="28">
        <v>0</v>
      </c>
      <c r="FX216" s="28">
        <v>0</v>
      </c>
      <c r="FY216" s="28">
        <v>0</v>
      </c>
      <c r="FZ216" s="28">
        <v>0</v>
      </c>
      <c r="GA216" s="28">
        <v>0</v>
      </c>
      <c r="GB216" s="28">
        <v>0</v>
      </c>
      <c r="GC216" s="28">
        <v>0</v>
      </c>
      <c r="GD216" s="28">
        <v>0</v>
      </c>
      <c r="GE216" s="28">
        <v>0</v>
      </c>
      <c r="GF216" s="28">
        <v>0</v>
      </c>
      <c r="GG216" s="28">
        <v>0</v>
      </c>
      <c r="GH216" s="28">
        <v>0</v>
      </c>
      <c r="GI216" s="28">
        <v>0</v>
      </c>
      <c r="GJ216" s="28">
        <v>0</v>
      </c>
      <c r="GK216" s="28">
        <v>0</v>
      </c>
      <c r="GL216" s="28">
        <v>0</v>
      </c>
      <c r="GM216" s="28">
        <v>0</v>
      </c>
      <c r="GN216" s="28">
        <v>0</v>
      </c>
      <c r="GO216" s="28">
        <v>0</v>
      </c>
      <c r="GP216" s="28">
        <v>0</v>
      </c>
      <c r="GQ216" s="21">
        <v>0</v>
      </c>
      <c r="GR216" s="21">
        <v>0</v>
      </c>
      <c r="GS216" s="20">
        <v>0</v>
      </c>
      <c r="GT216" s="20">
        <v>0</v>
      </c>
      <c r="GU216" s="20">
        <v>0</v>
      </c>
      <c r="GV216" s="20">
        <v>0</v>
      </c>
      <c r="GW216" s="20">
        <v>0</v>
      </c>
      <c r="GX216" s="21">
        <v>2112.6771939145901</v>
      </c>
      <c r="GY216" s="20">
        <v>2112.6771939145901</v>
      </c>
      <c r="GZ216" s="20">
        <v>0</v>
      </c>
      <c r="HA216" s="20"/>
      <c r="HB216" s="21">
        <v>0</v>
      </c>
      <c r="HC216" s="21">
        <v>2112.6771939145901</v>
      </c>
    </row>
    <row r="217" spans="1:211" s="7" customFormat="1" ht="17.25" customHeight="1">
      <c r="A217" s="7">
        <f t="shared" si="11"/>
        <v>217</v>
      </c>
      <c r="B217" s="26" t="s">
        <v>691</v>
      </c>
      <c r="C217" s="10" t="s">
        <v>692</v>
      </c>
      <c r="D217" s="28">
        <v>0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0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0</v>
      </c>
      <c r="BM217" s="28">
        <v>0</v>
      </c>
      <c r="BN217" s="28">
        <v>0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0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0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0</v>
      </c>
      <c r="CY217" s="28">
        <v>0</v>
      </c>
      <c r="CZ217" s="28">
        <v>0</v>
      </c>
      <c r="DA217" s="28">
        <v>0</v>
      </c>
      <c r="DB217" s="28">
        <v>0</v>
      </c>
      <c r="DC217" s="28">
        <v>0</v>
      </c>
      <c r="DD217" s="28">
        <v>0</v>
      </c>
      <c r="DE217" s="28">
        <v>0</v>
      </c>
      <c r="DF217" s="28">
        <v>0</v>
      </c>
      <c r="DG217" s="28">
        <v>0</v>
      </c>
      <c r="DH217" s="28">
        <v>0</v>
      </c>
      <c r="DI217" s="28">
        <v>0</v>
      </c>
      <c r="DJ217" s="28">
        <v>0</v>
      </c>
      <c r="DK217" s="28">
        <v>0</v>
      </c>
      <c r="DL217" s="28">
        <v>0</v>
      </c>
      <c r="DM217" s="28">
        <v>0</v>
      </c>
      <c r="DN217" s="28">
        <v>0</v>
      </c>
      <c r="DO217" s="28">
        <v>0</v>
      </c>
      <c r="DP217" s="28">
        <v>0</v>
      </c>
      <c r="DQ217" s="28">
        <v>0</v>
      </c>
      <c r="DR217" s="28">
        <v>0</v>
      </c>
      <c r="DS217" s="28">
        <v>0</v>
      </c>
      <c r="DT217" s="28">
        <v>0</v>
      </c>
      <c r="DU217" s="28">
        <v>0</v>
      </c>
      <c r="DV217" s="28">
        <v>0</v>
      </c>
      <c r="DW217" s="28">
        <v>0</v>
      </c>
      <c r="DX217" s="28">
        <v>0</v>
      </c>
      <c r="DY217" s="28">
        <v>0</v>
      </c>
      <c r="DZ217" s="28">
        <v>0</v>
      </c>
      <c r="EA217" s="28">
        <v>0</v>
      </c>
      <c r="EB217" s="28">
        <v>0</v>
      </c>
      <c r="EC217" s="28">
        <v>0</v>
      </c>
      <c r="ED217" s="28">
        <v>0</v>
      </c>
      <c r="EE217" s="28">
        <v>0</v>
      </c>
      <c r="EF217" s="28">
        <v>0</v>
      </c>
      <c r="EG217" s="28">
        <v>0</v>
      </c>
      <c r="EH217" s="28">
        <v>0</v>
      </c>
      <c r="EI217" s="28">
        <v>0</v>
      </c>
      <c r="EJ217" s="28">
        <v>0</v>
      </c>
      <c r="EK217" s="28">
        <v>0</v>
      </c>
      <c r="EL217" s="28">
        <v>0</v>
      </c>
      <c r="EM217" s="28">
        <v>0</v>
      </c>
      <c r="EN217" s="28">
        <v>0</v>
      </c>
      <c r="EO217" s="28">
        <v>0</v>
      </c>
      <c r="EP217" s="28">
        <v>0</v>
      </c>
      <c r="EQ217" s="28">
        <v>0</v>
      </c>
      <c r="ER217" s="28">
        <v>0</v>
      </c>
      <c r="ES217" s="28">
        <v>0</v>
      </c>
      <c r="ET217" s="28">
        <v>0</v>
      </c>
      <c r="EU217" s="28">
        <v>0</v>
      </c>
      <c r="EV217" s="28">
        <v>0</v>
      </c>
      <c r="EW217" s="28">
        <v>0</v>
      </c>
      <c r="EX217" s="28">
        <v>0</v>
      </c>
      <c r="EY217" s="28">
        <v>0</v>
      </c>
      <c r="EZ217" s="28">
        <v>0</v>
      </c>
      <c r="FA217" s="28">
        <v>0</v>
      </c>
      <c r="FB217" s="28">
        <v>0</v>
      </c>
      <c r="FC217" s="28">
        <v>0</v>
      </c>
      <c r="FD217" s="28">
        <v>0</v>
      </c>
      <c r="FE217" s="28">
        <v>0</v>
      </c>
      <c r="FF217" s="28">
        <v>0</v>
      </c>
      <c r="FG217" s="28">
        <v>0</v>
      </c>
      <c r="FH217" s="28">
        <v>0</v>
      </c>
      <c r="FI217" s="28">
        <v>0</v>
      </c>
      <c r="FJ217" s="28">
        <v>0</v>
      </c>
      <c r="FK217" s="28">
        <v>0</v>
      </c>
      <c r="FL217" s="28">
        <v>0</v>
      </c>
      <c r="FM217" s="28">
        <v>0</v>
      </c>
      <c r="FN217" s="28">
        <v>0</v>
      </c>
      <c r="FO217" s="28">
        <v>0</v>
      </c>
      <c r="FP217" s="28">
        <v>0</v>
      </c>
      <c r="FQ217" s="28">
        <v>0</v>
      </c>
      <c r="FR217" s="28">
        <v>0</v>
      </c>
      <c r="FS217" s="28">
        <v>0</v>
      </c>
      <c r="FT217" s="28">
        <v>0</v>
      </c>
      <c r="FU217" s="28">
        <v>0</v>
      </c>
      <c r="FV217" s="28">
        <v>0</v>
      </c>
      <c r="FW217" s="28">
        <v>0</v>
      </c>
      <c r="FX217" s="28">
        <v>0</v>
      </c>
      <c r="FY217" s="28">
        <v>0</v>
      </c>
      <c r="FZ217" s="28">
        <v>0</v>
      </c>
      <c r="GA217" s="28">
        <v>0</v>
      </c>
      <c r="GB217" s="28">
        <v>0</v>
      </c>
      <c r="GC217" s="28">
        <v>0</v>
      </c>
      <c r="GD217" s="28">
        <v>0</v>
      </c>
      <c r="GE217" s="28">
        <v>0</v>
      </c>
      <c r="GF217" s="28">
        <v>0</v>
      </c>
      <c r="GG217" s="28">
        <v>0</v>
      </c>
      <c r="GH217" s="28">
        <v>0</v>
      </c>
      <c r="GI217" s="28">
        <v>0</v>
      </c>
      <c r="GJ217" s="28">
        <v>0</v>
      </c>
      <c r="GK217" s="28">
        <v>0</v>
      </c>
      <c r="GL217" s="28">
        <v>0</v>
      </c>
      <c r="GM217" s="28">
        <v>0</v>
      </c>
      <c r="GN217" s="28">
        <v>0</v>
      </c>
      <c r="GO217" s="28">
        <v>0</v>
      </c>
      <c r="GP217" s="28">
        <v>0</v>
      </c>
      <c r="GQ217" s="21">
        <v>0</v>
      </c>
      <c r="GR217" s="21">
        <v>0</v>
      </c>
      <c r="GS217" s="20">
        <v>0</v>
      </c>
      <c r="GT217" s="20">
        <v>0</v>
      </c>
      <c r="GU217" s="20">
        <v>0</v>
      </c>
      <c r="GV217" s="20">
        <v>0</v>
      </c>
      <c r="GW217" s="20">
        <v>0</v>
      </c>
      <c r="GX217" s="21">
        <v>59.91</v>
      </c>
      <c r="GY217" s="20">
        <v>59.91</v>
      </c>
      <c r="GZ217" s="20">
        <v>0</v>
      </c>
      <c r="HA217" s="20"/>
      <c r="HB217" s="21">
        <v>0</v>
      </c>
      <c r="HC217" s="21">
        <v>59.91</v>
      </c>
    </row>
    <row r="218" spans="1:211" s="7" customFormat="1" ht="17.25" customHeight="1">
      <c r="A218" s="7">
        <f t="shared" si="11"/>
        <v>218</v>
      </c>
      <c r="B218" s="26" t="s">
        <v>693</v>
      </c>
      <c r="C218" s="10" t="s">
        <v>694</v>
      </c>
      <c r="D218" s="28">
        <v>0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  <c r="EU218" s="28">
        <v>0</v>
      </c>
      <c r="EV218" s="28">
        <v>0</v>
      </c>
      <c r="EW218" s="28">
        <v>0</v>
      </c>
      <c r="EX218" s="28">
        <v>253.41258069948199</v>
      </c>
      <c r="EY218" s="28">
        <v>0</v>
      </c>
      <c r="EZ218" s="28">
        <v>681.65798292224304</v>
      </c>
      <c r="FA218" s="28">
        <v>0</v>
      </c>
      <c r="FB218" s="28">
        <v>0</v>
      </c>
      <c r="FC218" s="28">
        <v>0</v>
      </c>
      <c r="FD218" s="28">
        <v>0</v>
      </c>
      <c r="FE218" s="28">
        <v>0</v>
      </c>
      <c r="FF218" s="28">
        <v>0</v>
      </c>
      <c r="FG218" s="28">
        <v>0</v>
      </c>
      <c r="FH218" s="28">
        <v>0</v>
      </c>
      <c r="FI218" s="28">
        <v>0</v>
      </c>
      <c r="FJ218" s="28">
        <v>0</v>
      </c>
      <c r="FK218" s="28">
        <v>0</v>
      </c>
      <c r="FL218" s="28">
        <v>0</v>
      </c>
      <c r="FM218" s="28">
        <v>0</v>
      </c>
      <c r="FN218" s="28">
        <v>0</v>
      </c>
      <c r="FO218" s="28">
        <v>0</v>
      </c>
      <c r="FP218" s="28">
        <v>0</v>
      </c>
      <c r="FQ218" s="28">
        <v>0</v>
      </c>
      <c r="FR218" s="28">
        <v>0</v>
      </c>
      <c r="FS218" s="28">
        <v>0</v>
      </c>
      <c r="FT218" s="28">
        <v>0</v>
      </c>
      <c r="FU218" s="28">
        <v>0</v>
      </c>
      <c r="FV218" s="28">
        <v>0</v>
      </c>
      <c r="FW218" s="28">
        <v>0</v>
      </c>
      <c r="FX218" s="28">
        <v>0</v>
      </c>
      <c r="FY218" s="28">
        <v>0</v>
      </c>
      <c r="FZ218" s="28">
        <v>0</v>
      </c>
      <c r="GA218" s="28">
        <v>0</v>
      </c>
      <c r="GB218" s="28">
        <v>0</v>
      </c>
      <c r="GC218" s="28">
        <v>0</v>
      </c>
      <c r="GD218" s="28">
        <v>0</v>
      </c>
      <c r="GE218" s="28">
        <v>0</v>
      </c>
      <c r="GF218" s="28">
        <v>0</v>
      </c>
      <c r="GG218" s="28">
        <v>0</v>
      </c>
      <c r="GH218" s="28">
        <v>0</v>
      </c>
      <c r="GI218" s="28">
        <v>0</v>
      </c>
      <c r="GJ218" s="28">
        <v>0</v>
      </c>
      <c r="GK218" s="28">
        <v>0</v>
      </c>
      <c r="GL218" s="28">
        <v>0</v>
      </c>
      <c r="GM218" s="28">
        <v>0</v>
      </c>
      <c r="GN218" s="28">
        <v>0</v>
      </c>
      <c r="GO218" s="28">
        <v>0</v>
      </c>
      <c r="GP218" s="28">
        <v>0</v>
      </c>
      <c r="GQ218" s="21">
        <v>934.54216362172394</v>
      </c>
      <c r="GR218" s="21">
        <v>0</v>
      </c>
      <c r="GS218" s="20">
        <v>0</v>
      </c>
      <c r="GT218" s="20">
        <v>0</v>
      </c>
      <c r="GU218" s="20">
        <v>0</v>
      </c>
      <c r="GV218" s="20">
        <v>0</v>
      </c>
      <c r="GW218" s="20">
        <v>0</v>
      </c>
      <c r="GX218" s="21">
        <v>0</v>
      </c>
      <c r="GY218" s="20">
        <v>0</v>
      </c>
      <c r="GZ218" s="20">
        <v>0</v>
      </c>
      <c r="HA218" s="20"/>
      <c r="HB218" s="21">
        <v>0</v>
      </c>
      <c r="HC218" s="21">
        <v>934.54216362172394</v>
      </c>
    </row>
    <row r="219" spans="1:211" s="7" customFormat="1" ht="17.25" customHeight="1">
      <c r="A219" s="7">
        <f t="shared" si="11"/>
        <v>219</v>
      </c>
      <c r="B219" s="26" t="s">
        <v>190</v>
      </c>
      <c r="C219" s="9" t="s">
        <v>695</v>
      </c>
      <c r="D219" s="28">
        <v>0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0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0</v>
      </c>
      <c r="DE219" s="28">
        <v>0</v>
      </c>
      <c r="DF219" s="28">
        <v>0</v>
      </c>
      <c r="DG219" s="28">
        <v>0</v>
      </c>
      <c r="DH219" s="28">
        <v>0</v>
      </c>
      <c r="DI219" s="28">
        <v>0</v>
      </c>
      <c r="DJ219" s="28">
        <v>0</v>
      </c>
      <c r="DK219" s="28">
        <v>0</v>
      </c>
      <c r="DL219" s="28">
        <v>0</v>
      </c>
      <c r="DM219" s="28">
        <v>0</v>
      </c>
      <c r="DN219" s="28">
        <v>0</v>
      </c>
      <c r="DO219" s="28">
        <v>0</v>
      </c>
      <c r="DP219" s="28">
        <v>0</v>
      </c>
      <c r="DQ219" s="28">
        <v>0</v>
      </c>
      <c r="DR219" s="28">
        <v>0</v>
      </c>
      <c r="DS219" s="28">
        <v>0</v>
      </c>
      <c r="DT219" s="28">
        <v>0</v>
      </c>
      <c r="DU219" s="28">
        <v>0</v>
      </c>
      <c r="DV219" s="28">
        <v>0</v>
      </c>
      <c r="DW219" s="28">
        <v>0</v>
      </c>
      <c r="DX219" s="28">
        <v>0</v>
      </c>
      <c r="DY219" s="28">
        <v>0</v>
      </c>
      <c r="DZ219" s="28">
        <v>0</v>
      </c>
      <c r="EA219" s="28">
        <v>0</v>
      </c>
      <c r="EB219" s="28">
        <v>0</v>
      </c>
      <c r="EC219" s="28">
        <v>0</v>
      </c>
      <c r="ED219" s="28">
        <v>0</v>
      </c>
      <c r="EE219" s="28">
        <v>0</v>
      </c>
      <c r="EF219" s="28">
        <v>0</v>
      </c>
      <c r="EG219" s="28">
        <v>0</v>
      </c>
      <c r="EH219" s="28">
        <v>0</v>
      </c>
      <c r="EI219" s="28">
        <v>0</v>
      </c>
      <c r="EJ219" s="28">
        <v>0</v>
      </c>
      <c r="EK219" s="28">
        <v>0</v>
      </c>
      <c r="EL219" s="28">
        <v>0</v>
      </c>
      <c r="EM219" s="28">
        <v>0</v>
      </c>
      <c r="EN219" s="28">
        <v>0</v>
      </c>
      <c r="EO219" s="28">
        <v>0</v>
      </c>
      <c r="EP219" s="28">
        <v>0</v>
      </c>
      <c r="EQ219" s="28">
        <v>0</v>
      </c>
      <c r="ER219" s="28">
        <v>0</v>
      </c>
      <c r="ES219" s="28">
        <v>0</v>
      </c>
      <c r="ET219" s="28">
        <v>0</v>
      </c>
      <c r="EU219" s="28">
        <v>0</v>
      </c>
      <c r="EV219" s="28">
        <v>0</v>
      </c>
      <c r="EW219" s="28">
        <v>0</v>
      </c>
      <c r="EX219" s="28">
        <v>0</v>
      </c>
      <c r="EY219" s="28">
        <v>0</v>
      </c>
      <c r="EZ219" s="28">
        <v>0</v>
      </c>
      <c r="FA219" s="28">
        <v>0</v>
      </c>
      <c r="FB219" s="28">
        <v>0</v>
      </c>
      <c r="FC219" s="28">
        <v>0</v>
      </c>
      <c r="FD219" s="28">
        <v>0</v>
      </c>
      <c r="FE219" s="28">
        <v>0</v>
      </c>
      <c r="FF219" s="28">
        <v>0</v>
      </c>
      <c r="FG219" s="28">
        <v>0</v>
      </c>
      <c r="FH219" s="28">
        <v>0</v>
      </c>
      <c r="FI219" s="28">
        <v>0</v>
      </c>
      <c r="FJ219" s="28">
        <v>0</v>
      </c>
      <c r="FK219" s="28">
        <v>0</v>
      </c>
      <c r="FL219" s="28">
        <v>0</v>
      </c>
      <c r="FM219" s="28">
        <v>0</v>
      </c>
      <c r="FN219" s="28">
        <v>0</v>
      </c>
      <c r="FO219" s="28">
        <v>0</v>
      </c>
      <c r="FP219" s="28">
        <v>0</v>
      </c>
      <c r="FQ219" s="28">
        <v>0</v>
      </c>
      <c r="FR219" s="28">
        <v>0</v>
      </c>
      <c r="FS219" s="28">
        <v>0</v>
      </c>
      <c r="FT219" s="28">
        <v>0</v>
      </c>
      <c r="FU219" s="28">
        <v>0</v>
      </c>
      <c r="FV219" s="28">
        <v>0</v>
      </c>
      <c r="FW219" s="28">
        <v>0</v>
      </c>
      <c r="FX219" s="28">
        <v>0</v>
      </c>
      <c r="FY219" s="28">
        <v>0</v>
      </c>
      <c r="FZ219" s="28">
        <v>0</v>
      </c>
      <c r="GA219" s="28">
        <v>0</v>
      </c>
      <c r="GB219" s="28">
        <v>0</v>
      </c>
      <c r="GC219" s="28">
        <v>0</v>
      </c>
      <c r="GD219" s="28">
        <v>0</v>
      </c>
      <c r="GE219" s="28">
        <v>0</v>
      </c>
      <c r="GF219" s="28">
        <v>0</v>
      </c>
      <c r="GG219" s="28">
        <v>0</v>
      </c>
      <c r="GH219" s="28">
        <v>0</v>
      </c>
      <c r="GI219" s="28">
        <v>0</v>
      </c>
      <c r="GJ219" s="28">
        <v>0</v>
      </c>
      <c r="GK219" s="28">
        <v>0</v>
      </c>
      <c r="GL219" s="28">
        <v>0</v>
      </c>
      <c r="GM219" s="28">
        <v>0</v>
      </c>
      <c r="GN219" s="28">
        <v>0</v>
      </c>
      <c r="GO219" s="28">
        <v>0</v>
      </c>
      <c r="GP219" s="28">
        <v>0</v>
      </c>
      <c r="GQ219" s="21">
        <v>0</v>
      </c>
      <c r="GR219" s="21">
        <v>21800.7031680205</v>
      </c>
      <c r="GS219" s="20">
        <v>2801.0794627555115</v>
      </c>
      <c r="GT219" s="20">
        <v>0</v>
      </c>
      <c r="GU219" s="20">
        <v>18999.623705264989</v>
      </c>
      <c r="GV219" s="20">
        <v>0</v>
      </c>
      <c r="GW219" s="20">
        <v>18999.623705264989</v>
      </c>
      <c r="GX219" s="21">
        <v>0</v>
      </c>
      <c r="GY219" s="20">
        <v>0</v>
      </c>
      <c r="GZ219" s="20">
        <v>0</v>
      </c>
      <c r="HA219" s="20"/>
      <c r="HB219" s="21">
        <v>0</v>
      </c>
      <c r="HC219" s="21">
        <v>21800.7031680205</v>
      </c>
    </row>
    <row r="220" spans="1:211" s="7" customFormat="1" ht="17.25" customHeight="1">
      <c r="A220" s="7">
        <f t="shared" si="11"/>
        <v>220</v>
      </c>
      <c r="B220" s="26" t="s">
        <v>191</v>
      </c>
      <c r="C220" s="10" t="s">
        <v>696</v>
      </c>
      <c r="D220" s="28">
        <v>0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0.74943536534358202</v>
      </c>
      <c r="AU220" s="28">
        <v>0</v>
      </c>
      <c r="AV220" s="28">
        <v>1.2866466414581801</v>
      </c>
      <c r="AW220" s="28">
        <v>15.291277537856001</v>
      </c>
      <c r="AX220" s="28">
        <v>3.8136527930189099</v>
      </c>
      <c r="AY220" s="28">
        <v>9.98607803667758E-2</v>
      </c>
      <c r="AZ220" s="28">
        <v>0.77183780534007496</v>
      </c>
      <c r="BA220" s="28">
        <v>3.1106077191610602E-2</v>
      </c>
      <c r="BB220" s="28">
        <v>0.123475967193789</v>
      </c>
      <c r="BC220" s="28">
        <v>4.4344360086117796</v>
      </c>
      <c r="BD220" s="28">
        <v>0</v>
      </c>
      <c r="BE220" s="28">
        <v>0</v>
      </c>
      <c r="BF220" s="28">
        <v>0</v>
      </c>
      <c r="BG220" s="28">
        <v>0</v>
      </c>
      <c r="BH220" s="28">
        <v>4.8355672567400196</v>
      </c>
      <c r="BI220" s="28">
        <v>5.81074962053756E-2</v>
      </c>
      <c r="BJ220" s="28">
        <v>0.862184684586221</v>
      </c>
      <c r="BK220" s="28">
        <v>0</v>
      </c>
      <c r="BL220" s="28">
        <v>0.21627658041665901</v>
      </c>
      <c r="BM220" s="28">
        <v>4.6626456039818902E-2</v>
      </c>
      <c r="BN220" s="28">
        <v>0.16006999710582001</v>
      </c>
      <c r="BO220" s="28">
        <v>0.35169899433943402</v>
      </c>
      <c r="BP220" s="28">
        <v>2.4656879139051198E-3</v>
      </c>
      <c r="BQ220" s="28">
        <v>0.30956554838227501</v>
      </c>
      <c r="BR220" s="28">
        <v>1.0167910932620899E-2</v>
      </c>
      <c r="BS220" s="28">
        <v>0</v>
      </c>
      <c r="BT220" s="28">
        <v>0</v>
      </c>
      <c r="BU220" s="28">
        <v>0.160368641170517</v>
      </c>
      <c r="BV220" s="28">
        <v>0.91597490120637004</v>
      </c>
      <c r="BW220" s="28">
        <v>0</v>
      </c>
      <c r="BX220" s="28">
        <v>0.122491627429757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0.66489503875653799</v>
      </c>
      <c r="CH220" s="28">
        <v>3.38612894788985E-2</v>
      </c>
      <c r="CI220" s="28">
        <v>0.64870089292526201</v>
      </c>
      <c r="CJ220" s="28">
        <v>0</v>
      </c>
      <c r="CK220" s="28">
        <v>0</v>
      </c>
      <c r="CL220" s="28">
        <v>5.77624282554552E-3</v>
      </c>
      <c r="CM220" s="28">
        <v>0.75277219948864904</v>
      </c>
      <c r="CN220" s="28">
        <v>0</v>
      </c>
      <c r="CO220" s="28">
        <v>0</v>
      </c>
      <c r="CP220" s="28">
        <v>7.0956587791442899E-2</v>
      </c>
      <c r="CQ220" s="28">
        <v>0</v>
      </c>
      <c r="CR220" s="28">
        <v>0.24984550490638199</v>
      </c>
      <c r="CS220" s="28">
        <v>3.5111492233123901E-3</v>
      </c>
      <c r="CT220" s="28">
        <v>0.44363901575548098</v>
      </c>
      <c r="CU220" s="28">
        <v>1.72488043297091E-2</v>
      </c>
      <c r="CV220" s="28">
        <v>1.3455066796469401E-2</v>
      </c>
      <c r="CW220" s="28">
        <v>0.28950347715837998</v>
      </c>
      <c r="CX220" s="28">
        <v>4.3744671595783904E-3</v>
      </c>
      <c r="CY220" s="28">
        <v>0.40870698685005902</v>
      </c>
      <c r="CZ220" s="28">
        <v>0</v>
      </c>
      <c r="DA220" s="28">
        <v>2.6751409063172801E-2</v>
      </c>
      <c r="DB220" s="28">
        <v>8.3297622211270003E-2</v>
      </c>
      <c r="DC220" s="28">
        <v>0</v>
      </c>
      <c r="DD220" s="28">
        <v>0</v>
      </c>
      <c r="DE220" s="28">
        <v>0</v>
      </c>
      <c r="DF220" s="28">
        <v>1.00632374355136E-2</v>
      </c>
      <c r="DG220" s="28">
        <v>2.3166193724522901</v>
      </c>
      <c r="DH220" s="28">
        <v>1.4046775460605301</v>
      </c>
      <c r="DI220" s="28">
        <v>7.6475183882442704E-2</v>
      </c>
      <c r="DJ220" s="28">
        <v>0.332730131894314</v>
      </c>
      <c r="DK220" s="28">
        <v>2.0089368623687001E-2</v>
      </c>
      <c r="DL220" s="28">
        <v>0.351426096950883</v>
      </c>
      <c r="DM220" s="28">
        <v>0</v>
      </c>
      <c r="DN220" s="28">
        <v>2.55877703562622E-2</v>
      </c>
      <c r="DO220" s="28">
        <v>0.91515799734179704</v>
      </c>
      <c r="DP220" s="28">
        <v>0</v>
      </c>
      <c r="DQ220" s="28">
        <v>0.335143532218103</v>
      </c>
      <c r="DR220" s="28">
        <v>5.9041340239623699</v>
      </c>
      <c r="DS220" s="28">
        <v>0.82687423237319002</v>
      </c>
      <c r="DT220" s="28">
        <v>2.2027649716370001E-2</v>
      </c>
      <c r="DU220" s="28">
        <v>1.30950453126993</v>
      </c>
      <c r="DV220" s="28">
        <v>0.26120897959733103</v>
      </c>
      <c r="DW220" s="28">
        <v>0</v>
      </c>
      <c r="DX220" s="28">
        <v>0.51712591388755802</v>
      </c>
      <c r="DY220" s="28">
        <v>0.50583624645463499</v>
      </c>
      <c r="DZ220" s="28">
        <v>2.0273283755303</v>
      </c>
      <c r="EA220" s="28">
        <v>9.2147447656582403E-3</v>
      </c>
      <c r="EB220" s="28">
        <v>1.7336078388740399</v>
      </c>
      <c r="EC220" s="28">
        <v>0.30144123744679002</v>
      </c>
      <c r="ED220" s="28">
        <v>0.37667673761452802</v>
      </c>
      <c r="EE220" s="28">
        <v>4.9282149337986697E-3</v>
      </c>
      <c r="EF220" s="28">
        <v>3.8458025085660599</v>
      </c>
      <c r="EG220" s="28">
        <v>3.9529282224550398E-2</v>
      </c>
      <c r="EH220" s="28">
        <v>1.3649237564089501E-2</v>
      </c>
      <c r="EI220" s="28">
        <v>6.4010822886486898E-3</v>
      </c>
      <c r="EJ220" s="28">
        <v>6.7391098784531298E-2</v>
      </c>
      <c r="EK220" s="28">
        <v>0</v>
      </c>
      <c r="EL220" s="28">
        <v>0</v>
      </c>
      <c r="EM220" s="28">
        <v>0</v>
      </c>
      <c r="EN220" s="28">
        <v>0</v>
      </c>
      <c r="EO220" s="28">
        <v>0.20959814681095101</v>
      </c>
      <c r="EP220" s="28">
        <v>0</v>
      </c>
      <c r="EQ220" s="28">
        <v>1.15848315097007E-2</v>
      </c>
      <c r="ER220" s="28">
        <v>2.09212208177799E-2</v>
      </c>
      <c r="ES220" s="28">
        <v>2.65502386580533</v>
      </c>
      <c r="ET220" s="28">
        <v>5.70068201892312E-2</v>
      </c>
      <c r="EU220" s="28">
        <v>0</v>
      </c>
      <c r="EV220" s="28">
        <v>0.33939356262625497</v>
      </c>
      <c r="EW220" s="28">
        <v>0</v>
      </c>
      <c r="EX220" s="28">
        <v>0</v>
      </c>
      <c r="EY220" s="28">
        <v>0</v>
      </c>
      <c r="EZ220" s="28">
        <v>0.81876199999999999</v>
      </c>
      <c r="FA220" s="28">
        <v>0.11477795373718799</v>
      </c>
      <c r="FB220" s="28">
        <v>6.7103527309867905E-2</v>
      </c>
      <c r="FC220" s="28">
        <v>1.1484464664259499</v>
      </c>
      <c r="FD220" s="28">
        <v>1.2836577568779299</v>
      </c>
      <c r="FE220" s="28">
        <v>0</v>
      </c>
      <c r="FF220" s="28">
        <v>0</v>
      </c>
      <c r="FG220" s="28">
        <v>0.30986004955451901</v>
      </c>
      <c r="FH220" s="28">
        <v>3.3724142366362397E-2</v>
      </c>
      <c r="FI220" s="28">
        <v>77.159771916587999</v>
      </c>
      <c r="FJ220" s="28">
        <v>0</v>
      </c>
      <c r="FK220" s="28">
        <v>0</v>
      </c>
      <c r="FL220" s="28">
        <v>0</v>
      </c>
      <c r="FM220" s="28">
        <v>0</v>
      </c>
      <c r="FN220" s="28">
        <v>2.5309589346734702</v>
      </c>
      <c r="FO220" s="28">
        <v>3.2076724903461001E-2</v>
      </c>
      <c r="FP220" s="28">
        <v>0</v>
      </c>
      <c r="FQ220" s="28">
        <v>1.1328555137024701</v>
      </c>
      <c r="FR220" s="28">
        <v>0</v>
      </c>
      <c r="FS220" s="28">
        <v>9.1358612109049204</v>
      </c>
      <c r="FT220" s="28">
        <v>35.654590630454798</v>
      </c>
      <c r="FU220" s="28">
        <v>0</v>
      </c>
      <c r="FV220" s="28">
        <v>11.020772209618301</v>
      </c>
      <c r="FW220" s="28">
        <v>0.15264420000000001</v>
      </c>
      <c r="FX220" s="28">
        <v>18.3078669200295</v>
      </c>
      <c r="FY220" s="28">
        <v>4.8043376999999996</v>
      </c>
      <c r="FZ220" s="28">
        <v>0.61269103805515801</v>
      </c>
      <c r="GA220" s="28">
        <v>2.2825829214863898E-3</v>
      </c>
      <c r="GB220" s="28">
        <v>0.52498950078440099</v>
      </c>
      <c r="GC220" s="28">
        <v>0.37697009068014398</v>
      </c>
      <c r="GD220" s="28">
        <v>2.3579495143515401</v>
      </c>
      <c r="GE220" s="28">
        <v>23.1018456488897</v>
      </c>
      <c r="GF220" s="28">
        <v>0.63817689798101396</v>
      </c>
      <c r="GG220" s="28">
        <v>11.646942281746</v>
      </c>
      <c r="GH220" s="28">
        <v>0</v>
      </c>
      <c r="GI220" s="28">
        <v>6.4089622922687699</v>
      </c>
      <c r="GJ220" s="28">
        <v>0</v>
      </c>
      <c r="GK220" s="28">
        <v>0.25962128030461301</v>
      </c>
      <c r="GL220" s="28">
        <v>0.97341770777699299</v>
      </c>
      <c r="GM220" s="28">
        <v>11.3884612461282</v>
      </c>
      <c r="GN220" s="28">
        <v>0</v>
      </c>
      <c r="GO220" s="28">
        <v>0</v>
      </c>
      <c r="GP220" s="28">
        <v>0</v>
      </c>
      <c r="GQ220" s="21">
        <v>287.22514907343395</v>
      </c>
      <c r="GR220" s="21">
        <v>3690.3662975981629</v>
      </c>
      <c r="GS220" s="20">
        <v>3690.3662975981629</v>
      </c>
      <c r="GT220" s="20">
        <v>0</v>
      </c>
      <c r="GU220" s="20">
        <v>0</v>
      </c>
      <c r="GV220" s="20">
        <v>0</v>
      </c>
      <c r="GW220" s="20">
        <v>0</v>
      </c>
      <c r="GX220" s="21">
        <v>0</v>
      </c>
      <c r="GY220" s="20">
        <v>0</v>
      </c>
      <c r="GZ220" s="20">
        <v>0</v>
      </c>
      <c r="HA220" s="20"/>
      <c r="HB220" s="21">
        <v>15.124009848970401</v>
      </c>
      <c r="HC220" s="21">
        <v>3992.7154565205669</v>
      </c>
    </row>
    <row r="221" spans="1:211" s="7" customFormat="1" ht="17.25" customHeight="1">
      <c r="A221" s="7">
        <f t="shared" si="11"/>
        <v>221</v>
      </c>
      <c r="B221" s="26" t="s">
        <v>192</v>
      </c>
      <c r="C221" s="10" t="s">
        <v>697</v>
      </c>
      <c r="D221" s="28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0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0</v>
      </c>
      <c r="BD221" s="28">
        <v>0</v>
      </c>
      <c r="BE221" s="28">
        <v>0</v>
      </c>
      <c r="BF221" s="28">
        <v>0</v>
      </c>
      <c r="BG221" s="28">
        <v>0</v>
      </c>
      <c r="BH221" s="28">
        <v>0</v>
      </c>
      <c r="BI221" s="28">
        <v>0</v>
      </c>
      <c r="BJ221" s="28">
        <v>0</v>
      </c>
      <c r="BK221" s="28">
        <v>0</v>
      </c>
      <c r="BL221" s="28">
        <v>0</v>
      </c>
      <c r="BM221" s="28">
        <v>0</v>
      </c>
      <c r="BN221" s="28">
        <v>0</v>
      </c>
      <c r="BO221" s="28">
        <v>0</v>
      </c>
      <c r="BP221" s="28">
        <v>0</v>
      </c>
      <c r="BQ221" s="28">
        <v>0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0</v>
      </c>
      <c r="CF221" s="28">
        <v>0</v>
      </c>
      <c r="CG221" s="28">
        <v>0</v>
      </c>
      <c r="CH221" s="28">
        <v>0</v>
      </c>
      <c r="CI221" s="28">
        <v>0</v>
      </c>
      <c r="CJ221" s="28">
        <v>0</v>
      </c>
      <c r="CK221" s="28">
        <v>0</v>
      </c>
      <c r="CL221" s="28">
        <v>0</v>
      </c>
      <c r="CM221" s="28">
        <v>0</v>
      </c>
      <c r="CN221" s="28">
        <v>0</v>
      </c>
      <c r="CO221" s="28">
        <v>0</v>
      </c>
      <c r="CP221" s="28">
        <v>0</v>
      </c>
      <c r="CQ221" s="28">
        <v>0</v>
      </c>
      <c r="CR221" s="28">
        <v>0</v>
      </c>
      <c r="CS221" s="28">
        <v>0</v>
      </c>
      <c r="CT221" s="28">
        <v>0</v>
      </c>
      <c r="CU221" s="28">
        <v>0</v>
      </c>
      <c r="CV221" s="28">
        <v>0</v>
      </c>
      <c r="CW221" s="28">
        <v>0</v>
      </c>
      <c r="CX221" s="28">
        <v>0</v>
      </c>
      <c r="CY221" s="28">
        <v>0</v>
      </c>
      <c r="CZ221" s="28">
        <v>0</v>
      </c>
      <c r="DA221" s="28">
        <v>0</v>
      </c>
      <c r="DB221" s="28">
        <v>0</v>
      </c>
      <c r="DC221" s="28">
        <v>0</v>
      </c>
      <c r="DD221" s="28">
        <v>0</v>
      </c>
      <c r="DE221" s="28">
        <v>0</v>
      </c>
      <c r="DF221" s="28">
        <v>0</v>
      </c>
      <c r="DG221" s="28">
        <v>0</v>
      </c>
      <c r="DH221" s="28">
        <v>0</v>
      </c>
      <c r="DI221" s="28">
        <v>0</v>
      </c>
      <c r="DJ221" s="28">
        <v>0</v>
      </c>
      <c r="DK221" s="28">
        <v>0</v>
      </c>
      <c r="DL221" s="28">
        <v>0</v>
      </c>
      <c r="DM221" s="28">
        <v>0</v>
      </c>
      <c r="DN221" s="28">
        <v>0</v>
      </c>
      <c r="DO221" s="28">
        <v>0</v>
      </c>
      <c r="DP221" s="28">
        <v>0</v>
      </c>
      <c r="DQ221" s="28">
        <v>0</v>
      </c>
      <c r="DR221" s="28">
        <v>0</v>
      </c>
      <c r="DS221" s="28">
        <v>0</v>
      </c>
      <c r="DT221" s="28">
        <v>0</v>
      </c>
      <c r="DU221" s="28">
        <v>0</v>
      </c>
      <c r="DV221" s="28">
        <v>0</v>
      </c>
      <c r="DW221" s="28">
        <v>0</v>
      </c>
      <c r="DX221" s="28">
        <v>0</v>
      </c>
      <c r="DY221" s="28">
        <v>0</v>
      </c>
      <c r="DZ221" s="28">
        <v>0</v>
      </c>
      <c r="EA221" s="28">
        <v>0</v>
      </c>
      <c r="EB221" s="28">
        <v>0</v>
      </c>
      <c r="EC221" s="28">
        <v>0</v>
      </c>
      <c r="ED221" s="28">
        <v>0</v>
      </c>
      <c r="EE221" s="28">
        <v>0</v>
      </c>
      <c r="EF221" s="28">
        <v>0</v>
      </c>
      <c r="EG221" s="28">
        <v>0</v>
      </c>
      <c r="EH221" s="28">
        <v>0</v>
      </c>
      <c r="EI221" s="28">
        <v>0</v>
      </c>
      <c r="EJ221" s="28">
        <v>0</v>
      </c>
      <c r="EK221" s="28">
        <v>0</v>
      </c>
      <c r="EL221" s="28">
        <v>0</v>
      </c>
      <c r="EM221" s="28">
        <v>0</v>
      </c>
      <c r="EN221" s="28">
        <v>0</v>
      </c>
      <c r="EO221" s="28">
        <v>0</v>
      </c>
      <c r="EP221" s="28">
        <v>0</v>
      </c>
      <c r="EQ221" s="28">
        <v>0</v>
      </c>
      <c r="ER221" s="28">
        <v>0</v>
      </c>
      <c r="ES221" s="28">
        <v>0</v>
      </c>
      <c r="ET221" s="28">
        <v>0</v>
      </c>
      <c r="EU221" s="28">
        <v>0</v>
      </c>
      <c r="EV221" s="28">
        <v>0</v>
      </c>
      <c r="EW221" s="28">
        <v>0</v>
      </c>
      <c r="EX221" s="28">
        <v>0</v>
      </c>
      <c r="EY221" s="28">
        <v>0</v>
      </c>
      <c r="EZ221" s="28">
        <v>0</v>
      </c>
      <c r="FA221" s="28">
        <v>0</v>
      </c>
      <c r="FB221" s="28">
        <v>0</v>
      </c>
      <c r="FC221" s="28">
        <v>0</v>
      </c>
      <c r="FD221" s="28">
        <v>0</v>
      </c>
      <c r="FE221" s="28">
        <v>0</v>
      </c>
      <c r="FF221" s="28">
        <v>0</v>
      </c>
      <c r="FG221" s="28">
        <v>0</v>
      </c>
      <c r="FH221" s="28">
        <v>0</v>
      </c>
      <c r="FI221" s="28">
        <v>0</v>
      </c>
      <c r="FJ221" s="28">
        <v>0</v>
      </c>
      <c r="FK221" s="28">
        <v>0</v>
      </c>
      <c r="FL221" s="28">
        <v>0</v>
      </c>
      <c r="FM221" s="28">
        <v>0</v>
      </c>
      <c r="FN221" s="28">
        <v>0</v>
      </c>
      <c r="FO221" s="28">
        <v>0</v>
      </c>
      <c r="FP221" s="28">
        <v>0</v>
      </c>
      <c r="FQ221" s="28">
        <v>0</v>
      </c>
      <c r="FR221" s="28">
        <v>0</v>
      </c>
      <c r="FS221" s="28">
        <v>0</v>
      </c>
      <c r="FT221" s="28">
        <v>0</v>
      </c>
      <c r="FU221" s="28">
        <v>0</v>
      </c>
      <c r="FV221" s="28">
        <v>0</v>
      </c>
      <c r="FW221" s="28">
        <v>0</v>
      </c>
      <c r="FX221" s="28">
        <v>0</v>
      </c>
      <c r="FY221" s="28">
        <v>0</v>
      </c>
      <c r="FZ221" s="28">
        <v>0</v>
      </c>
      <c r="GA221" s="28">
        <v>0</v>
      </c>
      <c r="GB221" s="28">
        <v>0</v>
      </c>
      <c r="GC221" s="28">
        <v>0</v>
      </c>
      <c r="GD221" s="28">
        <v>0</v>
      </c>
      <c r="GE221" s="28">
        <v>0</v>
      </c>
      <c r="GF221" s="28">
        <v>0</v>
      </c>
      <c r="GG221" s="28">
        <v>0</v>
      </c>
      <c r="GH221" s="28">
        <v>0</v>
      </c>
      <c r="GI221" s="28">
        <v>0</v>
      </c>
      <c r="GJ221" s="28">
        <v>0</v>
      </c>
      <c r="GK221" s="28">
        <v>0</v>
      </c>
      <c r="GL221" s="28">
        <v>0</v>
      </c>
      <c r="GM221" s="28">
        <v>0</v>
      </c>
      <c r="GN221" s="28">
        <v>0</v>
      </c>
      <c r="GO221" s="28">
        <v>0</v>
      </c>
      <c r="GP221" s="28">
        <v>0</v>
      </c>
      <c r="GQ221" s="21">
        <v>0</v>
      </c>
      <c r="GR221" s="21">
        <v>18679.4100738786</v>
      </c>
      <c r="GS221" s="20">
        <v>560.25854861652624</v>
      </c>
      <c r="GT221" s="20">
        <v>255.52624128120274</v>
      </c>
      <c r="GU221" s="20">
        <v>17863.625283980869</v>
      </c>
      <c r="GV221" s="20">
        <v>17863.625283980869</v>
      </c>
      <c r="GW221" s="20">
        <v>0</v>
      </c>
      <c r="GX221" s="21">
        <v>0</v>
      </c>
      <c r="GY221" s="20">
        <v>0</v>
      </c>
      <c r="GZ221" s="20">
        <v>0</v>
      </c>
      <c r="HA221" s="20"/>
      <c r="HB221" s="21">
        <v>0</v>
      </c>
      <c r="HC221" s="21">
        <v>18679.4100738786</v>
      </c>
    </row>
    <row r="222" spans="1:211" s="7" customFormat="1" ht="17.25" customHeight="1">
      <c r="A222" s="7">
        <f t="shared" si="11"/>
        <v>222</v>
      </c>
      <c r="B222" s="26" t="s">
        <v>193</v>
      </c>
      <c r="C222" s="10" t="s">
        <v>698</v>
      </c>
      <c r="D222" s="28">
        <v>0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7.7527483596783802E-3</v>
      </c>
      <c r="AU222" s="28">
        <v>0</v>
      </c>
      <c r="AV222" s="28">
        <v>1.7510601383396499E-2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0</v>
      </c>
      <c r="CT222" s="28">
        <v>0</v>
      </c>
      <c r="CU222" s="28">
        <v>0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0.27471742300209101</v>
      </c>
      <c r="DB222" s="28">
        <v>7.3900873596674996</v>
      </c>
      <c r="DC222" s="28">
        <v>0.32575397588999799</v>
      </c>
      <c r="DD222" s="28">
        <v>0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0</v>
      </c>
      <c r="DO222" s="28">
        <v>0</v>
      </c>
      <c r="DP222" s="28">
        <v>0</v>
      </c>
      <c r="DQ222" s="28">
        <v>0</v>
      </c>
      <c r="DR222" s="28">
        <v>0</v>
      </c>
      <c r="DS222" s="28">
        <v>0</v>
      </c>
      <c r="DT222" s="28">
        <v>0</v>
      </c>
      <c r="DU222" s="28">
        <v>0</v>
      </c>
      <c r="DV222" s="28">
        <v>0</v>
      </c>
      <c r="DW222" s="28">
        <v>0</v>
      </c>
      <c r="DX222" s="28">
        <v>1.34028380704678E-2</v>
      </c>
      <c r="DY222" s="28">
        <v>0</v>
      </c>
      <c r="DZ222" s="28">
        <v>0</v>
      </c>
      <c r="EA222" s="28">
        <v>0</v>
      </c>
      <c r="EB222" s="28">
        <v>0</v>
      </c>
      <c r="EC222" s="28">
        <v>0</v>
      </c>
      <c r="ED222" s="28">
        <v>0</v>
      </c>
      <c r="EE222" s="28">
        <v>6.3454852368121095E-2</v>
      </c>
      <c r="EF222" s="28">
        <v>0</v>
      </c>
      <c r="EG222" s="28">
        <v>0</v>
      </c>
      <c r="EH222" s="28">
        <v>0</v>
      </c>
      <c r="EI222" s="28">
        <v>0</v>
      </c>
      <c r="EJ222" s="28">
        <v>0</v>
      </c>
      <c r="EK222" s="28">
        <v>0</v>
      </c>
      <c r="EL222" s="28">
        <v>0</v>
      </c>
      <c r="EM222" s="28">
        <v>0</v>
      </c>
      <c r="EN222" s="28">
        <v>0</v>
      </c>
      <c r="EO222" s="28">
        <v>0</v>
      </c>
      <c r="EP222" s="28">
        <v>0</v>
      </c>
      <c r="EQ222" s="28">
        <v>0</v>
      </c>
      <c r="ER222" s="28">
        <v>0</v>
      </c>
      <c r="ES222" s="28">
        <v>0</v>
      </c>
      <c r="ET222" s="28">
        <v>0</v>
      </c>
      <c r="EU222" s="28">
        <v>0</v>
      </c>
      <c r="EV222" s="28">
        <v>0</v>
      </c>
      <c r="EW222" s="28">
        <v>0</v>
      </c>
      <c r="EX222" s="28">
        <v>1.1219957381822101E-2</v>
      </c>
      <c r="EY222" s="28">
        <v>3.89628856548987E-2</v>
      </c>
      <c r="EZ222" s="28">
        <v>1.68371910249453E-3</v>
      </c>
      <c r="FA222" s="28">
        <v>0.54706290043919603</v>
      </c>
      <c r="FB222" s="28">
        <v>0.24498527572311199</v>
      </c>
      <c r="FC222" s="28">
        <v>1.2458237279425599</v>
      </c>
      <c r="FD222" s="28">
        <v>0.41060487042142702</v>
      </c>
      <c r="FE222" s="28">
        <v>0</v>
      </c>
      <c r="FF222" s="28">
        <v>0</v>
      </c>
      <c r="FG222" s="28">
        <v>1.04344799678068</v>
      </c>
      <c r="FH222" s="28">
        <v>0.103007553002366</v>
      </c>
      <c r="FI222" s="28">
        <v>11.7316331614629</v>
      </c>
      <c r="FJ222" s="28">
        <v>0</v>
      </c>
      <c r="FK222" s="28">
        <v>0</v>
      </c>
      <c r="FL222" s="28">
        <v>0</v>
      </c>
      <c r="FM222" s="28">
        <v>7.1999999999999995E-2</v>
      </c>
      <c r="FN222" s="28">
        <v>1.5049882029417101</v>
      </c>
      <c r="FO222" s="28">
        <v>0</v>
      </c>
      <c r="FP222" s="28">
        <v>0</v>
      </c>
      <c r="FQ222" s="28">
        <v>2.9904362359199301</v>
      </c>
      <c r="FR222" s="28">
        <v>0</v>
      </c>
      <c r="FS222" s="28">
        <v>0</v>
      </c>
      <c r="FT222" s="28">
        <v>0.81772151204362098</v>
      </c>
      <c r="FU222" s="28">
        <v>8.1605778058605694</v>
      </c>
      <c r="FV222" s="28">
        <v>0</v>
      </c>
      <c r="FW222" s="28">
        <v>1.9199999999999998E-2</v>
      </c>
      <c r="FX222" s="28">
        <v>3.1199999999999999E-3</v>
      </c>
      <c r="FY222" s="28">
        <v>13.735190457030599</v>
      </c>
      <c r="FZ222" s="28">
        <v>0</v>
      </c>
      <c r="GA222" s="28">
        <v>3.97534501228611E-5</v>
      </c>
      <c r="GB222" s="28">
        <v>0.66121121088838597</v>
      </c>
      <c r="GC222" s="28">
        <v>0.47478444760305</v>
      </c>
      <c r="GD222" s="28">
        <v>0</v>
      </c>
      <c r="GE222" s="28">
        <v>0.25275253229266098</v>
      </c>
      <c r="GF222" s="28">
        <v>9.04657014325457</v>
      </c>
      <c r="GG222" s="28">
        <v>6.5848911193786801</v>
      </c>
      <c r="GH222" s="28">
        <v>0</v>
      </c>
      <c r="GI222" s="28">
        <v>0</v>
      </c>
      <c r="GJ222" s="28">
        <v>13.954352374391799</v>
      </c>
      <c r="GK222" s="28">
        <v>57.557923782360596</v>
      </c>
      <c r="GL222" s="28">
        <v>0</v>
      </c>
      <c r="GM222" s="28">
        <v>23.4136556129782</v>
      </c>
      <c r="GN222" s="28">
        <v>0</v>
      </c>
      <c r="GO222" s="28">
        <v>0</v>
      </c>
      <c r="GP222" s="28">
        <v>0</v>
      </c>
      <c r="GQ222" s="21">
        <v>162.72052703704722</v>
      </c>
      <c r="GR222" s="21">
        <v>4141.2666834515558</v>
      </c>
      <c r="GS222" s="20">
        <v>3760.6678063803697</v>
      </c>
      <c r="GT222" s="20">
        <v>0</v>
      </c>
      <c r="GU222" s="20">
        <v>380.598877071186</v>
      </c>
      <c r="GV222" s="20">
        <v>380.598877071186</v>
      </c>
      <c r="GW222" s="20">
        <v>0</v>
      </c>
      <c r="GX222" s="21">
        <v>0</v>
      </c>
      <c r="GY222" s="20">
        <v>0</v>
      </c>
      <c r="GZ222" s="20">
        <v>0</v>
      </c>
      <c r="HA222" s="20"/>
      <c r="HB222" s="21">
        <v>222.94535669971299</v>
      </c>
      <c r="HC222" s="21">
        <v>4526.9325671883153</v>
      </c>
    </row>
    <row r="223" spans="1:211" s="7" customFormat="1" ht="17.25" customHeight="1">
      <c r="A223" s="7">
        <f t="shared" si="11"/>
        <v>223</v>
      </c>
      <c r="B223" s="26" t="s">
        <v>194</v>
      </c>
      <c r="C223" s="9" t="s">
        <v>699</v>
      </c>
      <c r="D223" s="28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0</v>
      </c>
      <c r="BR223" s="28">
        <v>0</v>
      </c>
      <c r="BS223" s="28">
        <v>0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0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  <c r="CR223" s="28">
        <v>0</v>
      </c>
      <c r="CS223" s="28">
        <v>0</v>
      </c>
      <c r="CT223" s="28">
        <v>0</v>
      </c>
      <c r="CU223" s="28">
        <v>0</v>
      </c>
      <c r="CV223" s="28">
        <v>0</v>
      </c>
      <c r="CW223" s="28">
        <v>0</v>
      </c>
      <c r="CX223" s="28">
        <v>0</v>
      </c>
      <c r="CY223" s="28">
        <v>0</v>
      </c>
      <c r="CZ223" s="28">
        <v>0</v>
      </c>
      <c r="DA223" s="28">
        <v>0</v>
      </c>
      <c r="DB223" s="28">
        <v>0</v>
      </c>
      <c r="DC223" s="28">
        <v>0</v>
      </c>
      <c r="DD223" s="28">
        <v>0</v>
      </c>
      <c r="DE223" s="28">
        <v>0</v>
      </c>
      <c r="DF223" s="28">
        <v>0</v>
      </c>
      <c r="DG223" s="28">
        <v>0</v>
      </c>
      <c r="DH223" s="28">
        <v>0</v>
      </c>
      <c r="DI223" s="28">
        <v>0</v>
      </c>
      <c r="DJ223" s="28">
        <v>0</v>
      </c>
      <c r="DK223" s="28">
        <v>0</v>
      </c>
      <c r="DL223" s="28">
        <v>0</v>
      </c>
      <c r="DM223" s="28">
        <v>0</v>
      </c>
      <c r="DN223" s="28">
        <v>0</v>
      </c>
      <c r="DO223" s="28">
        <v>0</v>
      </c>
      <c r="DP223" s="28">
        <v>0</v>
      </c>
      <c r="DQ223" s="28">
        <v>0</v>
      </c>
      <c r="DR223" s="28">
        <v>0</v>
      </c>
      <c r="DS223" s="28">
        <v>0</v>
      </c>
      <c r="DT223" s="28">
        <v>0</v>
      </c>
      <c r="DU223" s="28">
        <v>0</v>
      </c>
      <c r="DV223" s="28">
        <v>0</v>
      </c>
      <c r="DW223" s="28">
        <v>0</v>
      </c>
      <c r="DX223" s="28">
        <v>0</v>
      </c>
      <c r="DY223" s="28">
        <v>0</v>
      </c>
      <c r="DZ223" s="28">
        <v>0</v>
      </c>
      <c r="EA223" s="28">
        <v>0</v>
      </c>
      <c r="EB223" s="28">
        <v>0</v>
      </c>
      <c r="EC223" s="28">
        <v>0</v>
      </c>
      <c r="ED223" s="28">
        <v>0</v>
      </c>
      <c r="EE223" s="28">
        <v>0</v>
      </c>
      <c r="EF223" s="28">
        <v>0</v>
      </c>
      <c r="EG223" s="28">
        <v>0</v>
      </c>
      <c r="EH223" s="28">
        <v>0</v>
      </c>
      <c r="EI223" s="28">
        <v>0</v>
      </c>
      <c r="EJ223" s="28">
        <v>0</v>
      </c>
      <c r="EK223" s="28">
        <v>0</v>
      </c>
      <c r="EL223" s="28">
        <v>0</v>
      </c>
      <c r="EM223" s="28">
        <v>0</v>
      </c>
      <c r="EN223" s="28">
        <v>0</v>
      </c>
      <c r="EO223" s="28">
        <v>0</v>
      </c>
      <c r="EP223" s="28">
        <v>0</v>
      </c>
      <c r="EQ223" s="28">
        <v>0</v>
      </c>
      <c r="ER223" s="28">
        <v>0</v>
      </c>
      <c r="ES223" s="28">
        <v>0</v>
      </c>
      <c r="ET223" s="28">
        <v>0</v>
      </c>
      <c r="EU223" s="28">
        <v>0</v>
      </c>
      <c r="EV223" s="28">
        <v>0</v>
      </c>
      <c r="EW223" s="28">
        <v>0</v>
      </c>
      <c r="EX223" s="28">
        <v>0</v>
      </c>
      <c r="EY223" s="28">
        <v>0</v>
      </c>
      <c r="EZ223" s="28">
        <v>0</v>
      </c>
      <c r="FA223" s="28">
        <v>0</v>
      </c>
      <c r="FB223" s="28">
        <v>0</v>
      </c>
      <c r="FC223" s="28">
        <v>0</v>
      </c>
      <c r="FD223" s="28">
        <v>0</v>
      </c>
      <c r="FE223" s="28">
        <v>0</v>
      </c>
      <c r="FF223" s="28">
        <v>0</v>
      </c>
      <c r="FG223" s="28">
        <v>0</v>
      </c>
      <c r="FH223" s="28">
        <v>0</v>
      </c>
      <c r="FI223" s="28">
        <v>0</v>
      </c>
      <c r="FJ223" s="28">
        <v>0</v>
      </c>
      <c r="FK223" s="28">
        <v>0</v>
      </c>
      <c r="FL223" s="28">
        <v>0</v>
      </c>
      <c r="FM223" s="28">
        <v>0</v>
      </c>
      <c r="FN223" s="28">
        <v>0</v>
      </c>
      <c r="FO223" s="28">
        <v>0</v>
      </c>
      <c r="FP223" s="28">
        <v>0</v>
      </c>
      <c r="FQ223" s="28">
        <v>0</v>
      </c>
      <c r="FR223" s="28">
        <v>0</v>
      </c>
      <c r="FS223" s="28">
        <v>0</v>
      </c>
      <c r="FT223" s="28">
        <v>0</v>
      </c>
      <c r="FU223" s="28">
        <v>0</v>
      </c>
      <c r="FV223" s="28">
        <v>0</v>
      </c>
      <c r="FW223" s="28">
        <v>0</v>
      </c>
      <c r="FX223" s="28">
        <v>0</v>
      </c>
      <c r="FY223" s="28">
        <v>0</v>
      </c>
      <c r="FZ223" s="28">
        <v>0</v>
      </c>
      <c r="GA223" s="28">
        <v>0</v>
      </c>
      <c r="GB223" s="28">
        <v>0</v>
      </c>
      <c r="GC223" s="28">
        <v>0</v>
      </c>
      <c r="GD223" s="28">
        <v>0</v>
      </c>
      <c r="GE223" s="28">
        <v>0</v>
      </c>
      <c r="GF223" s="28">
        <v>0</v>
      </c>
      <c r="GG223" s="28">
        <v>0</v>
      </c>
      <c r="GH223" s="28">
        <v>0</v>
      </c>
      <c r="GI223" s="28">
        <v>0</v>
      </c>
      <c r="GJ223" s="28">
        <v>0</v>
      </c>
      <c r="GK223" s="28">
        <v>0</v>
      </c>
      <c r="GL223" s="28">
        <v>0</v>
      </c>
      <c r="GM223" s="28">
        <v>0</v>
      </c>
      <c r="GN223" s="28">
        <v>0</v>
      </c>
      <c r="GO223" s="28">
        <v>0</v>
      </c>
      <c r="GP223" s="28">
        <v>0</v>
      </c>
      <c r="GQ223" s="21">
        <v>0</v>
      </c>
      <c r="GR223" s="21">
        <v>9590.9862731822795</v>
      </c>
      <c r="GS223" s="20">
        <v>331.5758192262274</v>
      </c>
      <c r="GT223" s="20">
        <v>247.44741292337255</v>
      </c>
      <c r="GU223" s="20">
        <v>9011.963041032679</v>
      </c>
      <c r="GV223" s="20">
        <v>9011.963041032679</v>
      </c>
      <c r="GW223" s="20">
        <v>0</v>
      </c>
      <c r="GX223" s="21">
        <v>0</v>
      </c>
      <c r="GY223" s="20">
        <v>0</v>
      </c>
      <c r="GZ223" s="20">
        <v>0</v>
      </c>
      <c r="HA223" s="20"/>
      <c r="HB223" s="21">
        <v>0</v>
      </c>
      <c r="HC223" s="21">
        <v>9590.9862731822795</v>
      </c>
    </row>
    <row r="224" spans="1:211" s="7" customFormat="1" ht="17.25" customHeight="1">
      <c r="A224" s="7">
        <f t="shared" si="11"/>
        <v>224</v>
      </c>
      <c r="B224" s="26" t="s">
        <v>198</v>
      </c>
      <c r="C224" s="10" t="s">
        <v>700</v>
      </c>
      <c r="D224" s="28">
        <v>0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0.105538667458882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10.502754438448299</v>
      </c>
      <c r="AU224" s="28">
        <v>1.5426905234950901</v>
      </c>
      <c r="AV224" s="28">
        <v>0.81977739763758595</v>
      </c>
      <c r="AW224" s="28">
        <v>0</v>
      </c>
      <c r="AX224" s="28">
        <v>0.4</v>
      </c>
      <c r="AY224" s="28">
        <v>2.7117575169997598E-3</v>
      </c>
      <c r="AZ224" s="28">
        <v>0.38603120487786602</v>
      </c>
      <c r="BA224" s="28">
        <v>0.52280222390671305</v>
      </c>
      <c r="BB224" s="28">
        <v>8.4447802254716597E-2</v>
      </c>
      <c r="BC224" s="28">
        <v>2.95403843807357</v>
      </c>
      <c r="BD224" s="28">
        <v>1.5354238106183899E-2</v>
      </c>
      <c r="BE224" s="28">
        <v>0</v>
      </c>
      <c r="BF224" s="28">
        <v>0</v>
      </c>
      <c r="BG224" s="28">
        <v>0</v>
      </c>
      <c r="BH224" s="28">
        <v>0.31063365401249998</v>
      </c>
      <c r="BI224" s="28">
        <v>5.3099260209426402E-2</v>
      </c>
      <c r="BJ224" s="28">
        <v>5.4733532839497397E-2</v>
      </c>
      <c r="BK224" s="28">
        <v>0</v>
      </c>
      <c r="BL224" s="28">
        <v>2.17969547778042E-2</v>
      </c>
      <c r="BM224" s="28">
        <v>3.9743964607745902E-2</v>
      </c>
      <c r="BN224" s="28">
        <v>3.7761940340006801E-2</v>
      </c>
      <c r="BO224" s="28">
        <v>6.9321674094586894E-2</v>
      </c>
      <c r="BP224" s="28">
        <v>3.9891715093996597E-4</v>
      </c>
      <c r="BQ224" s="28">
        <v>1.6575817655514701E-2</v>
      </c>
      <c r="BR224" s="28">
        <v>3.3338790392970101E-2</v>
      </c>
      <c r="BS224" s="28">
        <v>0</v>
      </c>
      <c r="BT224" s="28">
        <v>0</v>
      </c>
      <c r="BU224" s="28">
        <v>0.13549349303518499</v>
      </c>
      <c r="BV224" s="28">
        <v>3.3806561013485802E-2</v>
      </c>
      <c r="BW224" s="28">
        <v>0</v>
      </c>
      <c r="BX224" s="28">
        <v>0</v>
      </c>
      <c r="BY224" s="28">
        <v>0.53326110955009498</v>
      </c>
      <c r="BZ224" s="28">
        <v>0</v>
      </c>
      <c r="CA224" s="28">
        <v>0.112900464305026</v>
      </c>
      <c r="CB224" s="28">
        <v>1.0335175020222E-2</v>
      </c>
      <c r="CC224" s="28">
        <v>5.6652650336232603E-4</v>
      </c>
      <c r="CD224" s="28">
        <v>7.4431000388632098E-3</v>
      </c>
      <c r="CE224" s="28">
        <v>2.53084217163132E-3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0</v>
      </c>
      <c r="CL224" s="28">
        <v>0</v>
      </c>
      <c r="CM224" s="28">
        <v>0</v>
      </c>
      <c r="CN224" s="28">
        <v>0</v>
      </c>
      <c r="CO224" s="28">
        <v>0</v>
      </c>
      <c r="CP224" s="28">
        <v>2.2999999999999998</v>
      </c>
      <c r="CQ224" s="28">
        <v>0</v>
      </c>
      <c r="CR224" s="28">
        <v>0</v>
      </c>
      <c r="CS224" s="28">
        <v>3.8488182921391598E-2</v>
      </c>
      <c r="CT224" s="28">
        <v>4.8499752356168697</v>
      </c>
      <c r="CU224" s="28">
        <v>0</v>
      </c>
      <c r="CV224" s="28">
        <v>0</v>
      </c>
      <c r="CW224" s="28">
        <v>0.28620503408287601</v>
      </c>
      <c r="CX224" s="28">
        <v>0.804249909898615</v>
      </c>
      <c r="CY224" s="28">
        <v>3.3441578849982202E-2</v>
      </c>
      <c r="CZ224" s="28">
        <v>1.28966911140573E-2</v>
      </c>
      <c r="DA224" s="28">
        <v>0.23853473638931999</v>
      </c>
      <c r="DB224" s="28">
        <v>0</v>
      </c>
      <c r="DC224" s="28">
        <v>0</v>
      </c>
      <c r="DD224" s="28">
        <v>0</v>
      </c>
      <c r="DE224" s="28">
        <v>0</v>
      </c>
      <c r="DF224" s="28">
        <v>0.04</v>
      </c>
      <c r="DG224" s="28">
        <v>13.743440524108101</v>
      </c>
      <c r="DH224" s="28">
        <v>0.04</v>
      </c>
      <c r="DI224" s="28">
        <v>0.53492618842696504</v>
      </c>
      <c r="DJ224" s="28">
        <v>0.12570262157551501</v>
      </c>
      <c r="DK224" s="28">
        <v>0.22909984106489001</v>
      </c>
      <c r="DL224" s="28">
        <v>1.4246303707174</v>
      </c>
      <c r="DM224" s="28">
        <v>0.73875884507564304</v>
      </c>
      <c r="DN224" s="28">
        <v>2.2586938314734502</v>
      </c>
      <c r="DO224" s="28">
        <v>1</v>
      </c>
      <c r="DP224" s="28">
        <v>0</v>
      </c>
      <c r="DQ224" s="28">
        <v>1.0936466670664899</v>
      </c>
      <c r="DR224" s="28">
        <v>1.1704701601073999</v>
      </c>
      <c r="DS224" s="28">
        <v>1.8680708089707001</v>
      </c>
      <c r="DT224" s="28">
        <v>0.31805812435841901</v>
      </c>
      <c r="DU224" s="28">
        <v>11.28</v>
      </c>
      <c r="DV224" s="28">
        <v>1.77254956138612</v>
      </c>
      <c r="DW224" s="28">
        <v>0</v>
      </c>
      <c r="DX224" s="28">
        <v>2.1915276630429901</v>
      </c>
      <c r="DY224" s="28">
        <v>0</v>
      </c>
      <c r="DZ224" s="28">
        <v>0</v>
      </c>
      <c r="EA224" s="28">
        <v>0</v>
      </c>
      <c r="EB224" s="28">
        <v>0</v>
      </c>
      <c r="EC224" s="28">
        <v>0</v>
      </c>
      <c r="ED224" s="28">
        <v>5.3431109653518103</v>
      </c>
      <c r="EE224" s="28">
        <v>3.1967304773096398E-3</v>
      </c>
      <c r="EF224" s="28">
        <v>0.29841341512042602</v>
      </c>
      <c r="EG224" s="28">
        <v>2.33165259492982E-2</v>
      </c>
      <c r="EH224" s="28">
        <v>8.0510645258712096E-3</v>
      </c>
      <c r="EI224" s="28">
        <v>3.8041281940320599E-3</v>
      </c>
      <c r="EJ224" s="28">
        <v>0.32090375084001699</v>
      </c>
      <c r="EK224" s="28">
        <v>0</v>
      </c>
      <c r="EL224" s="28">
        <v>0</v>
      </c>
      <c r="EM224" s="28">
        <v>0</v>
      </c>
      <c r="EN224" s="28">
        <v>0</v>
      </c>
      <c r="EO224" s="28">
        <v>0</v>
      </c>
      <c r="EP224" s="28">
        <v>0</v>
      </c>
      <c r="EQ224" s="28">
        <v>0</v>
      </c>
      <c r="ER224" s="28">
        <v>0</v>
      </c>
      <c r="ES224" s="28">
        <v>0</v>
      </c>
      <c r="ET224" s="28">
        <v>0</v>
      </c>
      <c r="EU224" s="28">
        <v>0</v>
      </c>
      <c r="EV224" s="28">
        <v>2.3521513000000001</v>
      </c>
      <c r="EW224" s="28">
        <v>0</v>
      </c>
      <c r="EX224" s="28">
        <v>0</v>
      </c>
      <c r="EY224" s="28">
        <v>0</v>
      </c>
      <c r="EZ224" s="28">
        <v>7.7999999999999996E-3</v>
      </c>
      <c r="FA224" s="28">
        <v>0</v>
      </c>
      <c r="FB224" s="28">
        <v>5.7165487080443299E-2</v>
      </c>
      <c r="FC224" s="28">
        <v>0.162008448381044</v>
      </c>
      <c r="FD224" s="28">
        <v>2.5412153796203998E-2</v>
      </c>
      <c r="FE224" s="28">
        <v>0</v>
      </c>
      <c r="FF224" s="28">
        <v>0</v>
      </c>
      <c r="FG224" s="28">
        <v>5.1004468717354402E-2</v>
      </c>
      <c r="FH224" s="28">
        <v>5.9736325155189699E-4</v>
      </c>
      <c r="FI224" s="28">
        <v>2.2470003261526399</v>
      </c>
      <c r="FJ224" s="28">
        <v>0.204637716095113</v>
      </c>
      <c r="FK224" s="28">
        <v>0</v>
      </c>
      <c r="FL224" s="28">
        <v>0</v>
      </c>
      <c r="FM224" s="28">
        <v>0</v>
      </c>
      <c r="FN224" s="28">
        <v>0</v>
      </c>
      <c r="FO224" s="28">
        <v>5.41691339049152E-4</v>
      </c>
      <c r="FP224" s="28">
        <v>0.19543528708857899</v>
      </c>
      <c r="FQ224" s="28">
        <v>0.18071714454433799</v>
      </c>
      <c r="FR224" s="28">
        <v>0</v>
      </c>
      <c r="FS224" s="28">
        <v>2.2177082959101999</v>
      </c>
      <c r="FT224" s="28">
        <v>1.79603543591707</v>
      </c>
      <c r="FU224" s="28">
        <v>1.5323965704626501</v>
      </c>
      <c r="FV224" s="28">
        <v>0.23939857370498699</v>
      </c>
      <c r="FW224" s="28">
        <v>0</v>
      </c>
      <c r="FX224" s="28">
        <v>0</v>
      </c>
      <c r="FY224" s="28">
        <v>0</v>
      </c>
      <c r="FZ224" s="28">
        <v>0</v>
      </c>
      <c r="GA224" s="28">
        <v>3.9185479472600502E-4</v>
      </c>
      <c r="GB224" s="28">
        <v>8.4962101755903505E-2</v>
      </c>
      <c r="GC224" s="28">
        <v>6.1007260441293398E-2</v>
      </c>
      <c r="GD224" s="28">
        <v>0.27211114510029499</v>
      </c>
      <c r="GE224" s="28">
        <v>3.4517964141969101E-2</v>
      </c>
      <c r="GF224" s="28">
        <v>0</v>
      </c>
      <c r="GG224" s="28">
        <v>485.86399999999998</v>
      </c>
      <c r="GH224" s="28">
        <v>2.5966373363693398</v>
      </c>
      <c r="GI224" s="28">
        <v>0</v>
      </c>
      <c r="GJ224" s="28">
        <v>2.6311131097896499</v>
      </c>
      <c r="GK224" s="28">
        <v>0</v>
      </c>
      <c r="GL224" s="28">
        <v>0</v>
      </c>
      <c r="GM224" s="28">
        <v>0</v>
      </c>
      <c r="GN224" s="28">
        <v>6.4094141770871194E-2</v>
      </c>
      <c r="GO224" s="28">
        <v>0</v>
      </c>
      <c r="GP224" s="28">
        <v>0</v>
      </c>
      <c r="GQ224" s="21">
        <v>576.08289680280598</v>
      </c>
      <c r="GR224" s="21">
        <v>197.76308329718472</v>
      </c>
      <c r="GS224" s="20">
        <v>197.76308329718472</v>
      </c>
      <c r="GT224" s="20">
        <v>0</v>
      </c>
      <c r="GU224" s="20">
        <v>0</v>
      </c>
      <c r="GV224" s="20">
        <v>0</v>
      </c>
      <c r="GW224" s="20">
        <v>0</v>
      </c>
      <c r="GX224" s="21">
        <v>0</v>
      </c>
      <c r="GY224" s="20">
        <v>0</v>
      </c>
      <c r="GZ224" s="20">
        <v>0</v>
      </c>
      <c r="HA224" s="20"/>
      <c r="HB224" s="21">
        <v>0</v>
      </c>
      <c r="HC224" s="21">
        <v>773.8459800999907</v>
      </c>
    </row>
    <row r="225" spans="1:211" s="7" customFormat="1" ht="17.25" customHeight="1">
      <c r="A225" s="7">
        <f t="shared" si="11"/>
        <v>225</v>
      </c>
      <c r="B225" s="26" t="s">
        <v>701</v>
      </c>
      <c r="C225" s="10" t="s">
        <v>702</v>
      </c>
      <c r="D225" s="28">
        <v>0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1.4673403769230599E-2</v>
      </c>
      <c r="AU225" s="28">
        <v>0</v>
      </c>
      <c r="AV225" s="28">
        <v>0.38147485967566802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0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  <c r="CR225" s="28">
        <v>0</v>
      </c>
      <c r="CS225" s="28">
        <v>0</v>
      </c>
      <c r="CT225" s="28">
        <v>0</v>
      </c>
      <c r="CU225" s="28">
        <v>0</v>
      </c>
      <c r="CV225" s="28">
        <v>0</v>
      </c>
      <c r="CW225" s="28">
        <v>0</v>
      </c>
      <c r="CX225" s="28">
        <v>0</v>
      </c>
      <c r="CY225" s="28">
        <v>0</v>
      </c>
      <c r="CZ225" s="28">
        <v>0</v>
      </c>
      <c r="DA225" s="28">
        <v>9.2791774460166399E-2</v>
      </c>
      <c r="DB225" s="28">
        <v>0.26748048400436403</v>
      </c>
      <c r="DC225" s="28">
        <v>0</v>
      </c>
      <c r="DD225" s="28">
        <v>0</v>
      </c>
      <c r="DE225" s="28">
        <v>0</v>
      </c>
      <c r="DF225" s="28">
        <v>0</v>
      </c>
      <c r="DG225" s="28">
        <v>0</v>
      </c>
      <c r="DH225" s="28">
        <v>0</v>
      </c>
      <c r="DI225" s="28">
        <v>0</v>
      </c>
      <c r="DJ225" s="28">
        <v>0</v>
      </c>
      <c r="DK225" s="28">
        <v>0</v>
      </c>
      <c r="DL225" s="28">
        <v>0</v>
      </c>
      <c r="DM225" s="28">
        <v>0</v>
      </c>
      <c r="DN225" s="28">
        <v>0</v>
      </c>
      <c r="DO225" s="28">
        <v>0</v>
      </c>
      <c r="DP225" s="28">
        <v>0</v>
      </c>
      <c r="DQ225" s="28">
        <v>0</v>
      </c>
      <c r="DR225" s="28">
        <v>0</v>
      </c>
      <c r="DS225" s="28">
        <v>0</v>
      </c>
      <c r="DT225" s="28">
        <v>0</v>
      </c>
      <c r="DU225" s="28">
        <v>0</v>
      </c>
      <c r="DV225" s="28">
        <v>0</v>
      </c>
      <c r="DW225" s="28">
        <v>0</v>
      </c>
      <c r="DX225" s="28">
        <v>0</v>
      </c>
      <c r="DY225" s="28">
        <v>0</v>
      </c>
      <c r="DZ225" s="28">
        <v>0</v>
      </c>
      <c r="EA225" s="28">
        <v>0</v>
      </c>
      <c r="EB225" s="28">
        <v>0</v>
      </c>
      <c r="EC225" s="28">
        <v>0</v>
      </c>
      <c r="ED225" s="28">
        <v>0</v>
      </c>
      <c r="EE225" s="28">
        <v>0</v>
      </c>
      <c r="EF225" s="28">
        <v>0</v>
      </c>
      <c r="EG225" s="28">
        <v>0</v>
      </c>
      <c r="EH225" s="28">
        <v>0</v>
      </c>
      <c r="EI225" s="28">
        <v>0</v>
      </c>
      <c r="EJ225" s="28">
        <v>0</v>
      </c>
      <c r="EK225" s="28">
        <v>0</v>
      </c>
      <c r="EL225" s="28">
        <v>0</v>
      </c>
      <c r="EM225" s="28">
        <v>0</v>
      </c>
      <c r="EN225" s="28">
        <v>0</v>
      </c>
      <c r="EO225" s="28">
        <v>0</v>
      </c>
      <c r="EP225" s="28">
        <v>0</v>
      </c>
      <c r="EQ225" s="28">
        <v>0</v>
      </c>
      <c r="ER225" s="28">
        <v>0</v>
      </c>
      <c r="ES225" s="28">
        <v>0</v>
      </c>
      <c r="ET225" s="28">
        <v>0</v>
      </c>
      <c r="EU225" s="28">
        <v>0</v>
      </c>
      <c r="EV225" s="28">
        <v>0</v>
      </c>
      <c r="EW225" s="28">
        <v>0</v>
      </c>
      <c r="EX225" s="28">
        <v>11.980924038476999</v>
      </c>
      <c r="EY225" s="28">
        <v>1.233994</v>
      </c>
      <c r="EZ225" s="28">
        <v>4.2932880000000004</v>
      </c>
      <c r="FA225" s="28">
        <v>1.03151079479053</v>
      </c>
      <c r="FB225" s="28">
        <v>2.6904914079435099E-2</v>
      </c>
      <c r="FC225" s="28">
        <v>0.117865991794759</v>
      </c>
      <c r="FD225" s="28">
        <v>5.1941917562225601</v>
      </c>
      <c r="FE225" s="28">
        <v>0</v>
      </c>
      <c r="FF225" s="28">
        <v>0</v>
      </c>
      <c r="FG225" s="28">
        <v>2.07915734701088</v>
      </c>
      <c r="FH225" s="28">
        <v>0.20243708079937101</v>
      </c>
      <c r="FI225" s="28">
        <v>79.591901416706804</v>
      </c>
      <c r="FJ225" s="28">
        <v>0</v>
      </c>
      <c r="FK225" s="28">
        <v>0</v>
      </c>
      <c r="FL225" s="28">
        <v>41.099244804341403</v>
      </c>
      <c r="FM225" s="28">
        <v>6.1710070385274003</v>
      </c>
      <c r="FN225" s="28">
        <v>5.1681849395892297E-4</v>
      </c>
      <c r="FO225" s="28">
        <v>9.0071914009954193E-2</v>
      </c>
      <c r="FP225" s="28">
        <v>2.4968398985389301E-2</v>
      </c>
      <c r="FQ225" s="28">
        <v>0.96145335091105699</v>
      </c>
      <c r="FR225" s="28">
        <v>0</v>
      </c>
      <c r="FS225" s="28">
        <v>1.26374302326332</v>
      </c>
      <c r="FT225" s="28">
        <v>5.0921281714412201</v>
      </c>
      <c r="FU225" s="28">
        <v>28.160924523596901</v>
      </c>
      <c r="FV225" s="28">
        <v>3.35621965292879</v>
      </c>
      <c r="FW225" s="28">
        <v>0</v>
      </c>
      <c r="FX225" s="28">
        <v>0</v>
      </c>
      <c r="FY225" s="28">
        <v>0</v>
      </c>
      <c r="FZ225" s="28">
        <v>0</v>
      </c>
      <c r="GA225" s="28">
        <v>2.39115179666932E-4</v>
      </c>
      <c r="GB225" s="28">
        <v>3.38976116776157</v>
      </c>
      <c r="GC225" s="28">
        <v>2.4340269146065898</v>
      </c>
      <c r="GD225" s="28">
        <v>2.4418694610849099</v>
      </c>
      <c r="GE225" s="28">
        <v>2.3488285999620202</v>
      </c>
      <c r="GF225" s="28">
        <v>1.5590284937094701</v>
      </c>
      <c r="GG225" s="28">
        <v>0</v>
      </c>
      <c r="GH225" s="28">
        <v>0.47391243114980203</v>
      </c>
      <c r="GI225" s="28">
        <v>10.1156055703772</v>
      </c>
      <c r="GJ225" s="28">
        <v>0.41725512665202302</v>
      </c>
      <c r="GK225" s="28">
        <v>5.0936416967196099</v>
      </c>
      <c r="GL225" s="28">
        <v>18.2306137200842</v>
      </c>
      <c r="GM225" s="28">
        <v>0</v>
      </c>
      <c r="GN225" s="28">
        <v>0</v>
      </c>
      <c r="GO225" s="28">
        <v>0</v>
      </c>
      <c r="GP225" s="28">
        <v>0</v>
      </c>
      <c r="GQ225" s="21">
        <v>239.2336558555773</v>
      </c>
      <c r="GR225" s="21">
        <v>2382.7598566859815</v>
      </c>
      <c r="GS225" s="20">
        <v>1155.4751985926548</v>
      </c>
      <c r="GT225" s="20">
        <v>1227.2846580933267</v>
      </c>
      <c r="GU225" s="20">
        <v>0</v>
      </c>
      <c r="GV225" s="20">
        <v>0</v>
      </c>
      <c r="GW225" s="20">
        <v>0</v>
      </c>
      <c r="GX225" s="21">
        <v>0</v>
      </c>
      <c r="GY225" s="20">
        <v>0</v>
      </c>
      <c r="GZ225" s="20">
        <v>0</v>
      </c>
      <c r="HA225" s="20"/>
      <c r="HB225" s="21">
        <v>0</v>
      </c>
      <c r="HC225" s="21">
        <v>2621.9935125415586</v>
      </c>
    </row>
    <row r="226" spans="1:211" s="7" customFormat="1" ht="17.25" customHeight="1">
      <c r="A226" s="7">
        <f t="shared" si="11"/>
        <v>226</v>
      </c>
      <c r="B226" s="26" t="s">
        <v>703</v>
      </c>
      <c r="C226" s="10" t="s">
        <v>704</v>
      </c>
      <c r="D226" s="28">
        <v>0</v>
      </c>
      <c r="E226" s="28">
        <v>0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 s="28">
        <v>0</v>
      </c>
      <c r="AR226" s="28">
        <v>0</v>
      </c>
      <c r="AS226" s="28">
        <v>0</v>
      </c>
      <c r="AT226" s="28">
        <v>0</v>
      </c>
      <c r="AU226" s="28">
        <v>0</v>
      </c>
      <c r="AV226" s="28">
        <v>0</v>
      </c>
      <c r="AW226" s="28">
        <v>0</v>
      </c>
      <c r="AX226" s="28">
        <v>0</v>
      </c>
      <c r="AY226" s="28">
        <v>0</v>
      </c>
      <c r="AZ226" s="28">
        <v>0</v>
      </c>
      <c r="BA226" s="28">
        <v>0</v>
      </c>
      <c r="BB226" s="28">
        <v>0</v>
      </c>
      <c r="BC226" s="28">
        <v>0</v>
      </c>
      <c r="BD226" s="28">
        <v>0</v>
      </c>
      <c r="BE226" s="28">
        <v>0</v>
      </c>
      <c r="BF226" s="28">
        <v>0</v>
      </c>
      <c r="BG226" s="28">
        <v>0</v>
      </c>
      <c r="BH226" s="28">
        <v>0</v>
      </c>
      <c r="BI226" s="28">
        <v>0</v>
      </c>
      <c r="BJ226" s="28">
        <v>0</v>
      </c>
      <c r="BK226" s="28">
        <v>0</v>
      </c>
      <c r="BL226" s="28">
        <v>0</v>
      </c>
      <c r="BM226" s="28">
        <v>0</v>
      </c>
      <c r="BN226" s="28">
        <v>0</v>
      </c>
      <c r="BO226" s="28">
        <v>0</v>
      </c>
      <c r="BP226" s="28">
        <v>0</v>
      </c>
      <c r="BQ226" s="28">
        <v>0</v>
      </c>
      <c r="BR226" s="28">
        <v>0</v>
      </c>
      <c r="BS226" s="28">
        <v>0</v>
      </c>
      <c r="BT226" s="28">
        <v>0</v>
      </c>
      <c r="BU226" s="28">
        <v>0</v>
      </c>
      <c r="BV226" s="28">
        <v>0</v>
      </c>
      <c r="BW226" s="28">
        <v>0</v>
      </c>
      <c r="BX226" s="28">
        <v>0</v>
      </c>
      <c r="BY226" s="28">
        <v>0</v>
      </c>
      <c r="BZ226" s="28">
        <v>0</v>
      </c>
      <c r="CA226" s="28">
        <v>0</v>
      </c>
      <c r="CB226" s="28">
        <v>0</v>
      </c>
      <c r="CC226" s="28">
        <v>0</v>
      </c>
      <c r="CD226" s="28">
        <v>0</v>
      </c>
      <c r="CE226" s="28">
        <v>0</v>
      </c>
      <c r="CF226" s="28">
        <v>0</v>
      </c>
      <c r="CG226" s="28">
        <v>0</v>
      </c>
      <c r="CH226" s="28">
        <v>0</v>
      </c>
      <c r="CI226" s="28">
        <v>0</v>
      </c>
      <c r="CJ226" s="28">
        <v>0</v>
      </c>
      <c r="CK226" s="28">
        <v>0</v>
      </c>
      <c r="CL226" s="28">
        <v>0</v>
      </c>
      <c r="CM226" s="28">
        <v>0</v>
      </c>
      <c r="CN226" s="28">
        <v>0</v>
      </c>
      <c r="CO226" s="28">
        <v>0</v>
      </c>
      <c r="CP226" s="28">
        <v>0</v>
      </c>
      <c r="CQ226" s="28">
        <v>0</v>
      </c>
      <c r="CR226" s="28">
        <v>0</v>
      </c>
      <c r="CS226" s="28">
        <v>0</v>
      </c>
      <c r="CT226" s="28">
        <v>0</v>
      </c>
      <c r="CU226" s="28">
        <v>0</v>
      </c>
      <c r="CV226" s="28">
        <v>0</v>
      </c>
      <c r="CW226" s="28">
        <v>0</v>
      </c>
      <c r="CX226" s="28">
        <v>0</v>
      </c>
      <c r="CY226" s="28">
        <v>0</v>
      </c>
      <c r="CZ226" s="28">
        <v>0</v>
      </c>
      <c r="DA226" s="28">
        <v>0</v>
      </c>
      <c r="DB226" s="28">
        <v>0</v>
      </c>
      <c r="DC226" s="28">
        <v>0</v>
      </c>
      <c r="DD226" s="28">
        <v>0</v>
      </c>
      <c r="DE226" s="28">
        <v>0</v>
      </c>
      <c r="DF226" s="28">
        <v>0</v>
      </c>
      <c r="DG226" s="28">
        <v>0</v>
      </c>
      <c r="DH226" s="28">
        <v>0</v>
      </c>
      <c r="DI226" s="28">
        <v>0</v>
      </c>
      <c r="DJ226" s="28">
        <v>0</v>
      </c>
      <c r="DK226" s="28">
        <v>0</v>
      </c>
      <c r="DL226" s="28">
        <v>0</v>
      </c>
      <c r="DM226" s="28">
        <v>0</v>
      </c>
      <c r="DN226" s="28">
        <v>0</v>
      </c>
      <c r="DO226" s="28">
        <v>0</v>
      </c>
      <c r="DP226" s="28">
        <v>0</v>
      </c>
      <c r="DQ226" s="28">
        <v>0</v>
      </c>
      <c r="DR226" s="28">
        <v>0</v>
      </c>
      <c r="DS226" s="28">
        <v>0</v>
      </c>
      <c r="DT226" s="28">
        <v>0</v>
      </c>
      <c r="DU226" s="28">
        <v>0</v>
      </c>
      <c r="DV226" s="28">
        <v>0</v>
      </c>
      <c r="DW226" s="28">
        <v>0</v>
      </c>
      <c r="DX226" s="28">
        <v>0</v>
      </c>
      <c r="DY226" s="28">
        <v>0</v>
      </c>
      <c r="DZ226" s="28">
        <v>0</v>
      </c>
      <c r="EA226" s="28">
        <v>0</v>
      </c>
      <c r="EB226" s="28">
        <v>0</v>
      </c>
      <c r="EC226" s="28">
        <v>0</v>
      </c>
      <c r="ED226" s="28">
        <v>0</v>
      </c>
      <c r="EE226" s="28">
        <v>0</v>
      </c>
      <c r="EF226" s="28">
        <v>0</v>
      </c>
      <c r="EG226" s="28">
        <v>0</v>
      </c>
      <c r="EH226" s="28">
        <v>0</v>
      </c>
      <c r="EI226" s="28">
        <v>0</v>
      </c>
      <c r="EJ226" s="28">
        <v>0</v>
      </c>
      <c r="EK226" s="28">
        <v>0</v>
      </c>
      <c r="EL226" s="28">
        <v>0</v>
      </c>
      <c r="EM226" s="28">
        <v>0</v>
      </c>
      <c r="EN226" s="28">
        <v>0</v>
      </c>
      <c r="EO226" s="28">
        <v>0</v>
      </c>
      <c r="EP226" s="28">
        <v>0</v>
      </c>
      <c r="EQ226" s="28">
        <v>0</v>
      </c>
      <c r="ER226" s="28">
        <v>0</v>
      </c>
      <c r="ES226" s="28">
        <v>0</v>
      </c>
      <c r="ET226" s="28">
        <v>0</v>
      </c>
      <c r="EU226" s="28">
        <v>0</v>
      </c>
      <c r="EV226" s="28">
        <v>0</v>
      </c>
      <c r="EW226" s="28">
        <v>0</v>
      </c>
      <c r="EX226" s="28">
        <v>0</v>
      </c>
      <c r="EY226" s="28">
        <v>0</v>
      </c>
      <c r="EZ226" s="28">
        <v>0</v>
      </c>
      <c r="FA226" s="28">
        <v>0</v>
      </c>
      <c r="FB226" s="28">
        <v>7.1595105303896706E-2</v>
      </c>
      <c r="FC226" s="28">
        <v>0</v>
      </c>
      <c r="FD226" s="28">
        <v>0</v>
      </c>
      <c r="FE226" s="28">
        <v>0</v>
      </c>
      <c r="FF226" s="28">
        <v>0</v>
      </c>
      <c r="FG226" s="28">
        <v>0</v>
      </c>
      <c r="FH226" s="28">
        <v>0</v>
      </c>
      <c r="FI226" s="28">
        <v>0</v>
      </c>
      <c r="FJ226" s="28">
        <v>0</v>
      </c>
      <c r="FK226" s="28">
        <v>0</v>
      </c>
      <c r="FL226" s="28">
        <v>0</v>
      </c>
      <c r="FM226" s="28">
        <v>0</v>
      </c>
      <c r="FN226" s="28">
        <v>0</v>
      </c>
      <c r="FO226" s="28">
        <v>0</v>
      </c>
      <c r="FP226" s="28">
        <v>0</v>
      </c>
      <c r="FQ226" s="28">
        <v>0</v>
      </c>
      <c r="FR226" s="28">
        <v>0</v>
      </c>
      <c r="FS226" s="28">
        <v>0</v>
      </c>
      <c r="FT226" s="28">
        <v>16.699029934510499</v>
      </c>
      <c r="FU226" s="28">
        <v>0</v>
      </c>
      <c r="FV226" s="28">
        <v>0</v>
      </c>
      <c r="FW226" s="28">
        <v>0</v>
      </c>
      <c r="FX226" s="28">
        <v>0</v>
      </c>
      <c r="FY226" s="28">
        <v>0</v>
      </c>
      <c r="FZ226" s="28">
        <v>0</v>
      </c>
      <c r="GA226" s="28">
        <v>0</v>
      </c>
      <c r="GB226" s="28">
        <v>0</v>
      </c>
      <c r="GC226" s="28">
        <v>0</v>
      </c>
      <c r="GD226" s="28">
        <v>0</v>
      </c>
      <c r="GE226" s="28">
        <v>0</v>
      </c>
      <c r="GF226" s="28">
        <v>0</v>
      </c>
      <c r="GG226" s="28">
        <v>1.47646402166</v>
      </c>
      <c r="GH226" s="28">
        <v>0</v>
      </c>
      <c r="GI226" s="28">
        <v>0</v>
      </c>
      <c r="GJ226" s="28">
        <v>0</v>
      </c>
      <c r="GK226" s="28">
        <v>0</v>
      </c>
      <c r="GL226" s="28">
        <v>0</v>
      </c>
      <c r="GM226" s="28">
        <v>0</v>
      </c>
      <c r="GN226" s="28">
        <v>0</v>
      </c>
      <c r="GO226" s="28">
        <v>0</v>
      </c>
      <c r="GP226" s="28">
        <v>0</v>
      </c>
      <c r="GQ226" s="21">
        <v>18.247089061474394</v>
      </c>
      <c r="GR226" s="21">
        <v>9074.6471577000957</v>
      </c>
      <c r="GS226" s="20">
        <v>8528.6682669992133</v>
      </c>
      <c r="GT226" s="20">
        <v>33.387874508915232</v>
      </c>
      <c r="GU226" s="20">
        <v>512.59101619196701</v>
      </c>
      <c r="GV226" s="20">
        <v>512.59101619196701</v>
      </c>
      <c r="GW226" s="20">
        <v>0</v>
      </c>
      <c r="GX226" s="21">
        <v>0</v>
      </c>
      <c r="GY226" s="20">
        <v>0</v>
      </c>
      <c r="GZ226" s="20">
        <v>0</v>
      </c>
      <c r="HA226" s="20"/>
      <c r="HB226" s="21">
        <v>3.4550000000000001</v>
      </c>
      <c r="HC226" s="21">
        <v>9096.3492467615706</v>
      </c>
    </row>
    <row r="227" spans="1:211" s="7" customFormat="1" ht="17.25" customHeight="1">
      <c r="A227" s="7">
        <f t="shared" si="11"/>
        <v>227</v>
      </c>
      <c r="B227" s="26" t="s">
        <v>705</v>
      </c>
      <c r="C227" s="9" t="s">
        <v>706</v>
      </c>
      <c r="D227" s="28">
        <v>0</v>
      </c>
      <c r="E227" s="28">
        <v>0</v>
      </c>
      <c r="F227" s="28">
        <v>0</v>
      </c>
      <c r="G227" s="28">
        <v>0</v>
      </c>
      <c r="H227" s="28">
        <v>0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 s="28">
        <v>1.64350485621841</v>
      </c>
      <c r="AR227" s="28">
        <v>0</v>
      </c>
      <c r="AS227" s="28">
        <v>0</v>
      </c>
      <c r="AT227" s="28">
        <v>55.584581529749798</v>
      </c>
      <c r="AU227" s="28">
        <v>0.24044153787278399</v>
      </c>
      <c r="AV227" s="28">
        <v>0</v>
      </c>
      <c r="AW227" s="28">
        <v>0</v>
      </c>
      <c r="AX227" s="28">
        <v>27.888087346983198</v>
      </c>
      <c r="AY227" s="28">
        <v>0</v>
      </c>
      <c r="AZ227" s="28">
        <v>0</v>
      </c>
      <c r="BA227" s="28">
        <v>0</v>
      </c>
      <c r="BB227" s="28">
        <v>0</v>
      </c>
      <c r="BC227" s="28">
        <v>0</v>
      </c>
      <c r="BD227" s="28">
        <v>0</v>
      </c>
      <c r="BE227" s="28">
        <v>0</v>
      </c>
      <c r="BF227" s="28">
        <v>0</v>
      </c>
      <c r="BG227" s="28">
        <v>0</v>
      </c>
      <c r="BH227" s="28">
        <v>0</v>
      </c>
      <c r="BI227" s="28">
        <v>0</v>
      </c>
      <c r="BJ227" s="28">
        <v>0</v>
      </c>
      <c r="BK227" s="28">
        <v>0</v>
      </c>
      <c r="BL227" s="28">
        <v>0</v>
      </c>
      <c r="BM227" s="28">
        <v>0</v>
      </c>
      <c r="BN227" s="28">
        <v>0</v>
      </c>
      <c r="BO227" s="28">
        <v>0</v>
      </c>
      <c r="BP227" s="28">
        <v>0</v>
      </c>
      <c r="BQ227" s="28">
        <v>0</v>
      </c>
      <c r="BR227" s="28">
        <v>0</v>
      </c>
      <c r="BS227" s="28">
        <v>0</v>
      </c>
      <c r="BT227" s="28">
        <v>0</v>
      </c>
      <c r="BU227" s="28">
        <v>0</v>
      </c>
      <c r="BV227" s="28">
        <v>0</v>
      </c>
      <c r="BW227" s="28">
        <v>0</v>
      </c>
      <c r="BX227" s="28">
        <v>0</v>
      </c>
      <c r="BY227" s="28">
        <v>0</v>
      </c>
      <c r="BZ227" s="28">
        <v>0</v>
      </c>
      <c r="CA227" s="28">
        <v>0</v>
      </c>
      <c r="CB227" s="28">
        <v>0</v>
      </c>
      <c r="CC227" s="28">
        <v>0</v>
      </c>
      <c r="CD227" s="28">
        <v>0</v>
      </c>
      <c r="CE227" s="28">
        <v>0</v>
      </c>
      <c r="CF227" s="28">
        <v>0</v>
      </c>
      <c r="CG227" s="28">
        <v>0</v>
      </c>
      <c r="CH227" s="28">
        <v>0</v>
      </c>
      <c r="CI227" s="28">
        <v>0</v>
      </c>
      <c r="CJ227" s="28">
        <v>0</v>
      </c>
      <c r="CK227" s="28">
        <v>0</v>
      </c>
      <c r="CL227" s="28">
        <v>0</v>
      </c>
      <c r="CM227" s="28">
        <v>0</v>
      </c>
      <c r="CN227" s="28">
        <v>0</v>
      </c>
      <c r="CO227" s="28">
        <v>0</v>
      </c>
      <c r="CP227" s="28">
        <v>0</v>
      </c>
      <c r="CQ227" s="28">
        <v>0</v>
      </c>
      <c r="CR227" s="28">
        <v>0</v>
      </c>
      <c r="CS227" s="28">
        <v>0</v>
      </c>
      <c r="CT227" s="28">
        <v>0</v>
      </c>
      <c r="CU227" s="28">
        <v>0</v>
      </c>
      <c r="CV227" s="28">
        <v>0</v>
      </c>
      <c r="CW227" s="28">
        <v>0</v>
      </c>
      <c r="CX227" s="28">
        <v>0</v>
      </c>
      <c r="CY227" s="28">
        <v>0</v>
      </c>
      <c r="CZ227" s="28">
        <v>0</v>
      </c>
      <c r="DA227" s="28">
        <v>0</v>
      </c>
      <c r="DB227" s="28">
        <v>0</v>
      </c>
      <c r="DC227" s="28">
        <v>0</v>
      </c>
      <c r="DD227" s="28">
        <v>0</v>
      </c>
      <c r="DE227" s="28">
        <v>0</v>
      </c>
      <c r="DF227" s="28">
        <v>0</v>
      </c>
      <c r="DG227" s="28">
        <v>0</v>
      </c>
      <c r="DH227" s="28">
        <v>0</v>
      </c>
      <c r="DI227" s="28">
        <v>0</v>
      </c>
      <c r="DJ227" s="28">
        <v>0</v>
      </c>
      <c r="DK227" s="28">
        <v>0</v>
      </c>
      <c r="DL227" s="28">
        <v>0</v>
      </c>
      <c r="DM227" s="28">
        <v>0</v>
      </c>
      <c r="DN227" s="28">
        <v>0</v>
      </c>
      <c r="DO227" s="28">
        <v>0</v>
      </c>
      <c r="DP227" s="28">
        <v>0</v>
      </c>
      <c r="DQ227" s="28">
        <v>0</v>
      </c>
      <c r="DR227" s="28">
        <v>0</v>
      </c>
      <c r="DS227" s="28">
        <v>0</v>
      </c>
      <c r="DT227" s="28">
        <v>0</v>
      </c>
      <c r="DU227" s="28">
        <v>0</v>
      </c>
      <c r="DV227" s="28">
        <v>0</v>
      </c>
      <c r="DW227" s="28">
        <v>0</v>
      </c>
      <c r="DX227" s="28">
        <v>0</v>
      </c>
      <c r="DY227" s="28">
        <v>0</v>
      </c>
      <c r="DZ227" s="28">
        <v>0</v>
      </c>
      <c r="EA227" s="28">
        <v>0</v>
      </c>
      <c r="EB227" s="28">
        <v>0</v>
      </c>
      <c r="EC227" s="28">
        <v>0</v>
      </c>
      <c r="ED227" s="28">
        <v>0</v>
      </c>
      <c r="EE227" s="28">
        <v>0</v>
      </c>
      <c r="EF227" s="28">
        <v>0</v>
      </c>
      <c r="EG227" s="28">
        <v>0</v>
      </c>
      <c r="EH227" s="28">
        <v>0</v>
      </c>
      <c r="EI227" s="28">
        <v>0</v>
      </c>
      <c r="EJ227" s="28">
        <v>0</v>
      </c>
      <c r="EK227" s="28">
        <v>0</v>
      </c>
      <c r="EL227" s="28">
        <v>0</v>
      </c>
      <c r="EM227" s="28">
        <v>0</v>
      </c>
      <c r="EN227" s="28">
        <v>0</v>
      </c>
      <c r="EO227" s="28">
        <v>0</v>
      </c>
      <c r="EP227" s="28">
        <v>0</v>
      </c>
      <c r="EQ227" s="28">
        <v>0</v>
      </c>
      <c r="ER227" s="28">
        <v>0</v>
      </c>
      <c r="ES227" s="28">
        <v>0</v>
      </c>
      <c r="ET227" s="28">
        <v>0</v>
      </c>
      <c r="EU227" s="28">
        <v>0</v>
      </c>
      <c r="EV227" s="28">
        <v>0</v>
      </c>
      <c r="EW227" s="28">
        <v>0</v>
      </c>
      <c r="EX227" s="28">
        <v>0</v>
      </c>
      <c r="EY227" s="28">
        <v>0</v>
      </c>
      <c r="EZ227" s="28">
        <v>0</v>
      </c>
      <c r="FA227" s="28">
        <v>0</v>
      </c>
      <c r="FB227" s="28">
        <v>0</v>
      </c>
      <c r="FC227" s="28">
        <v>0</v>
      </c>
      <c r="FD227" s="28">
        <v>0</v>
      </c>
      <c r="FE227" s="28">
        <v>0</v>
      </c>
      <c r="FF227" s="28">
        <v>0</v>
      </c>
      <c r="FG227" s="28">
        <v>1.8992056783467699</v>
      </c>
      <c r="FH227" s="28">
        <v>0</v>
      </c>
      <c r="FI227" s="28">
        <v>0</v>
      </c>
      <c r="FJ227" s="28">
        <v>0</v>
      </c>
      <c r="FK227" s="28">
        <v>0</v>
      </c>
      <c r="FL227" s="28">
        <v>0</v>
      </c>
      <c r="FM227" s="28">
        <v>0</v>
      </c>
      <c r="FN227" s="28">
        <v>0</v>
      </c>
      <c r="FO227" s="28">
        <v>0</v>
      </c>
      <c r="FP227" s="28">
        <v>0</v>
      </c>
      <c r="FQ227" s="28">
        <v>0</v>
      </c>
      <c r="FR227" s="28">
        <v>0</v>
      </c>
      <c r="FS227" s="28">
        <v>9.0908954771934791</v>
      </c>
      <c r="FT227" s="28">
        <v>36.810343262093703</v>
      </c>
      <c r="FU227" s="28">
        <v>0</v>
      </c>
      <c r="FV227" s="28">
        <v>0</v>
      </c>
      <c r="FW227" s="28">
        <v>1.14562538</v>
      </c>
      <c r="FX227" s="28">
        <v>33.4542172318856</v>
      </c>
      <c r="FY227" s="28">
        <v>0</v>
      </c>
      <c r="FZ227" s="28">
        <v>0</v>
      </c>
      <c r="GA227" s="28">
        <v>0</v>
      </c>
      <c r="GB227" s="28">
        <v>0</v>
      </c>
      <c r="GC227" s="28">
        <v>0</v>
      </c>
      <c r="GD227" s="28">
        <v>0</v>
      </c>
      <c r="GE227" s="28">
        <v>0.765996782518655</v>
      </c>
      <c r="GF227" s="28">
        <v>14.958653645571101</v>
      </c>
      <c r="GG227" s="28">
        <v>0</v>
      </c>
      <c r="GH227" s="28">
        <v>0</v>
      </c>
      <c r="GI227" s="28">
        <v>31.209714071745498</v>
      </c>
      <c r="GJ227" s="28">
        <v>33.216240107432697</v>
      </c>
      <c r="GK227" s="28">
        <v>40.167681433106601</v>
      </c>
      <c r="GL227" s="28">
        <v>0</v>
      </c>
      <c r="GM227" s="28">
        <v>0</v>
      </c>
      <c r="GN227" s="28">
        <v>0</v>
      </c>
      <c r="GO227" s="28">
        <v>8.1539234890753995</v>
      </c>
      <c r="GP227" s="28">
        <v>0</v>
      </c>
      <c r="GQ227" s="21">
        <v>296.22911182979379</v>
      </c>
      <c r="GR227" s="21">
        <v>1310.1417150776026</v>
      </c>
      <c r="GS227" s="20">
        <v>1310.1417150776026</v>
      </c>
      <c r="GT227" s="20">
        <v>0</v>
      </c>
      <c r="GU227" s="20">
        <v>0</v>
      </c>
      <c r="GV227" s="20">
        <v>0</v>
      </c>
      <c r="GW227" s="20">
        <v>0</v>
      </c>
      <c r="GX227" s="21">
        <v>0</v>
      </c>
      <c r="GY227" s="20">
        <v>0</v>
      </c>
      <c r="GZ227" s="20">
        <v>0</v>
      </c>
      <c r="HA227" s="20"/>
      <c r="HB227" s="21">
        <v>19.981840002751198</v>
      </c>
      <c r="HC227" s="21">
        <v>1626.3526669101475</v>
      </c>
    </row>
    <row r="228" spans="1:211" s="7" customFormat="1" ht="17.25" customHeight="1">
      <c r="A228" s="7">
        <f t="shared" si="11"/>
        <v>228</v>
      </c>
      <c r="B228" s="26" t="s">
        <v>707</v>
      </c>
      <c r="C228" s="10" t="s">
        <v>708</v>
      </c>
      <c r="D228" s="28">
        <v>0</v>
      </c>
      <c r="E228" s="28">
        <v>0</v>
      </c>
      <c r="F228" s="28">
        <v>0</v>
      </c>
      <c r="G228" s="28">
        <v>0</v>
      </c>
      <c r="H228" s="28">
        <v>0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0</v>
      </c>
      <c r="AG228" s="28">
        <v>0</v>
      </c>
      <c r="AH228" s="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 s="28">
        <v>0</v>
      </c>
      <c r="AR228" s="28">
        <v>0</v>
      </c>
      <c r="AS228" s="28">
        <v>0</v>
      </c>
      <c r="AT228" s="28">
        <v>0</v>
      </c>
      <c r="AU228" s="28">
        <v>0</v>
      </c>
      <c r="AV228" s="28">
        <v>0</v>
      </c>
      <c r="AW228" s="28">
        <v>0</v>
      </c>
      <c r="AX228" s="28">
        <v>0</v>
      </c>
      <c r="AY228" s="28">
        <v>0</v>
      </c>
      <c r="AZ228" s="28">
        <v>0</v>
      </c>
      <c r="BA228" s="28">
        <v>0</v>
      </c>
      <c r="BB228" s="28">
        <v>0</v>
      </c>
      <c r="BC228" s="28">
        <v>0</v>
      </c>
      <c r="BD228" s="28">
        <v>0</v>
      </c>
      <c r="BE228" s="28">
        <v>0</v>
      </c>
      <c r="BF228" s="28">
        <v>0</v>
      </c>
      <c r="BG228" s="28">
        <v>0</v>
      </c>
      <c r="BH228" s="28">
        <v>0</v>
      </c>
      <c r="BI228" s="28">
        <v>0</v>
      </c>
      <c r="BJ228" s="28">
        <v>0</v>
      </c>
      <c r="BK228" s="28">
        <v>0</v>
      </c>
      <c r="BL228" s="28">
        <v>0</v>
      </c>
      <c r="BM228" s="28">
        <v>0</v>
      </c>
      <c r="BN228" s="28">
        <v>0</v>
      </c>
      <c r="BO228" s="28">
        <v>0</v>
      </c>
      <c r="BP228" s="28">
        <v>0</v>
      </c>
      <c r="BQ228" s="28">
        <v>0</v>
      </c>
      <c r="BR228" s="28">
        <v>0</v>
      </c>
      <c r="BS228" s="28">
        <v>0</v>
      </c>
      <c r="BT228" s="28">
        <v>0</v>
      </c>
      <c r="BU228" s="28">
        <v>0</v>
      </c>
      <c r="BV228" s="28">
        <v>0</v>
      </c>
      <c r="BW228" s="28">
        <v>0</v>
      </c>
      <c r="BX228" s="28">
        <v>0</v>
      </c>
      <c r="BY228" s="28">
        <v>0</v>
      </c>
      <c r="BZ228" s="28">
        <v>0</v>
      </c>
      <c r="CA228" s="28">
        <v>0</v>
      </c>
      <c r="CB228" s="28">
        <v>0</v>
      </c>
      <c r="CC228" s="28">
        <v>0</v>
      </c>
      <c r="CD228" s="28">
        <v>0</v>
      </c>
      <c r="CE228" s="28">
        <v>0</v>
      </c>
      <c r="CF228" s="28">
        <v>0</v>
      </c>
      <c r="CG228" s="28">
        <v>0</v>
      </c>
      <c r="CH228" s="28">
        <v>0</v>
      </c>
      <c r="CI228" s="28">
        <v>0</v>
      </c>
      <c r="CJ228" s="28">
        <v>0</v>
      </c>
      <c r="CK228" s="28">
        <v>0</v>
      </c>
      <c r="CL228" s="28">
        <v>0</v>
      </c>
      <c r="CM228" s="28">
        <v>0</v>
      </c>
      <c r="CN228" s="28">
        <v>0</v>
      </c>
      <c r="CO228" s="28">
        <v>0</v>
      </c>
      <c r="CP228" s="28">
        <v>0</v>
      </c>
      <c r="CQ228" s="28">
        <v>0</v>
      </c>
      <c r="CR228" s="28">
        <v>0</v>
      </c>
      <c r="CS228" s="28">
        <v>0</v>
      </c>
      <c r="CT228" s="28">
        <v>0</v>
      </c>
      <c r="CU228" s="28">
        <v>0</v>
      </c>
      <c r="CV228" s="28">
        <v>0</v>
      </c>
      <c r="CW228" s="28">
        <v>0</v>
      </c>
      <c r="CX228" s="28">
        <v>0</v>
      </c>
      <c r="CY228" s="28">
        <v>0</v>
      </c>
      <c r="CZ228" s="28">
        <v>0</v>
      </c>
      <c r="DA228" s="28">
        <v>0</v>
      </c>
      <c r="DB228" s="28">
        <v>0</v>
      </c>
      <c r="DC228" s="28">
        <v>0</v>
      </c>
      <c r="DD228" s="28">
        <v>0</v>
      </c>
      <c r="DE228" s="28">
        <v>0</v>
      </c>
      <c r="DF228" s="28">
        <v>0</v>
      </c>
      <c r="DG228" s="28">
        <v>0</v>
      </c>
      <c r="DH228" s="28">
        <v>0</v>
      </c>
      <c r="DI228" s="28">
        <v>0</v>
      </c>
      <c r="DJ228" s="28">
        <v>0</v>
      </c>
      <c r="DK228" s="28">
        <v>0</v>
      </c>
      <c r="DL228" s="28">
        <v>0</v>
      </c>
      <c r="DM228" s="28">
        <v>0</v>
      </c>
      <c r="DN228" s="28">
        <v>0</v>
      </c>
      <c r="DO228" s="28">
        <v>0</v>
      </c>
      <c r="DP228" s="28">
        <v>0</v>
      </c>
      <c r="DQ228" s="28">
        <v>0</v>
      </c>
      <c r="DR228" s="28">
        <v>0</v>
      </c>
      <c r="DS228" s="28">
        <v>0</v>
      </c>
      <c r="DT228" s="28">
        <v>0</v>
      </c>
      <c r="DU228" s="28">
        <v>0</v>
      </c>
      <c r="DV228" s="28">
        <v>0</v>
      </c>
      <c r="DW228" s="28">
        <v>0</v>
      </c>
      <c r="DX228" s="28">
        <v>0</v>
      </c>
      <c r="DY228" s="28">
        <v>0</v>
      </c>
      <c r="DZ228" s="28">
        <v>0</v>
      </c>
      <c r="EA228" s="28">
        <v>0</v>
      </c>
      <c r="EB228" s="28">
        <v>0</v>
      </c>
      <c r="EC228" s="28">
        <v>0</v>
      </c>
      <c r="ED228" s="28">
        <v>0</v>
      </c>
      <c r="EE228" s="28">
        <v>0</v>
      </c>
      <c r="EF228" s="28">
        <v>0</v>
      </c>
      <c r="EG228" s="28">
        <v>0</v>
      </c>
      <c r="EH228" s="28">
        <v>0</v>
      </c>
      <c r="EI228" s="28">
        <v>0</v>
      </c>
      <c r="EJ228" s="28">
        <v>0</v>
      </c>
      <c r="EK228" s="28">
        <v>0</v>
      </c>
      <c r="EL228" s="28">
        <v>0</v>
      </c>
      <c r="EM228" s="28">
        <v>0</v>
      </c>
      <c r="EN228" s="28">
        <v>0</v>
      </c>
      <c r="EO228" s="28">
        <v>0</v>
      </c>
      <c r="EP228" s="28">
        <v>0</v>
      </c>
      <c r="EQ228" s="28">
        <v>0</v>
      </c>
      <c r="ER228" s="28">
        <v>0</v>
      </c>
      <c r="ES228" s="28">
        <v>0</v>
      </c>
      <c r="ET228" s="28">
        <v>0</v>
      </c>
      <c r="EU228" s="28">
        <v>0</v>
      </c>
      <c r="EV228" s="28">
        <v>0</v>
      </c>
      <c r="EW228" s="28">
        <v>0</v>
      </c>
      <c r="EX228" s="28">
        <v>0</v>
      </c>
      <c r="EY228" s="28">
        <v>0</v>
      </c>
      <c r="EZ228" s="28">
        <v>0</v>
      </c>
      <c r="FA228" s="28">
        <v>0</v>
      </c>
      <c r="FB228" s="28">
        <v>0</v>
      </c>
      <c r="FC228" s="28">
        <v>0</v>
      </c>
      <c r="FD228" s="28">
        <v>0</v>
      </c>
      <c r="FE228" s="28">
        <v>0</v>
      </c>
      <c r="FF228" s="28">
        <v>0</v>
      </c>
      <c r="FG228" s="28">
        <v>0</v>
      </c>
      <c r="FH228" s="28">
        <v>0</v>
      </c>
      <c r="FI228" s="28">
        <v>0</v>
      </c>
      <c r="FJ228" s="28">
        <v>0</v>
      </c>
      <c r="FK228" s="28">
        <v>0</v>
      </c>
      <c r="FL228" s="28">
        <v>0</v>
      </c>
      <c r="FM228" s="28">
        <v>0</v>
      </c>
      <c r="FN228" s="28">
        <v>0</v>
      </c>
      <c r="FO228" s="28">
        <v>0</v>
      </c>
      <c r="FP228" s="28">
        <v>0</v>
      </c>
      <c r="FQ228" s="28">
        <v>0</v>
      </c>
      <c r="FR228" s="28">
        <v>0</v>
      </c>
      <c r="FS228" s="28">
        <v>0</v>
      </c>
      <c r="FT228" s="28">
        <v>0</v>
      </c>
      <c r="FU228" s="28">
        <v>0</v>
      </c>
      <c r="FV228" s="28">
        <v>0</v>
      </c>
      <c r="FW228" s="28">
        <v>0</v>
      </c>
      <c r="FX228" s="28">
        <v>0</v>
      </c>
      <c r="FY228" s="28">
        <v>0</v>
      </c>
      <c r="FZ228" s="28">
        <v>0</v>
      </c>
      <c r="GA228" s="28">
        <v>0</v>
      </c>
      <c r="GB228" s="28">
        <v>0</v>
      </c>
      <c r="GC228" s="28">
        <v>0</v>
      </c>
      <c r="GD228" s="28">
        <v>0</v>
      </c>
      <c r="GE228" s="28">
        <v>0</v>
      </c>
      <c r="GF228" s="28">
        <v>0</v>
      </c>
      <c r="GG228" s="28">
        <v>0</v>
      </c>
      <c r="GH228" s="28">
        <v>0</v>
      </c>
      <c r="GI228" s="28">
        <v>0</v>
      </c>
      <c r="GJ228" s="28">
        <v>0</v>
      </c>
      <c r="GK228" s="28">
        <v>0</v>
      </c>
      <c r="GL228" s="28">
        <v>0</v>
      </c>
      <c r="GM228" s="28">
        <v>0</v>
      </c>
      <c r="GN228" s="28">
        <v>0</v>
      </c>
      <c r="GO228" s="28">
        <v>0</v>
      </c>
      <c r="GP228" s="28">
        <v>0</v>
      </c>
      <c r="GQ228" s="21">
        <v>0</v>
      </c>
      <c r="GR228" s="21">
        <v>1766.0250000000001</v>
      </c>
      <c r="GS228" s="20">
        <v>1766.0250000000001</v>
      </c>
      <c r="GT228" s="20">
        <v>0</v>
      </c>
      <c r="GU228" s="20">
        <v>0</v>
      </c>
      <c r="GV228" s="20">
        <v>0</v>
      </c>
      <c r="GW228" s="20">
        <v>0</v>
      </c>
      <c r="GX228" s="21">
        <v>0</v>
      </c>
      <c r="GY228" s="20">
        <v>0</v>
      </c>
      <c r="GZ228" s="20">
        <v>0</v>
      </c>
      <c r="HA228" s="20"/>
      <c r="HB228" s="21">
        <v>0</v>
      </c>
      <c r="HC228" s="21">
        <v>1766.0250000000001</v>
      </c>
    </row>
    <row r="229" spans="1:211" s="7" customFormat="1" ht="17.25" customHeight="1">
      <c r="A229" s="7">
        <f t="shared" si="11"/>
        <v>229</v>
      </c>
      <c r="B229" s="26" t="s">
        <v>709</v>
      </c>
      <c r="C229" s="10" t="s">
        <v>710</v>
      </c>
      <c r="D229" s="28">
        <v>0</v>
      </c>
      <c r="E229" s="28">
        <v>0</v>
      </c>
      <c r="F229" s="28">
        <v>0</v>
      </c>
      <c r="G229" s="28">
        <v>0</v>
      </c>
      <c r="H229" s="28">
        <v>0</v>
      </c>
      <c r="I229" s="28">
        <v>0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0</v>
      </c>
      <c r="AQ229" s="28">
        <v>0</v>
      </c>
      <c r="AR229" s="28">
        <v>0</v>
      </c>
      <c r="AS229" s="28">
        <v>0</v>
      </c>
      <c r="AT229" s="28">
        <v>0</v>
      </c>
      <c r="AU229" s="28">
        <v>0</v>
      </c>
      <c r="AV229" s="28">
        <v>0</v>
      </c>
      <c r="AW229" s="28">
        <v>0</v>
      </c>
      <c r="AX229" s="28">
        <v>0</v>
      </c>
      <c r="AY229" s="28">
        <v>0</v>
      </c>
      <c r="AZ229" s="28">
        <v>0</v>
      </c>
      <c r="BA229" s="28">
        <v>0</v>
      </c>
      <c r="BB229" s="28">
        <v>0</v>
      </c>
      <c r="BC229" s="28">
        <v>0</v>
      </c>
      <c r="BD229" s="28">
        <v>0</v>
      </c>
      <c r="BE229" s="28">
        <v>0</v>
      </c>
      <c r="BF229" s="28">
        <v>0</v>
      </c>
      <c r="BG229" s="28">
        <v>0</v>
      </c>
      <c r="BH229" s="28">
        <v>0</v>
      </c>
      <c r="BI229" s="28">
        <v>0</v>
      </c>
      <c r="BJ229" s="28">
        <v>0</v>
      </c>
      <c r="BK229" s="28">
        <v>0</v>
      </c>
      <c r="BL229" s="28">
        <v>0</v>
      </c>
      <c r="BM229" s="28">
        <v>0</v>
      </c>
      <c r="BN229" s="28">
        <v>0</v>
      </c>
      <c r="BO229" s="28">
        <v>0</v>
      </c>
      <c r="BP229" s="28">
        <v>0</v>
      </c>
      <c r="BQ229" s="28">
        <v>0</v>
      </c>
      <c r="BR229" s="28">
        <v>0</v>
      </c>
      <c r="BS229" s="28">
        <v>0</v>
      </c>
      <c r="BT229" s="28">
        <v>0</v>
      </c>
      <c r="BU229" s="28">
        <v>0</v>
      </c>
      <c r="BV229" s="28">
        <v>0</v>
      </c>
      <c r="BW229" s="28">
        <v>0</v>
      </c>
      <c r="BX229" s="28">
        <v>0</v>
      </c>
      <c r="BY229" s="28">
        <v>0</v>
      </c>
      <c r="BZ229" s="28">
        <v>0</v>
      </c>
      <c r="CA229" s="28">
        <v>0</v>
      </c>
      <c r="CB229" s="28">
        <v>0</v>
      </c>
      <c r="CC229" s="28">
        <v>0</v>
      </c>
      <c r="CD229" s="28">
        <v>0</v>
      </c>
      <c r="CE229" s="28">
        <v>0</v>
      </c>
      <c r="CF229" s="28">
        <v>0</v>
      </c>
      <c r="CG229" s="28">
        <v>0</v>
      </c>
      <c r="CH229" s="28">
        <v>0</v>
      </c>
      <c r="CI229" s="28">
        <v>0</v>
      </c>
      <c r="CJ229" s="28">
        <v>0</v>
      </c>
      <c r="CK229" s="28">
        <v>0</v>
      </c>
      <c r="CL229" s="28">
        <v>0</v>
      </c>
      <c r="CM229" s="28">
        <v>0</v>
      </c>
      <c r="CN229" s="28">
        <v>0</v>
      </c>
      <c r="CO229" s="28">
        <v>0</v>
      </c>
      <c r="CP229" s="28">
        <v>0</v>
      </c>
      <c r="CQ229" s="28">
        <v>0</v>
      </c>
      <c r="CR229" s="28">
        <v>0</v>
      </c>
      <c r="CS229" s="28">
        <v>0</v>
      </c>
      <c r="CT229" s="28">
        <v>0</v>
      </c>
      <c r="CU229" s="28">
        <v>0</v>
      </c>
      <c r="CV229" s="28">
        <v>0</v>
      </c>
      <c r="CW229" s="28">
        <v>0</v>
      </c>
      <c r="CX229" s="28">
        <v>0</v>
      </c>
      <c r="CY229" s="28">
        <v>0</v>
      </c>
      <c r="CZ229" s="28">
        <v>0</v>
      </c>
      <c r="DA229" s="28">
        <v>0</v>
      </c>
      <c r="DB229" s="28">
        <v>0</v>
      </c>
      <c r="DC229" s="28">
        <v>0</v>
      </c>
      <c r="DD229" s="28">
        <v>0</v>
      </c>
      <c r="DE229" s="28">
        <v>0</v>
      </c>
      <c r="DF229" s="28">
        <v>0</v>
      </c>
      <c r="DG229" s="28">
        <v>0</v>
      </c>
      <c r="DH229" s="28">
        <v>0</v>
      </c>
      <c r="DI229" s="28">
        <v>0</v>
      </c>
      <c r="DJ229" s="28">
        <v>0</v>
      </c>
      <c r="DK229" s="28">
        <v>0</v>
      </c>
      <c r="DL229" s="28">
        <v>0</v>
      </c>
      <c r="DM229" s="28">
        <v>0</v>
      </c>
      <c r="DN229" s="28">
        <v>0</v>
      </c>
      <c r="DO229" s="28">
        <v>0</v>
      </c>
      <c r="DP229" s="28">
        <v>0</v>
      </c>
      <c r="DQ229" s="28">
        <v>0</v>
      </c>
      <c r="DR229" s="28">
        <v>0</v>
      </c>
      <c r="DS229" s="28">
        <v>0</v>
      </c>
      <c r="DT229" s="28">
        <v>0</v>
      </c>
      <c r="DU229" s="28">
        <v>0</v>
      </c>
      <c r="DV229" s="28">
        <v>0</v>
      </c>
      <c r="DW229" s="28">
        <v>0</v>
      </c>
      <c r="DX229" s="28">
        <v>0</v>
      </c>
      <c r="DY229" s="28">
        <v>0</v>
      </c>
      <c r="DZ229" s="28">
        <v>0</v>
      </c>
      <c r="EA229" s="28">
        <v>0</v>
      </c>
      <c r="EB229" s="28">
        <v>0</v>
      </c>
      <c r="EC229" s="28">
        <v>0</v>
      </c>
      <c r="ED229" s="28">
        <v>0</v>
      </c>
      <c r="EE229" s="28">
        <v>0</v>
      </c>
      <c r="EF229" s="28">
        <v>0</v>
      </c>
      <c r="EG229" s="28">
        <v>0</v>
      </c>
      <c r="EH229" s="28">
        <v>0</v>
      </c>
      <c r="EI229" s="28">
        <v>0</v>
      </c>
      <c r="EJ229" s="28">
        <v>0</v>
      </c>
      <c r="EK229" s="28">
        <v>0</v>
      </c>
      <c r="EL229" s="28">
        <v>0</v>
      </c>
      <c r="EM229" s="28">
        <v>0</v>
      </c>
      <c r="EN229" s="28">
        <v>0</v>
      </c>
      <c r="EO229" s="28">
        <v>0</v>
      </c>
      <c r="EP229" s="28">
        <v>0</v>
      </c>
      <c r="EQ229" s="28">
        <v>0</v>
      </c>
      <c r="ER229" s="28">
        <v>0</v>
      </c>
      <c r="ES229" s="28">
        <v>0</v>
      </c>
      <c r="ET229" s="28">
        <v>0</v>
      </c>
      <c r="EU229" s="28">
        <v>0</v>
      </c>
      <c r="EV229" s="28">
        <v>0</v>
      </c>
      <c r="EW229" s="28">
        <v>0</v>
      </c>
      <c r="EX229" s="28">
        <v>0</v>
      </c>
      <c r="EY229" s="28">
        <v>0</v>
      </c>
      <c r="EZ229" s="28">
        <v>0</v>
      </c>
      <c r="FA229" s="28">
        <v>0</v>
      </c>
      <c r="FB229" s="28">
        <v>0</v>
      </c>
      <c r="FC229" s="28">
        <v>0</v>
      </c>
      <c r="FD229" s="28">
        <v>0</v>
      </c>
      <c r="FE229" s="28">
        <v>0</v>
      </c>
      <c r="FF229" s="28">
        <v>0</v>
      </c>
      <c r="FG229" s="28">
        <v>0</v>
      </c>
      <c r="FH229" s="28">
        <v>0</v>
      </c>
      <c r="FI229" s="28">
        <v>0</v>
      </c>
      <c r="FJ229" s="28">
        <v>0</v>
      </c>
      <c r="FK229" s="28">
        <v>0</v>
      </c>
      <c r="FL229" s="28">
        <v>0</v>
      </c>
      <c r="FM229" s="28">
        <v>0</v>
      </c>
      <c r="FN229" s="28">
        <v>0</v>
      </c>
      <c r="FO229" s="28">
        <v>0</v>
      </c>
      <c r="FP229" s="28">
        <v>0</v>
      </c>
      <c r="FQ229" s="28">
        <v>0</v>
      </c>
      <c r="FR229" s="28">
        <v>0</v>
      </c>
      <c r="FS229" s="28">
        <v>0</v>
      </c>
      <c r="FT229" s="28">
        <v>0</v>
      </c>
      <c r="FU229" s="28">
        <v>0</v>
      </c>
      <c r="FV229" s="28">
        <v>0</v>
      </c>
      <c r="FW229" s="28">
        <v>0</v>
      </c>
      <c r="FX229" s="28">
        <v>0</v>
      </c>
      <c r="FY229" s="28">
        <v>0</v>
      </c>
      <c r="FZ229" s="28">
        <v>0</v>
      </c>
      <c r="GA229" s="28">
        <v>0</v>
      </c>
      <c r="GB229" s="28">
        <v>0</v>
      </c>
      <c r="GC229" s="28">
        <v>0</v>
      </c>
      <c r="GD229" s="28">
        <v>0</v>
      </c>
      <c r="GE229" s="28">
        <v>0</v>
      </c>
      <c r="GF229" s="28">
        <v>0</v>
      </c>
      <c r="GG229" s="28">
        <v>0</v>
      </c>
      <c r="GH229" s="28">
        <v>0</v>
      </c>
      <c r="GI229" s="28">
        <v>0</v>
      </c>
      <c r="GJ229" s="28">
        <v>0</v>
      </c>
      <c r="GK229" s="28">
        <v>0</v>
      </c>
      <c r="GL229" s="28">
        <v>0</v>
      </c>
      <c r="GM229" s="28">
        <v>0</v>
      </c>
      <c r="GN229" s="28">
        <v>0</v>
      </c>
      <c r="GO229" s="28">
        <v>0</v>
      </c>
      <c r="GP229" s="28">
        <v>0</v>
      </c>
      <c r="GQ229" s="21">
        <v>0</v>
      </c>
      <c r="GR229" s="21">
        <v>-445.37308977102816</v>
      </c>
      <c r="GS229" s="20">
        <v>-445.37308977102816</v>
      </c>
      <c r="GT229" s="20">
        <v>0</v>
      </c>
      <c r="GU229" s="20">
        <v>0</v>
      </c>
      <c r="GV229" s="20">
        <v>0</v>
      </c>
      <c r="GW229" s="20">
        <v>0</v>
      </c>
      <c r="GX229" s="21">
        <v>0</v>
      </c>
      <c r="GY229" s="20">
        <v>0</v>
      </c>
      <c r="GZ229" s="20">
        <v>0</v>
      </c>
      <c r="HA229" s="20"/>
      <c r="HB229" s="21">
        <v>2023.0444789902288</v>
      </c>
      <c r="HC229" s="21">
        <v>1577.6713892192006</v>
      </c>
    </row>
    <row r="230" spans="1:211" s="7" customFormat="1" ht="17.25" customHeight="1">
      <c r="A230" s="7">
        <f t="shared" si="11"/>
        <v>230</v>
      </c>
      <c r="B230" s="22" t="s">
        <v>711</v>
      </c>
      <c r="C230" s="23" t="s">
        <v>712</v>
      </c>
      <c r="D230" s="29">
        <f t="shared" ref="D230:BO230" si="12">SUM(D14:D229)</f>
        <v>379.53355759043882</v>
      </c>
      <c r="E230" s="29">
        <f t="shared" si="12"/>
        <v>779.9810978335006</v>
      </c>
      <c r="F230" s="29">
        <f t="shared" si="12"/>
        <v>1471.6218039904968</v>
      </c>
      <c r="G230" s="29">
        <f t="shared" si="12"/>
        <v>193.63439097822138</v>
      </c>
      <c r="H230" s="29">
        <f t="shared" si="12"/>
        <v>661.46483824931056</v>
      </c>
      <c r="I230" s="29">
        <f t="shared" si="12"/>
        <v>344.78598413965392</v>
      </c>
      <c r="J230" s="29">
        <f t="shared" si="12"/>
        <v>113.47090815566696</v>
      </c>
      <c r="K230" s="29">
        <f t="shared" si="12"/>
        <v>30.976110191252619</v>
      </c>
      <c r="L230" s="29">
        <f t="shared" si="12"/>
        <v>87.512171035883071</v>
      </c>
      <c r="M230" s="29">
        <f t="shared" si="12"/>
        <v>763.79769024445363</v>
      </c>
      <c r="N230" s="29">
        <f t="shared" si="12"/>
        <v>147.6992335559296</v>
      </c>
      <c r="O230" s="29">
        <f t="shared" si="12"/>
        <v>195.93542440844467</v>
      </c>
      <c r="P230" s="29">
        <f t="shared" si="12"/>
        <v>53.667445196088416</v>
      </c>
      <c r="Q230" s="29">
        <f t="shared" si="12"/>
        <v>530.8564886709587</v>
      </c>
      <c r="R230" s="29">
        <f t="shared" si="12"/>
        <v>575.71434595163771</v>
      </c>
      <c r="S230" s="29">
        <f t="shared" si="12"/>
        <v>2843.1023277856475</v>
      </c>
      <c r="T230" s="29">
        <f t="shared" si="12"/>
        <v>197.0957056232786</v>
      </c>
      <c r="U230" s="29">
        <f t="shared" si="12"/>
        <v>502.78423349970592</v>
      </c>
      <c r="V230" s="29">
        <f t="shared" si="12"/>
        <v>7.7472913565134576</v>
      </c>
      <c r="W230" s="29">
        <f t="shared" si="12"/>
        <v>93.214209261993119</v>
      </c>
      <c r="X230" s="29">
        <f t="shared" si="12"/>
        <v>62.135303716914734</v>
      </c>
      <c r="Y230" s="29">
        <f t="shared" si="12"/>
        <v>14.441474411580078</v>
      </c>
      <c r="Z230" s="29">
        <f t="shared" si="12"/>
        <v>257.87008011285849</v>
      </c>
      <c r="AA230" s="29">
        <f t="shared" si="12"/>
        <v>30.324886968849448</v>
      </c>
      <c r="AB230" s="29">
        <f t="shared" si="12"/>
        <v>25.102880887830135</v>
      </c>
      <c r="AC230" s="29">
        <f t="shared" si="12"/>
        <v>783.84769620196857</v>
      </c>
      <c r="AD230" s="29">
        <f t="shared" si="12"/>
        <v>9.7250893908132063</v>
      </c>
      <c r="AE230" s="29">
        <f t="shared" si="12"/>
        <v>469.3429095397496</v>
      </c>
      <c r="AF230" s="29">
        <f t="shared" si="12"/>
        <v>3634.0514701261282</v>
      </c>
      <c r="AG230" s="29">
        <f t="shared" si="12"/>
        <v>829.19599060009659</v>
      </c>
      <c r="AH230" s="29">
        <f t="shared" si="12"/>
        <v>108.14200126535057</v>
      </c>
      <c r="AI230" s="29">
        <f t="shared" si="12"/>
        <v>198.76730118357568</v>
      </c>
      <c r="AJ230" s="29">
        <f t="shared" si="12"/>
        <v>61.36503843832125</v>
      </c>
      <c r="AK230" s="29">
        <f t="shared" si="12"/>
        <v>50.954444537637578</v>
      </c>
      <c r="AL230" s="29">
        <f t="shared" si="12"/>
        <v>2319.5947768728356</v>
      </c>
      <c r="AM230" s="29">
        <f t="shared" si="12"/>
        <v>57.646623220468328</v>
      </c>
      <c r="AN230" s="29">
        <f t="shared" si="12"/>
        <v>225.60352019343807</v>
      </c>
      <c r="AO230" s="29">
        <f t="shared" si="12"/>
        <v>13.82487302987832</v>
      </c>
      <c r="AP230" s="29">
        <f t="shared" si="12"/>
        <v>74.031803977702396</v>
      </c>
      <c r="AQ230" s="29">
        <f t="shared" si="12"/>
        <v>157.86630691670433</v>
      </c>
      <c r="AR230" s="29">
        <f t="shared" si="12"/>
        <v>56.627938201614832</v>
      </c>
      <c r="AS230" s="29">
        <f t="shared" si="12"/>
        <v>8.1102423059826373E-2</v>
      </c>
      <c r="AT230" s="29">
        <f t="shared" si="12"/>
        <v>7187.4616979364519</v>
      </c>
      <c r="AU230" s="29">
        <f t="shared" si="12"/>
        <v>472.23725957552284</v>
      </c>
      <c r="AV230" s="29">
        <f t="shared" si="12"/>
        <v>508.48128710931633</v>
      </c>
      <c r="AW230" s="29">
        <f t="shared" si="12"/>
        <v>1605.619295581869</v>
      </c>
      <c r="AX230" s="29">
        <f t="shared" si="12"/>
        <v>4254.8480962326857</v>
      </c>
      <c r="AY230" s="29">
        <f t="shared" si="12"/>
        <v>2.6170151120806922</v>
      </c>
      <c r="AZ230" s="29">
        <f t="shared" si="12"/>
        <v>251.83680198983842</v>
      </c>
      <c r="BA230" s="29">
        <f t="shared" si="12"/>
        <v>195.46740522369635</v>
      </c>
      <c r="BB230" s="29">
        <f t="shared" si="12"/>
        <v>24.727733730801678</v>
      </c>
      <c r="BC230" s="29">
        <f t="shared" si="12"/>
        <v>1052.4985633798499</v>
      </c>
      <c r="BD230" s="29">
        <f t="shared" si="12"/>
        <v>17.780116533594278</v>
      </c>
      <c r="BE230" s="29">
        <f t="shared" si="12"/>
        <v>3880.2087565782094</v>
      </c>
      <c r="BF230" s="29">
        <f t="shared" si="12"/>
        <v>1876.1864614978065</v>
      </c>
      <c r="BG230" s="29">
        <f t="shared" si="12"/>
        <v>533.09364712285014</v>
      </c>
      <c r="BH230" s="29">
        <f t="shared" si="12"/>
        <v>3888.3190355712613</v>
      </c>
      <c r="BI230" s="29">
        <f t="shared" si="12"/>
        <v>25.270521153477066</v>
      </c>
      <c r="BJ230" s="29">
        <f t="shared" si="12"/>
        <v>577.86566936442489</v>
      </c>
      <c r="BK230" s="29">
        <f t="shared" si="12"/>
        <v>167.73955048595101</v>
      </c>
      <c r="BL230" s="29">
        <f t="shared" si="12"/>
        <v>674.16783260822444</v>
      </c>
      <c r="BM230" s="29">
        <f t="shared" si="12"/>
        <v>391.89258066737665</v>
      </c>
      <c r="BN230" s="29">
        <f t="shared" si="12"/>
        <v>364.6419367767673</v>
      </c>
      <c r="BO230" s="29">
        <f t="shared" si="12"/>
        <v>381.8575792798182</v>
      </c>
      <c r="BP230" s="29">
        <f t="shared" ref="BP230:EA230" si="13">SUM(BP14:BP229)</f>
        <v>523.34541737715392</v>
      </c>
      <c r="BQ230" s="29">
        <f t="shared" si="13"/>
        <v>764.97658642160161</v>
      </c>
      <c r="BR230" s="29">
        <f t="shared" si="13"/>
        <v>226.91296443971484</v>
      </c>
      <c r="BS230" s="29">
        <f t="shared" si="13"/>
        <v>1549.9321693724319</v>
      </c>
      <c r="BT230" s="29">
        <f t="shared" si="13"/>
        <v>1564.5075217040167</v>
      </c>
      <c r="BU230" s="29">
        <f t="shared" si="13"/>
        <v>454.36811762517794</v>
      </c>
      <c r="BV230" s="29">
        <f t="shared" si="13"/>
        <v>951.10796591197482</v>
      </c>
      <c r="BW230" s="29">
        <f t="shared" si="13"/>
        <v>230.55627986121419</v>
      </c>
      <c r="BX230" s="29">
        <f t="shared" si="13"/>
        <v>571.40473238024026</v>
      </c>
      <c r="BY230" s="29">
        <f t="shared" si="13"/>
        <v>386.88608697818074</v>
      </c>
      <c r="BZ230" s="29">
        <f t="shared" si="13"/>
        <v>76.394936803127507</v>
      </c>
      <c r="CA230" s="29">
        <f t="shared" si="13"/>
        <v>1292.743458846973</v>
      </c>
      <c r="CB230" s="29">
        <f t="shared" si="13"/>
        <v>3233.1822722673228</v>
      </c>
      <c r="CC230" s="29">
        <f t="shared" si="13"/>
        <v>200.43264288588975</v>
      </c>
      <c r="CD230" s="29">
        <f t="shared" si="13"/>
        <v>1696.5767853280131</v>
      </c>
      <c r="CE230" s="29">
        <f t="shared" si="13"/>
        <v>528.87259291415444</v>
      </c>
      <c r="CF230" s="29">
        <f t="shared" si="13"/>
        <v>0</v>
      </c>
      <c r="CG230" s="29">
        <f t="shared" si="13"/>
        <v>512.48346131826088</v>
      </c>
      <c r="CH230" s="29">
        <f t="shared" si="13"/>
        <v>392.32436855968382</v>
      </c>
      <c r="CI230" s="29">
        <f t="shared" si="13"/>
        <v>471.63224389627158</v>
      </c>
      <c r="CJ230" s="29">
        <f t="shared" si="13"/>
        <v>462.1082665697387</v>
      </c>
      <c r="CK230" s="29">
        <f t="shared" si="13"/>
        <v>80.165165161425733</v>
      </c>
      <c r="CL230" s="29">
        <f t="shared" si="13"/>
        <v>419.8930714128752</v>
      </c>
      <c r="CM230" s="29">
        <f t="shared" si="13"/>
        <v>817.86746135367196</v>
      </c>
      <c r="CN230" s="29">
        <f t="shared" si="13"/>
        <v>123.44080288286681</v>
      </c>
      <c r="CO230" s="29">
        <f t="shared" si="13"/>
        <v>163.99419362917982</v>
      </c>
      <c r="CP230" s="29">
        <f t="shared" si="13"/>
        <v>1388.0300905214106</v>
      </c>
      <c r="CQ230" s="29">
        <f t="shared" si="13"/>
        <v>135.65495837347115</v>
      </c>
      <c r="CR230" s="29">
        <f t="shared" si="13"/>
        <v>322.02423213024667</v>
      </c>
      <c r="CS230" s="29">
        <f t="shared" si="13"/>
        <v>394.13526413338178</v>
      </c>
      <c r="CT230" s="29">
        <f t="shared" si="13"/>
        <v>2026.8605633485263</v>
      </c>
      <c r="CU230" s="29">
        <f t="shared" si="13"/>
        <v>177.317991469508</v>
      </c>
      <c r="CV230" s="29">
        <f t="shared" si="13"/>
        <v>196.00170096335441</v>
      </c>
      <c r="CW230" s="29">
        <f t="shared" si="13"/>
        <v>446.00146046614418</v>
      </c>
      <c r="CX230" s="29">
        <f t="shared" si="13"/>
        <v>89.635549936286679</v>
      </c>
      <c r="CY230" s="29">
        <f t="shared" si="13"/>
        <v>521.64829042961117</v>
      </c>
      <c r="CZ230" s="29">
        <f t="shared" si="13"/>
        <v>31.683609528994861</v>
      </c>
      <c r="DA230" s="29">
        <f t="shared" si="13"/>
        <v>662.38680239067753</v>
      </c>
      <c r="DB230" s="29">
        <f t="shared" si="13"/>
        <v>681.46400200863445</v>
      </c>
      <c r="DC230" s="29">
        <f t="shared" si="13"/>
        <v>819.93597477439312</v>
      </c>
      <c r="DD230" s="29">
        <f t="shared" si="13"/>
        <v>17.888976351806782</v>
      </c>
      <c r="DE230" s="29">
        <f t="shared" si="13"/>
        <v>0</v>
      </c>
      <c r="DF230" s="29">
        <f t="shared" si="13"/>
        <v>223.1307474903264</v>
      </c>
      <c r="DG230" s="29">
        <f t="shared" si="13"/>
        <v>953.7498906180308</v>
      </c>
      <c r="DH230" s="29">
        <f t="shared" si="13"/>
        <v>1128.4413352742315</v>
      </c>
      <c r="DI230" s="29">
        <f t="shared" si="13"/>
        <v>94.013078725355868</v>
      </c>
      <c r="DJ230" s="29">
        <f t="shared" si="13"/>
        <v>6106.808456857445</v>
      </c>
      <c r="DK230" s="29">
        <f t="shared" si="13"/>
        <v>11.23249931581632</v>
      </c>
      <c r="DL230" s="29">
        <f t="shared" si="13"/>
        <v>234.16356066906593</v>
      </c>
      <c r="DM230" s="29">
        <f t="shared" si="13"/>
        <v>41.540307575996209</v>
      </c>
      <c r="DN230" s="29">
        <f t="shared" si="13"/>
        <v>121.38609389924616</v>
      </c>
      <c r="DO230" s="29">
        <f t="shared" si="13"/>
        <v>58.424370177900926</v>
      </c>
      <c r="DP230" s="29">
        <f t="shared" si="13"/>
        <v>0</v>
      </c>
      <c r="DQ230" s="29">
        <f t="shared" si="13"/>
        <v>459.35690175633277</v>
      </c>
      <c r="DR230" s="29">
        <f t="shared" si="13"/>
        <v>1145.1987509910107</v>
      </c>
      <c r="DS230" s="29">
        <f t="shared" si="13"/>
        <v>756.60113081977704</v>
      </c>
      <c r="DT230" s="29">
        <f t="shared" si="13"/>
        <v>20.929752605331171</v>
      </c>
      <c r="DU230" s="29">
        <f t="shared" si="13"/>
        <v>1915.0376149158978</v>
      </c>
      <c r="DV230" s="29">
        <f t="shared" si="13"/>
        <v>285.88249223313983</v>
      </c>
      <c r="DW230" s="29">
        <f t="shared" si="13"/>
        <v>0</v>
      </c>
      <c r="DX230" s="29">
        <f t="shared" si="13"/>
        <v>358.52311329684596</v>
      </c>
      <c r="DY230" s="29">
        <f t="shared" si="13"/>
        <v>357.44056103422082</v>
      </c>
      <c r="DZ230" s="29">
        <f t="shared" si="13"/>
        <v>1473.5164031443755</v>
      </c>
      <c r="EA230" s="29">
        <f t="shared" si="13"/>
        <v>37.306269570179495</v>
      </c>
      <c r="EB230" s="29">
        <f t="shared" ref="EB230:GM230" si="14">SUM(EB14:EB229)</f>
        <v>158.83077974505713</v>
      </c>
      <c r="EC230" s="29">
        <f t="shared" si="14"/>
        <v>717.5561890657309</v>
      </c>
      <c r="ED230" s="29">
        <f t="shared" si="14"/>
        <v>392.1777466840831</v>
      </c>
      <c r="EE230" s="29">
        <f t="shared" si="14"/>
        <v>2119.0283674149737</v>
      </c>
      <c r="EF230" s="29">
        <f t="shared" si="14"/>
        <v>6294.2345291065412</v>
      </c>
      <c r="EG230" s="29">
        <f t="shared" si="14"/>
        <v>575.52616714547946</v>
      </c>
      <c r="EH230" s="29">
        <f t="shared" si="14"/>
        <v>40.004153966861189</v>
      </c>
      <c r="EI230" s="29">
        <f t="shared" si="14"/>
        <v>35.734021874507633</v>
      </c>
      <c r="EJ230" s="29">
        <f t="shared" si="14"/>
        <v>911.00413269678063</v>
      </c>
      <c r="EK230" s="29">
        <f t="shared" si="14"/>
        <v>24.734104405759695</v>
      </c>
      <c r="EL230" s="29">
        <f t="shared" si="14"/>
        <v>175.46261953137295</v>
      </c>
      <c r="EM230" s="29">
        <f t="shared" si="14"/>
        <v>11.33115768478751</v>
      </c>
      <c r="EN230" s="29">
        <f t="shared" si="14"/>
        <v>95.478954429129217</v>
      </c>
      <c r="EO230" s="29">
        <f t="shared" si="14"/>
        <v>126.76434287030237</v>
      </c>
      <c r="EP230" s="29">
        <f t="shared" si="14"/>
        <v>0</v>
      </c>
      <c r="EQ230" s="29">
        <f t="shared" si="14"/>
        <v>36.515685535041072</v>
      </c>
      <c r="ER230" s="29">
        <f t="shared" si="14"/>
        <v>166.49164484071611</v>
      </c>
      <c r="ES230" s="29">
        <f t="shared" si="14"/>
        <v>1060.0173548473626</v>
      </c>
      <c r="ET230" s="29">
        <f t="shared" si="14"/>
        <v>1034.7245595088025</v>
      </c>
      <c r="EU230" s="29">
        <f t="shared" si="14"/>
        <v>4.9362571685905214</v>
      </c>
      <c r="EV230" s="29">
        <f t="shared" si="14"/>
        <v>276.09600051852163</v>
      </c>
      <c r="EW230" s="29">
        <f t="shared" si="14"/>
        <v>564.95800645117538</v>
      </c>
      <c r="EX230" s="29">
        <f t="shared" si="14"/>
        <v>1308.1501453820224</v>
      </c>
      <c r="EY230" s="29">
        <f t="shared" si="14"/>
        <v>317.76990317032147</v>
      </c>
      <c r="EZ230" s="29">
        <f t="shared" si="14"/>
        <v>3760.3077545484707</v>
      </c>
      <c r="FA230" s="29">
        <f t="shared" si="14"/>
        <v>563.97682438493257</v>
      </c>
      <c r="FB230" s="29">
        <f t="shared" si="14"/>
        <v>247.54016800102323</v>
      </c>
      <c r="FC230" s="29">
        <f t="shared" si="14"/>
        <v>7501.7553725263078</v>
      </c>
      <c r="FD230" s="29">
        <f t="shared" si="14"/>
        <v>4547.3414685233056</v>
      </c>
      <c r="FE230" s="29">
        <f t="shared" si="14"/>
        <v>991.969521496536</v>
      </c>
      <c r="FF230" s="29">
        <f t="shared" si="14"/>
        <v>716.58596676108982</v>
      </c>
      <c r="FG230" s="29">
        <f t="shared" si="14"/>
        <v>10901.877987828639</v>
      </c>
      <c r="FH230" s="29">
        <f t="shared" si="14"/>
        <v>442.00964575620367</v>
      </c>
      <c r="FI230" s="29">
        <f t="shared" si="14"/>
        <v>12495.744939647928</v>
      </c>
      <c r="FJ230" s="29">
        <f t="shared" si="14"/>
        <v>1787.1268795183896</v>
      </c>
      <c r="FK230" s="29">
        <f t="shared" si="14"/>
        <v>195.82321172152479</v>
      </c>
      <c r="FL230" s="29">
        <f t="shared" si="14"/>
        <v>6729.8698544904737</v>
      </c>
      <c r="FM230" s="29">
        <f t="shared" si="14"/>
        <v>7456.9307066458132</v>
      </c>
      <c r="FN230" s="29">
        <f t="shared" si="14"/>
        <v>2087.7619009688692</v>
      </c>
      <c r="FO230" s="29">
        <f t="shared" si="14"/>
        <v>20.515824886164943</v>
      </c>
      <c r="FP230" s="29">
        <f t="shared" si="14"/>
        <v>348.50490183380987</v>
      </c>
      <c r="FQ230" s="29">
        <f t="shared" si="14"/>
        <v>1210.8075603650655</v>
      </c>
      <c r="FR230" s="29">
        <f t="shared" si="14"/>
        <v>89.056440508201007</v>
      </c>
      <c r="FS230" s="29">
        <f t="shared" si="14"/>
        <v>997.80791668141751</v>
      </c>
      <c r="FT230" s="29">
        <f t="shared" si="14"/>
        <v>16493.663574161914</v>
      </c>
      <c r="FU230" s="29">
        <f t="shared" si="14"/>
        <v>5726.0372994601485</v>
      </c>
      <c r="FV230" s="29">
        <f t="shared" si="14"/>
        <v>636.433002783814</v>
      </c>
      <c r="FW230" s="29">
        <f t="shared" si="14"/>
        <v>119.73059353289977</v>
      </c>
      <c r="FX230" s="29">
        <f t="shared" si="14"/>
        <v>4116.7913679736212</v>
      </c>
      <c r="FY230" s="29">
        <f t="shared" si="14"/>
        <v>1573.4000079431873</v>
      </c>
      <c r="FZ230" s="29">
        <f t="shared" si="14"/>
        <v>573.10453750058969</v>
      </c>
      <c r="GA230" s="29">
        <f t="shared" si="14"/>
        <v>1396.3179507690136</v>
      </c>
      <c r="GB230" s="29">
        <f t="shared" si="14"/>
        <v>457.43542794191296</v>
      </c>
      <c r="GC230" s="29">
        <f t="shared" si="14"/>
        <v>497.17319234168247</v>
      </c>
      <c r="GD230" s="29">
        <f t="shared" si="14"/>
        <v>1835.5024228603556</v>
      </c>
      <c r="GE230" s="29">
        <f t="shared" si="14"/>
        <v>1829.6917309879752</v>
      </c>
      <c r="GF230" s="29">
        <f t="shared" si="14"/>
        <v>1509.56516476098</v>
      </c>
      <c r="GG230" s="29">
        <f t="shared" si="14"/>
        <v>8262.1949190129544</v>
      </c>
      <c r="GH230" s="29">
        <f t="shared" si="14"/>
        <v>1039.5656299443856</v>
      </c>
      <c r="GI230" s="29">
        <f t="shared" si="14"/>
        <v>1202.2138817360724</v>
      </c>
      <c r="GJ230" s="29">
        <f t="shared" si="14"/>
        <v>1405.6958263291324</v>
      </c>
      <c r="GK230" s="29">
        <f t="shared" si="14"/>
        <v>2258.2386971475439</v>
      </c>
      <c r="GL230" s="29">
        <f t="shared" si="14"/>
        <v>989.1665821145001</v>
      </c>
      <c r="GM230" s="29">
        <f t="shared" si="14"/>
        <v>3249.1658409892011</v>
      </c>
      <c r="GN230" s="29">
        <f t="shared" ref="GN230:GP230" si="15">SUM(GN14:GN229)</f>
        <v>222.73740341040261</v>
      </c>
      <c r="GO230" s="29">
        <f t="shared" si="15"/>
        <v>339.79128778882767</v>
      </c>
      <c r="GP230" s="29">
        <f t="shared" si="15"/>
        <v>0</v>
      </c>
      <c r="GQ230" s="21">
        <v>224413.87798977565</v>
      </c>
      <c r="GR230" s="21">
        <v>260621.35706418561</v>
      </c>
      <c r="GS230" s="20">
        <v>210245.92143235682</v>
      </c>
      <c r="GT230" s="20">
        <v>2151.0796896780389</v>
      </c>
      <c r="GU230" s="20">
        <v>48224.355942150716</v>
      </c>
      <c r="GV230" s="20">
        <v>29224.732236885724</v>
      </c>
      <c r="GW230" s="20">
        <v>18999.623705264989</v>
      </c>
      <c r="GX230" s="21">
        <v>77360.415746101018</v>
      </c>
      <c r="GY230" s="20">
        <v>73365.902399310085</v>
      </c>
      <c r="GZ230" s="20">
        <v>3306.821778729749</v>
      </c>
      <c r="HA230" s="20">
        <v>687.69156806118599</v>
      </c>
      <c r="HB230" s="21">
        <v>62008.27524069955</v>
      </c>
      <c r="HC230" s="21">
        <v>624403.92604076164</v>
      </c>
    </row>
    <row r="231" spans="1:211" s="7" customFormat="1" ht="17.25" customHeight="1">
      <c r="B231" s="22" t="s">
        <v>713</v>
      </c>
      <c r="C231" s="23" t="s">
        <v>714</v>
      </c>
      <c r="D231" s="30">
        <f t="shared" ref="D231:BO231" si="16">SUM(D232:D234)</f>
        <v>798.05331207804875</v>
      </c>
      <c r="E231" s="30">
        <f t="shared" si="16"/>
        <v>1376.4586198044501</v>
      </c>
      <c r="F231" s="30">
        <f t="shared" si="16"/>
        <v>2611.1006247063569</v>
      </c>
      <c r="G231" s="30">
        <f t="shared" si="16"/>
        <v>414.0895588519175</v>
      </c>
      <c r="H231" s="30">
        <f t="shared" si="16"/>
        <v>1192.8357420330394</v>
      </c>
      <c r="I231" s="30">
        <f t="shared" si="16"/>
        <v>1199.9502285220331</v>
      </c>
      <c r="J231" s="30">
        <f t="shared" si="16"/>
        <v>284.67524331884317</v>
      </c>
      <c r="K231" s="30">
        <f t="shared" si="16"/>
        <v>72.479470921815377</v>
      </c>
      <c r="L231" s="30">
        <f t="shared" si="16"/>
        <v>353.64605370150645</v>
      </c>
      <c r="M231" s="30">
        <f t="shared" si="16"/>
        <v>3073.8216512495846</v>
      </c>
      <c r="N231" s="30">
        <f t="shared" si="16"/>
        <v>496.37179237491847</v>
      </c>
      <c r="O231" s="30">
        <f t="shared" si="16"/>
        <v>652.99891018302947</v>
      </c>
      <c r="P231" s="30">
        <f t="shared" si="16"/>
        <v>93.215253300795055</v>
      </c>
      <c r="Q231" s="30">
        <f t="shared" si="16"/>
        <v>1824.9930413178042</v>
      </c>
      <c r="R231" s="30">
        <f t="shared" si="16"/>
        <v>1604.0372991036372</v>
      </c>
      <c r="S231" s="30">
        <f t="shared" si="16"/>
        <v>5134.3993487219886</v>
      </c>
      <c r="T231" s="30">
        <f t="shared" si="16"/>
        <v>292.09101670242001</v>
      </c>
      <c r="U231" s="30">
        <f t="shared" si="16"/>
        <v>636.05279517978784</v>
      </c>
      <c r="V231" s="30">
        <f t="shared" si="16"/>
        <v>13.021267617265099</v>
      </c>
      <c r="W231" s="30">
        <f t="shared" si="16"/>
        <v>201.40197083339058</v>
      </c>
      <c r="X231" s="30">
        <f t="shared" si="16"/>
        <v>179.00156513321699</v>
      </c>
      <c r="Y231" s="30">
        <f t="shared" si="16"/>
        <v>48.254738554934434</v>
      </c>
      <c r="Z231" s="30">
        <f t="shared" si="16"/>
        <v>459.65325411034848</v>
      </c>
      <c r="AA231" s="30">
        <f t="shared" si="16"/>
        <v>78.169823703354794</v>
      </c>
      <c r="AB231" s="30">
        <f t="shared" si="16"/>
        <v>32.307516782701597</v>
      </c>
      <c r="AC231" s="30">
        <f t="shared" si="16"/>
        <v>1296.2487994609103</v>
      </c>
      <c r="AD231" s="30">
        <f t="shared" si="16"/>
        <v>21.321475959709002</v>
      </c>
      <c r="AE231" s="30">
        <f t="shared" si="16"/>
        <v>2338.0862305808355</v>
      </c>
      <c r="AF231" s="30">
        <f t="shared" si="16"/>
        <v>7538.4579933782952</v>
      </c>
      <c r="AG231" s="30">
        <f t="shared" si="16"/>
        <v>1791.2088964506399</v>
      </c>
      <c r="AH231" s="30">
        <f t="shared" si="16"/>
        <v>208.659268144224</v>
      </c>
      <c r="AI231" s="30">
        <f t="shared" si="16"/>
        <v>378.839004393126</v>
      </c>
      <c r="AJ231" s="30">
        <f t="shared" si="16"/>
        <v>79.7467265658602</v>
      </c>
      <c r="AK231" s="30">
        <f t="shared" si="16"/>
        <v>225.90320037960899</v>
      </c>
      <c r="AL231" s="30">
        <f t="shared" si="16"/>
        <v>4852.9119455606897</v>
      </c>
      <c r="AM231" s="30">
        <f t="shared" si="16"/>
        <v>296.19689273788799</v>
      </c>
      <c r="AN231" s="30">
        <f t="shared" si="16"/>
        <v>551.932654427898</v>
      </c>
      <c r="AO231" s="30">
        <f t="shared" si="16"/>
        <v>139.626395749425</v>
      </c>
      <c r="AP231" s="30">
        <f t="shared" si="16"/>
        <v>601.807823278353</v>
      </c>
      <c r="AQ231" s="30">
        <f t="shared" si="16"/>
        <v>263.81838828010802</v>
      </c>
      <c r="AR231" s="30">
        <f t="shared" si="16"/>
        <v>68.075896894309693</v>
      </c>
      <c r="AS231" s="30">
        <f t="shared" si="16"/>
        <v>3.27283993855922</v>
      </c>
      <c r="AT231" s="30">
        <f t="shared" si="16"/>
        <v>23411.354277233888</v>
      </c>
      <c r="AU231" s="30">
        <f t="shared" si="16"/>
        <v>2049.2968780971501</v>
      </c>
      <c r="AV231" s="30">
        <f t="shared" si="16"/>
        <v>2564.96632670502</v>
      </c>
      <c r="AW231" s="30">
        <f t="shared" si="16"/>
        <v>6017.6823492189096</v>
      </c>
      <c r="AX231" s="30">
        <f t="shared" si="16"/>
        <v>10195.2793493394</v>
      </c>
      <c r="AY231" s="30">
        <f t="shared" si="16"/>
        <v>3.28</v>
      </c>
      <c r="AZ231" s="30">
        <f t="shared" si="16"/>
        <v>341</v>
      </c>
      <c r="BA231" s="30">
        <f t="shared" si="16"/>
        <v>374.315690160808</v>
      </c>
      <c r="BB231" s="30">
        <f t="shared" si="16"/>
        <v>66</v>
      </c>
      <c r="BC231" s="30">
        <f t="shared" si="16"/>
        <v>1959.73234495113</v>
      </c>
      <c r="BD231" s="30">
        <f t="shared" si="16"/>
        <v>57.91</v>
      </c>
      <c r="BE231" s="30">
        <f t="shared" si="16"/>
        <v>5519.2322848436988</v>
      </c>
      <c r="BF231" s="30">
        <f t="shared" si="16"/>
        <v>2287.480951395396</v>
      </c>
      <c r="BG231" s="30">
        <f t="shared" si="16"/>
        <v>696.61322196099195</v>
      </c>
      <c r="BH231" s="30">
        <f t="shared" si="16"/>
        <v>4839.303980098246</v>
      </c>
      <c r="BI231" s="30">
        <f t="shared" si="16"/>
        <v>157.49410418543201</v>
      </c>
      <c r="BJ231" s="30">
        <f t="shared" si="16"/>
        <v>800.26230342855001</v>
      </c>
      <c r="BK231" s="30">
        <f t="shared" si="16"/>
        <v>204.854997334194</v>
      </c>
      <c r="BL231" s="30">
        <f t="shared" si="16"/>
        <v>912.63153339036205</v>
      </c>
      <c r="BM231" s="30">
        <f t="shared" si="16"/>
        <v>467.031745614356</v>
      </c>
      <c r="BN231" s="30">
        <f t="shared" si="16"/>
        <v>486.64252115356697</v>
      </c>
      <c r="BO231" s="30">
        <f t="shared" si="16"/>
        <v>595.84894482124969</v>
      </c>
      <c r="BP231" s="30">
        <f t="shared" ref="BP231:EA231" si="17">SUM(BP232:BP234)</f>
        <v>552.58641887538397</v>
      </c>
      <c r="BQ231" s="30">
        <f t="shared" si="17"/>
        <v>1053.13829800961</v>
      </c>
      <c r="BR231" s="30">
        <f t="shared" si="17"/>
        <v>385.74950294812498</v>
      </c>
      <c r="BS231" s="30">
        <f t="shared" si="17"/>
        <v>1927.86882790499</v>
      </c>
      <c r="BT231" s="30">
        <f t="shared" si="17"/>
        <v>3122.7226354243871</v>
      </c>
      <c r="BU231" s="30">
        <f t="shared" si="17"/>
        <v>797.69628388308797</v>
      </c>
      <c r="BV231" s="30">
        <f t="shared" si="17"/>
        <v>1379.7225655094001</v>
      </c>
      <c r="BW231" s="30">
        <f t="shared" si="17"/>
        <v>427.08566774003901</v>
      </c>
      <c r="BX231" s="30">
        <f t="shared" si="17"/>
        <v>1235.88328528288</v>
      </c>
      <c r="BY231" s="30">
        <f t="shared" si="17"/>
        <v>860.79556730342699</v>
      </c>
      <c r="BZ231" s="30">
        <f t="shared" si="17"/>
        <v>121.459355107912</v>
      </c>
      <c r="CA231" s="30">
        <f t="shared" si="17"/>
        <v>1945.78582405315</v>
      </c>
      <c r="CB231" s="30">
        <f t="shared" si="17"/>
        <v>3965.0929015040401</v>
      </c>
      <c r="CC231" s="30">
        <f t="shared" si="17"/>
        <v>217.348057734935</v>
      </c>
      <c r="CD231" s="30">
        <f t="shared" si="17"/>
        <v>2855.54749402271</v>
      </c>
      <c r="CE231" s="30">
        <f t="shared" si="17"/>
        <v>970.95833499942898</v>
      </c>
      <c r="CF231" s="30">
        <f t="shared" si="17"/>
        <v>0</v>
      </c>
      <c r="CG231" s="30">
        <f t="shared" si="17"/>
        <v>776.13505315087798</v>
      </c>
      <c r="CH231" s="30">
        <f t="shared" si="17"/>
        <v>554.16298393440104</v>
      </c>
      <c r="CI231" s="30">
        <f t="shared" si="17"/>
        <v>864.45509572290496</v>
      </c>
      <c r="CJ231" s="30">
        <f t="shared" si="17"/>
        <v>607.87472255320097</v>
      </c>
      <c r="CK231" s="30">
        <f t="shared" si="17"/>
        <v>152.867400713054</v>
      </c>
      <c r="CL231" s="30">
        <f t="shared" si="17"/>
        <v>516.44829999029616</v>
      </c>
      <c r="CM231" s="30">
        <f t="shared" si="17"/>
        <v>2685.2822677081485</v>
      </c>
      <c r="CN231" s="30">
        <f t="shared" si="17"/>
        <v>218.52187829633263</v>
      </c>
      <c r="CO231" s="30">
        <f t="shared" si="17"/>
        <v>511.99516212155999</v>
      </c>
      <c r="CP231" s="30">
        <f t="shared" si="17"/>
        <v>2569.9240482350879</v>
      </c>
      <c r="CQ231" s="30">
        <f t="shared" si="17"/>
        <v>273.82511631166898</v>
      </c>
      <c r="CR231" s="30">
        <f t="shared" si="17"/>
        <v>531.20190472508</v>
      </c>
      <c r="CS231" s="30">
        <f t="shared" si="17"/>
        <v>545.89709082497404</v>
      </c>
      <c r="CT231" s="30">
        <f t="shared" si="17"/>
        <v>3673.3293437510561</v>
      </c>
      <c r="CU231" s="30">
        <f t="shared" si="17"/>
        <v>321.48895453778402</v>
      </c>
      <c r="CV231" s="30">
        <f t="shared" si="17"/>
        <v>230.13672387233399</v>
      </c>
      <c r="CW231" s="30">
        <f t="shared" si="17"/>
        <v>724.80922020528601</v>
      </c>
      <c r="CX231" s="30">
        <f t="shared" si="17"/>
        <v>136.91372446592999</v>
      </c>
      <c r="CY231" s="30">
        <f t="shared" si="17"/>
        <v>873.46962788965948</v>
      </c>
      <c r="CZ231" s="30">
        <f t="shared" si="17"/>
        <v>47.849809721001101</v>
      </c>
      <c r="DA231" s="30">
        <f t="shared" si="17"/>
        <v>1035.3006141352121</v>
      </c>
      <c r="DB231" s="30">
        <f t="shared" si="17"/>
        <v>1044.7975033885</v>
      </c>
      <c r="DC231" s="30">
        <f t="shared" si="17"/>
        <v>1078.7550507199282</v>
      </c>
      <c r="DD231" s="30">
        <f t="shared" si="17"/>
        <v>46.13791064384904</v>
      </c>
      <c r="DE231" s="30">
        <f t="shared" si="17"/>
        <v>0</v>
      </c>
      <c r="DF231" s="30">
        <f t="shared" si="17"/>
        <v>295.48570492832602</v>
      </c>
      <c r="DG231" s="30">
        <f t="shared" si="17"/>
        <v>1556.6505381214899</v>
      </c>
      <c r="DH231" s="30">
        <f t="shared" si="17"/>
        <v>1749.3771814307399</v>
      </c>
      <c r="DI231" s="30">
        <f t="shared" si="17"/>
        <v>174.93771814307399</v>
      </c>
      <c r="DJ231" s="30">
        <f t="shared" si="17"/>
        <v>8218.0029595409305</v>
      </c>
      <c r="DK231" s="30">
        <f t="shared" si="17"/>
        <v>26.757139580071399</v>
      </c>
      <c r="DL231" s="30">
        <f t="shared" si="17"/>
        <v>542.06679895810896</v>
      </c>
      <c r="DM231" s="30">
        <f t="shared" si="17"/>
        <v>63.469117926126302</v>
      </c>
      <c r="DN231" s="30">
        <f t="shared" si="17"/>
        <v>391.80480458748599</v>
      </c>
      <c r="DO231" s="30">
        <f t="shared" si="17"/>
        <v>119.590082958103</v>
      </c>
      <c r="DP231" s="30">
        <f t="shared" si="17"/>
        <v>0</v>
      </c>
      <c r="DQ231" s="30">
        <f t="shared" si="17"/>
        <v>730.68628666708003</v>
      </c>
      <c r="DR231" s="30">
        <f t="shared" si="17"/>
        <v>2195.5384162304199</v>
      </c>
      <c r="DS231" s="30">
        <f t="shared" si="17"/>
        <v>1078.3825644952899</v>
      </c>
      <c r="DT231" s="30">
        <f t="shared" si="17"/>
        <v>27.805716444811299</v>
      </c>
      <c r="DU231" s="30">
        <f t="shared" si="17"/>
        <v>2570.7769642732601</v>
      </c>
      <c r="DV231" s="30">
        <f t="shared" si="17"/>
        <v>608.97378294929104</v>
      </c>
      <c r="DW231" s="30">
        <f t="shared" si="17"/>
        <v>0</v>
      </c>
      <c r="DX231" s="30">
        <f t="shared" si="17"/>
        <v>556.62896992985702</v>
      </c>
      <c r="DY231" s="30">
        <f t="shared" si="17"/>
        <v>1259.1074881828399</v>
      </c>
      <c r="DZ231" s="30">
        <f t="shared" si="17"/>
        <v>3309.82570863407</v>
      </c>
      <c r="EA231" s="30">
        <f t="shared" si="17"/>
        <v>71.482495142399998</v>
      </c>
      <c r="EB231" s="30">
        <f t="shared" ref="EB231:GM231" si="18">SUM(EB232:EB234)</f>
        <v>336.13631858743798</v>
      </c>
      <c r="EC231" s="30">
        <f t="shared" si="18"/>
        <v>1323.62734418884</v>
      </c>
      <c r="ED231" s="30">
        <f t="shared" si="18"/>
        <v>746.51085191353195</v>
      </c>
      <c r="EE231" s="30">
        <f t="shared" si="18"/>
        <v>2292.6430212988298</v>
      </c>
      <c r="EF231" s="30">
        <f t="shared" si="18"/>
        <v>7149.2572246370801</v>
      </c>
      <c r="EG231" s="30">
        <f t="shared" si="18"/>
        <v>596.11308015951704</v>
      </c>
      <c r="EH231" s="30">
        <f t="shared" si="18"/>
        <v>83</v>
      </c>
      <c r="EI231" s="30">
        <f t="shared" si="18"/>
        <v>88.0658581629948</v>
      </c>
      <c r="EJ231" s="30">
        <f t="shared" si="18"/>
        <v>1567.5083059752701</v>
      </c>
      <c r="EK231" s="30">
        <f t="shared" si="18"/>
        <v>43.388461999999997</v>
      </c>
      <c r="EL231" s="30">
        <f t="shared" si="18"/>
        <v>359.04105348131299</v>
      </c>
      <c r="EM231" s="30">
        <f t="shared" si="18"/>
        <v>22.295939000000001</v>
      </c>
      <c r="EN231" s="30">
        <f t="shared" si="18"/>
        <v>156.29696733328501</v>
      </c>
      <c r="EO231" s="30">
        <f t="shared" si="18"/>
        <v>184.564008</v>
      </c>
      <c r="EP231" s="30">
        <f t="shared" si="18"/>
        <v>0</v>
      </c>
      <c r="EQ231" s="30">
        <f t="shared" si="18"/>
        <v>56.816881331455399</v>
      </c>
      <c r="ER231" s="30">
        <f t="shared" si="18"/>
        <v>400.78401100000002</v>
      </c>
      <c r="ES231" s="30">
        <f t="shared" si="18"/>
        <v>2106.7132295476499</v>
      </c>
      <c r="ET231" s="30">
        <f t="shared" si="18"/>
        <v>1765.1297093982987</v>
      </c>
      <c r="EU231" s="30">
        <f t="shared" si="18"/>
        <v>10.011844515288386</v>
      </c>
      <c r="EV231" s="30">
        <f t="shared" si="18"/>
        <v>525.20754755176756</v>
      </c>
      <c r="EW231" s="30">
        <f t="shared" si="18"/>
        <v>1517.02893454223</v>
      </c>
      <c r="EX231" s="30">
        <f t="shared" si="18"/>
        <v>2562.2334103489779</v>
      </c>
      <c r="EY231" s="30">
        <f t="shared" si="18"/>
        <v>1133.1775586318399</v>
      </c>
      <c r="EZ231" s="30">
        <f t="shared" si="18"/>
        <v>5448.4181161523065</v>
      </c>
      <c r="FA231" s="30">
        <f t="shared" si="18"/>
        <v>1271.9644769451349</v>
      </c>
      <c r="FB231" s="30">
        <f t="shared" si="18"/>
        <v>907.72003928303604</v>
      </c>
      <c r="FC231" s="30">
        <f t="shared" si="18"/>
        <v>15395.498765554799</v>
      </c>
      <c r="FD231" s="30">
        <f t="shared" si="18"/>
        <v>8954.6444083974602</v>
      </c>
      <c r="FE231" s="30">
        <f t="shared" si="18"/>
        <v>2055.9994543876601</v>
      </c>
      <c r="FF231" s="30">
        <f t="shared" si="18"/>
        <v>2477.8034782422237</v>
      </c>
      <c r="FG231" s="30">
        <f t="shared" si="18"/>
        <v>18049.9353024681</v>
      </c>
      <c r="FH231" s="30">
        <f t="shared" si="18"/>
        <v>654.551145597296</v>
      </c>
      <c r="FI231" s="30">
        <f t="shared" si="18"/>
        <v>35885.661398293101</v>
      </c>
      <c r="FJ231" s="30">
        <f t="shared" si="18"/>
        <v>4624.0098381242396</v>
      </c>
      <c r="FK231" s="30">
        <f t="shared" si="18"/>
        <v>472.97818000000001</v>
      </c>
      <c r="FL231" s="30">
        <f t="shared" si="18"/>
        <v>11421.9485904924</v>
      </c>
      <c r="FM231" s="30">
        <f t="shared" si="18"/>
        <v>12115.238352673499</v>
      </c>
      <c r="FN231" s="30">
        <f t="shared" si="18"/>
        <v>2609.1342576826</v>
      </c>
      <c r="FO231" s="30">
        <f t="shared" si="18"/>
        <v>33.501137732109001</v>
      </c>
      <c r="FP231" s="30">
        <f t="shared" si="18"/>
        <v>2689.06228630742</v>
      </c>
      <c r="FQ231" s="30">
        <f t="shared" si="18"/>
        <v>2648.5443130953399</v>
      </c>
      <c r="FR231" s="30">
        <f t="shared" si="18"/>
        <v>181.18866793509201</v>
      </c>
      <c r="FS231" s="30">
        <f t="shared" si="18"/>
        <v>2331.5930485100498</v>
      </c>
      <c r="FT231" s="30">
        <f t="shared" si="18"/>
        <v>28932.907194610525</v>
      </c>
      <c r="FU231" s="30">
        <f t="shared" si="18"/>
        <v>13041.7630422774</v>
      </c>
      <c r="FV231" s="30">
        <f t="shared" si="18"/>
        <v>1272.32755344781</v>
      </c>
      <c r="FW231" s="30">
        <f t="shared" si="18"/>
        <v>833.96808849358399</v>
      </c>
      <c r="FX231" s="30">
        <f t="shared" si="18"/>
        <v>15303.582546015599</v>
      </c>
      <c r="FY231" s="30">
        <f t="shared" si="18"/>
        <v>2563.4755704696272</v>
      </c>
      <c r="FZ231" s="30">
        <f t="shared" si="18"/>
        <v>1799.70800437462</v>
      </c>
      <c r="GA231" s="30">
        <f t="shared" si="18"/>
        <v>20295.654778551248</v>
      </c>
      <c r="GB231" s="30">
        <f t="shared" si="18"/>
        <v>4016.4110900241299</v>
      </c>
      <c r="GC231" s="30">
        <f t="shared" si="18"/>
        <v>1651.8046429999999</v>
      </c>
      <c r="GD231" s="30">
        <f t="shared" si="18"/>
        <v>4463.1137172618701</v>
      </c>
      <c r="GE231" s="30">
        <f t="shared" si="18"/>
        <v>6523.6115241791704</v>
      </c>
      <c r="GF231" s="30">
        <f t="shared" si="18"/>
        <v>3233.95064874833</v>
      </c>
      <c r="GG231" s="30">
        <f t="shared" si="18"/>
        <v>24125.241189586712</v>
      </c>
      <c r="GH231" s="30">
        <f t="shared" si="18"/>
        <v>3532.2408733385801</v>
      </c>
      <c r="GI231" s="30">
        <f t="shared" si="18"/>
        <v>18879.807678886998</v>
      </c>
      <c r="GJ231" s="30">
        <f t="shared" si="18"/>
        <v>3590.4459623102198</v>
      </c>
      <c r="GK231" s="30">
        <f t="shared" si="18"/>
        <v>9188.8015696122093</v>
      </c>
      <c r="GL231" s="30">
        <f t="shared" si="18"/>
        <v>2476.4240130097201</v>
      </c>
      <c r="GM231" s="30">
        <f t="shared" si="18"/>
        <v>7689.3560880727937</v>
      </c>
      <c r="GN231" s="30">
        <f t="shared" ref="GN231:GP231" si="19">SUM(GN232:GN234)</f>
        <v>858.37621099384103</v>
      </c>
      <c r="GO231" s="30">
        <f t="shared" si="19"/>
        <v>1575.14261169627</v>
      </c>
      <c r="GP231" s="30">
        <f t="shared" si="19"/>
        <v>1766.0250000000001</v>
      </c>
      <c r="GQ231" s="30">
        <v>508044.86572040617</v>
      </c>
      <c r="GR231" s="31"/>
      <c r="GS231" s="31"/>
      <c r="GT231" s="31"/>
      <c r="GU231" s="31"/>
      <c r="GV231" s="31"/>
      <c r="GW231" s="31"/>
      <c r="GX231" s="31"/>
      <c r="GY231" s="31"/>
      <c r="GZ231" s="31"/>
      <c r="HA231" s="15"/>
      <c r="HB231" s="15"/>
      <c r="HC231" s="15"/>
    </row>
    <row r="232" spans="1:211" s="7" customFormat="1" ht="17.25" customHeight="1">
      <c r="B232" s="12" t="s">
        <v>715</v>
      </c>
      <c r="C232" s="13" t="s">
        <v>716</v>
      </c>
      <c r="D232" s="32">
        <v>778.17032376268696</v>
      </c>
      <c r="E232" s="32">
        <v>1376.4586198044501</v>
      </c>
      <c r="F232" s="32">
        <v>2610.8776275268401</v>
      </c>
      <c r="G232" s="32">
        <v>414.08356943851498</v>
      </c>
      <c r="H232" s="32">
        <v>1192.77155531939</v>
      </c>
      <c r="I232" s="32">
        <v>1199.26382471183</v>
      </c>
      <c r="J232" s="32">
        <v>284.00854636315501</v>
      </c>
      <c r="K232" s="32">
        <v>72.379497945417796</v>
      </c>
      <c r="L232" s="32">
        <v>352.98999753176003</v>
      </c>
      <c r="M232" s="32">
        <v>3016.9705525377399</v>
      </c>
      <c r="N232" s="32">
        <v>495.73197869813202</v>
      </c>
      <c r="O232" s="32">
        <v>652.23495875764195</v>
      </c>
      <c r="P232" s="32">
        <v>93.213340396863401</v>
      </c>
      <c r="Q232" s="32">
        <v>1822.8988868000899</v>
      </c>
      <c r="R232" s="32">
        <v>1602.57154763885</v>
      </c>
      <c r="S232" s="32">
        <v>5134.3981994139203</v>
      </c>
      <c r="T232" s="32">
        <v>292.09088651890698</v>
      </c>
      <c r="U232" s="32">
        <v>635.93923272523205</v>
      </c>
      <c r="V232" s="32">
        <v>13.021267617265099</v>
      </c>
      <c r="W232" s="32">
        <v>201.40026178470401</v>
      </c>
      <c r="X232" s="32">
        <v>179.001327666815</v>
      </c>
      <c r="Y232" s="32">
        <v>48.2430960006253</v>
      </c>
      <c r="Z232" s="32">
        <v>459.65315462569998</v>
      </c>
      <c r="AA232" s="32">
        <v>77.825702981632801</v>
      </c>
      <c r="AB232" s="32">
        <v>32.307516782701597</v>
      </c>
      <c r="AC232" s="32">
        <v>1296.2486202212201</v>
      </c>
      <c r="AD232" s="32">
        <v>21.321475959709002</v>
      </c>
      <c r="AE232" s="32">
        <v>2310.2989891277298</v>
      </c>
      <c r="AF232" s="32">
        <v>7372.2581062397803</v>
      </c>
      <c r="AG232" s="32">
        <v>1791.2088964506399</v>
      </c>
      <c r="AH232" s="32">
        <v>208.659268144224</v>
      </c>
      <c r="AI232" s="32">
        <v>378.839004393126</v>
      </c>
      <c r="AJ232" s="32">
        <v>79.7467265658602</v>
      </c>
      <c r="AK232" s="32">
        <v>225.90320037960899</v>
      </c>
      <c r="AL232" s="32">
        <v>4852.9119455606897</v>
      </c>
      <c r="AM232" s="32">
        <v>296.19689273788799</v>
      </c>
      <c r="AN232" s="32">
        <v>551.932654427898</v>
      </c>
      <c r="AO232" s="32">
        <v>139.626395749425</v>
      </c>
      <c r="AP232" s="32">
        <v>601.807823278353</v>
      </c>
      <c r="AQ232" s="32">
        <v>237.155665397208</v>
      </c>
      <c r="AR232" s="32">
        <v>25.564700905481601</v>
      </c>
      <c r="AS232" s="32">
        <v>3.27283993855922</v>
      </c>
      <c r="AT232" s="32">
        <v>23372.2958765685</v>
      </c>
      <c r="AU232" s="32">
        <v>2049.2968780971501</v>
      </c>
      <c r="AV232" s="32">
        <v>2564.96632670502</v>
      </c>
      <c r="AW232" s="32">
        <v>6017.6823492189096</v>
      </c>
      <c r="AX232" s="32">
        <v>10195.2793493394</v>
      </c>
      <c r="AY232" s="32">
        <v>3.28</v>
      </c>
      <c r="AZ232" s="32">
        <v>341</v>
      </c>
      <c r="BA232" s="32">
        <v>374.315690160808</v>
      </c>
      <c r="BB232" s="32">
        <v>66</v>
      </c>
      <c r="BC232" s="32">
        <v>1959.73234495113</v>
      </c>
      <c r="BD232" s="32">
        <v>57.91</v>
      </c>
      <c r="BE232" s="32">
        <v>5503.6210804819602</v>
      </c>
      <c r="BF232" s="32">
        <v>2089.7789001537299</v>
      </c>
      <c r="BG232" s="32">
        <v>696.61322196099195</v>
      </c>
      <c r="BH232" s="32">
        <v>4584.56423602007</v>
      </c>
      <c r="BI232" s="32">
        <v>157.49410418543201</v>
      </c>
      <c r="BJ232" s="32">
        <v>774.07303877775803</v>
      </c>
      <c r="BK232" s="32">
        <v>204.854997334194</v>
      </c>
      <c r="BL232" s="32">
        <v>912.63153339036205</v>
      </c>
      <c r="BM232" s="32">
        <v>467.031745614356</v>
      </c>
      <c r="BN232" s="32">
        <v>486.64252115356697</v>
      </c>
      <c r="BO232" s="32">
        <v>594.68299942640203</v>
      </c>
      <c r="BP232" s="32">
        <v>426.01046711545598</v>
      </c>
      <c r="BQ232" s="32">
        <v>1053.13829800961</v>
      </c>
      <c r="BR232" s="32">
        <v>385.74950294812498</v>
      </c>
      <c r="BS232" s="32">
        <v>1927.86882790499</v>
      </c>
      <c r="BT232" s="32">
        <v>2998.41321773661</v>
      </c>
      <c r="BU232" s="32">
        <v>797.69628388308797</v>
      </c>
      <c r="BV232" s="32">
        <v>1379.7225655094001</v>
      </c>
      <c r="BW232" s="32">
        <v>427.08566774003901</v>
      </c>
      <c r="BX232" s="32">
        <v>1235.88328528288</v>
      </c>
      <c r="BY232" s="32">
        <v>860.79556730342699</v>
      </c>
      <c r="BZ232" s="32">
        <v>121.459355107912</v>
      </c>
      <c r="CA232" s="32">
        <v>1945.78582405315</v>
      </c>
      <c r="CB232" s="32">
        <v>3965.0929015040401</v>
      </c>
      <c r="CC232" s="32">
        <v>217.348057734935</v>
      </c>
      <c r="CD232" s="32">
        <v>2855.54749402271</v>
      </c>
      <c r="CE232" s="32">
        <v>970.95833499942898</v>
      </c>
      <c r="CF232" s="32">
        <v>0</v>
      </c>
      <c r="CG232" s="32">
        <v>776.13505315087798</v>
      </c>
      <c r="CH232" s="32">
        <v>554.16298393440104</v>
      </c>
      <c r="CI232" s="32">
        <v>864.45509572290496</v>
      </c>
      <c r="CJ232" s="32">
        <v>607.87472255320097</v>
      </c>
      <c r="CK232" s="32">
        <v>152.867400713054</v>
      </c>
      <c r="CL232" s="32">
        <v>513.94680113680397</v>
      </c>
      <c r="CM232" s="32">
        <v>2683.1904372819399</v>
      </c>
      <c r="CN232" s="32">
        <v>213.43004787012401</v>
      </c>
      <c r="CO232" s="32">
        <v>511.99516212155999</v>
      </c>
      <c r="CP232" s="32">
        <v>2529.0187772383401</v>
      </c>
      <c r="CQ232" s="32">
        <v>273.82511631166898</v>
      </c>
      <c r="CR232" s="32">
        <v>531.20190472508</v>
      </c>
      <c r="CS232" s="32">
        <v>545.89709082497404</v>
      </c>
      <c r="CT232" s="32">
        <v>3649.23005115551</v>
      </c>
      <c r="CU232" s="32">
        <v>321.48895453778402</v>
      </c>
      <c r="CV232" s="32">
        <v>230.13672387233399</v>
      </c>
      <c r="CW232" s="32">
        <v>724.80922020528601</v>
      </c>
      <c r="CX232" s="32">
        <v>136.91372446592999</v>
      </c>
      <c r="CY232" s="32">
        <v>871.72260648124598</v>
      </c>
      <c r="CZ232" s="32">
        <v>47.849809721001101</v>
      </c>
      <c r="DA232" s="32">
        <v>1035.12573882313</v>
      </c>
      <c r="DB232" s="32">
        <v>1044.7975033885</v>
      </c>
      <c r="DC232" s="32">
        <v>1073.9453942826501</v>
      </c>
      <c r="DD232" s="32">
        <v>45.933116691568202</v>
      </c>
      <c r="DE232" s="32">
        <v>0</v>
      </c>
      <c r="DF232" s="32">
        <v>295.48570492832602</v>
      </c>
      <c r="DG232" s="32">
        <v>1556.6505381214899</v>
      </c>
      <c r="DH232" s="32">
        <v>1749.3771814307399</v>
      </c>
      <c r="DI232" s="32">
        <v>174.93771814307399</v>
      </c>
      <c r="DJ232" s="32">
        <v>8218.0029595409305</v>
      </c>
      <c r="DK232" s="32">
        <v>26.757139580071399</v>
      </c>
      <c r="DL232" s="32">
        <v>542.06679895810896</v>
      </c>
      <c r="DM232" s="32">
        <v>63.469117926126302</v>
      </c>
      <c r="DN232" s="32">
        <v>391.80480458748599</v>
      </c>
      <c r="DO232" s="32">
        <v>119.590082958103</v>
      </c>
      <c r="DP232" s="32">
        <v>0</v>
      </c>
      <c r="DQ232" s="32">
        <v>730.68628666708003</v>
      </c>
      <c r="DR232" s="32">
        <v>2195.5384162304199</v>
      </c>
      <c r="DS232" s="32">
        <v>1078.3825644952899</v>
      </c>
      <c r="DT232" s="32">
        <v>27.805716444811299</v>
      </c>
      <c r="DU232" s="32">
        <v>2570.7769642732601</v>
      </c>
      <c r="DV232" s="32">
        <v>608.97378294929104</v>
      </c>
      <c r="DW232" s="32">
        <v>0</v>
      </c>
      <c r="DX232" s="32">
        <v>556.62896992985702</v>
      </c>
      <c r="DY232" s="32">
        <v>1259.1074881828399</v>
      </c>
      <c r="DZ232" s="32">
        <v>3309.82570863407</v>
      </c>
      <c r="EA232" s="32">
        <v>71.482495142399998</v>
      </c>
      <c r="EB232" s="32">
        <v>336.13631858743798</v>
      </c>
      <c r="EC232" s="32">
        <v>1323.62734418884</v>
      </c>
      <c r="ED232" s="32">
        <v>746.51085191353195</v>
      </c>
      <c r="EE232" s="32">
        <v>2292.6430212988298</v>
      </c>
      <c r="EF232" s="32">
        <v>7149.2572246370801</v>
      </c>
      <c r="EG232" s="32">
        <v>596.11308015951704</v>
      </c>
      <c r="EH232" s="32">
        <v>83</v>
      </c>
      <c r="EI232" s="32">
        <v>88.0658581629948</v>
      </c>
      <c r="EJ232" s="32">
        <v>1567.5083059752701</v>
      </c>
      <c r="EK232" s="32">
        <v>43.388461999999997</v>
      </c>
      <c r="EL232" s="32">
        <v>359.04105348131299</v>
      </c>
      <c r="EM232" s="32">
        <v>22.295939000000001</v>
      </c>
      <c r="EN232" s="32">
        <v>156.29696733328501</v>
      </c>
      <c r="EO232" s="32">
        <v>184.564008</v>
      </c>
      <c r="EP232" s="32">
        <v>0</v>
      </c>
      <c r="EQ232" s="32">
        <v>56.816881331455399</v>
      </c>
      <c r="ER232" s="32">
        <v>400.78401100000002</v>
      </c>
      <c r="ES232" s="32">
        <v>2104.7132295476499</v>
      </c>
      <c r="ET232" s="32">
        <v>1757.70586897214</v>
      </c>
      <c r="EU232" s="32">
        <v>9.8786679132497603</v>
      </c>
      <c r="EV232" s="32">
        <v>522.54490165266895</v>
      </c>
      <c r="EW232" s="32">
        <v>1517.02893454223</v>
      </c>
      <c r="EX232" s="32">
        <v>2558.77519745772</v>
      </c>
      <c r="EY232" s="32">
        <v>1133.1775586318399</v>
      </c>
      <c r="EZ232" s="32">
        <v>5448.19680716125</v>
      </c>
      <c r="FA232" s="32">
        <v>1126.9181748220799</v>
      </c>
      <c r="FB232" s="32">
        <v>907.72003928303604</v>
      </c>
      <c r="FC232" s="32">
        <v>15395.498765554799</v>
      </c>
      <c r="FD232" s="32">
        <v>8954.6444083974602</v>
      </c>
      <c r="FE232" s="32">
        <v>2055.9994543876601</v>
      </c>
      <c r="FF232" s="32">
        <v>2435.28255735832</v>
      </c>
      <c r="FG232" s="32">
        <v>18049.9353024681</v>
      </c>
      <c r="FH232" s="32">
        <v>654.551145597296</v>
      </c>
      <c r="FI232" s="32">
        <v>35885.661398293101</v>
      </c>
      <c r="FJ232" s="32">
        <v>4624.0098381242396</v>
      </c>
      <c r="FK232" s="32">
        <v>472.97818000000001</v>
      </c>
      <c r="FL232" s="32">
        <v>11421.9485904924</v>
      </c>
      <c r="FM232" s="32">
        <v>12115.238352673499</v>
      </c>
      <c r="FN232" s="32">
        <v>2609.1342576826</v>
      </c>
      <c r="FO232" s="32">
        <v>33.501137732109001</v>
      </c>
      <c r="FP232" s="32">
        <v>2689.06228630742</v>
      </c>
      <c r="FQ232" s="32">
        <v>2648.5443130953399</v>
      </c>
      <c r="FR232" s="32">
        <v>181.18866793509201</v>
      </c>
      <c r="FS232" s="32">
        <v>2331.5930485100498</v>
      </c>
      <c r="FT232" s="32">
        <v>28304.7117678377</v>
      </c>
      <c r="FU232" s="32">
        <v>13041.7630422774</v>
      </c>
      <c r="FV232" s="32">
        <v>1272.32755344781</v>
      </c>
      <c r="FW232" s="32">
        <v>640.60488050000004</v>
      </c>
      <c r="FX232" s="32">
        <v>15303.582546015599</v>
      </c>
      <c r="FY232" s="32">
        <v>2554.7323419693298</v>
      </c>
      <c r="FZ232" s="32">
        <v>1799.70800437462</v>
      </c>
      <c r="GA232" s="32">
        <v>5653.82207890265</v>
      </c>
      <c r="GB232" s="32">
        <v>4016.4110900241299</v>
      </c>
      <c r="GC232" s="32">
        <v>1651.8046429999999</v>
      </c>
      <c r="GD232" s="32">
        <v>4463.1137172618701</v>
      </c>
      <c r="GE232" s="32">
        <v>6523.6115241791704</v>
      </c>
      <c r="GF232" s="32">
        <v>3233.95064874833</v>
      </c>
      <c r="GG232" s="32">
        <v>767.35963932125196</v>
      </c>
      <c r="GH232" s="32">
        <v>3532.2408733385801</v>
      </c>
      <c r="GI232" s="32">
        <v>200.39760500840001</v>
      </c>
      <c r="GJ232" s="32">
        <v>3590.4459623102198</v>
      </c>
      <c r="GK232" s="32">
        <v>82.778105083469598</v>
      </c>
      <c r="GL232" s="32">
        <v>1031.3637078043801</v>
      </c>
      <c r="GM232" s="32">
        <v>7421.9619789688204</v>
      </c>
      <c r="GN232" s="32">
        <v>858.37621099384103</v>
      </c>
      <c r="GO232" s="32">
        <v>1575.14261169627</v>
      </c>
      <c r="GP232" s="32">
        <v>1766.0250000000001</v>
      </c>
      <c r="GQ232" s="32">
        <v>438298.78134428419</v>
      </c>
      <c r="GR232" s="31"/>
      <c r="GS232" s="33"/>
      <c r="GT232" s="33"/>
      <c r="GU232" s="33"/>
      <c r="GV232" s="33"/>
      <c r="GW232" s="33"/>
      <c r="GX232" s="33"/>
      <c r="GY232" s="33"/>
      <c r="GZ232" s="33"/>
      <c r="HA232" s="5"/>
      <c r="HB232" s="5"/>
      <c r="HC232" s="5"/>
    </row>
    <row r="233" spans="1:211" s="7" customFormat="1" ht="17.25" customHeight="1">
      <c r="B233" s="12" t="s">
        <v>717</v>
      </c>
      <c r="C233" s="13" t="s">
        <v>718</v>
      </c>
      <c r="D233" s="32">
        <v>19.8829883153618</v>
      </c>
      <c r="E233" s="32">
        <v>0</v>
      </c>
      <c r="F233" s="32">
        <v>0.22299717951695899</v>
      </c>
      <c r="G233" s="32">
        <v>5.9894134024967198E-3</v>
      </c>
      <c r="H233" s="32">
        <v>6.4186713649331498E-2</v>
      </c>
      <c r="I233" s="32">
        <v>0.68640381020305896</v>
      </c>
      <c r="J233" s="32">
        <v>0.666696955688165</v>
      </c>
      <c r="K233" s="32">
        <v>9.9972976397585303E-2</v>
      </c>
      <c r="L233" s="32">
        <v>0.65605616974639902</v>
      </c>
      <c r="M233" s="32">
        <v>56.851098711844799</v>
      </c>
      <c r="N233" s="32">
        <v>0.63981367678646694</v>
      </c>
      <c r="O233" s="32">
        <v>0.76395142538753802</v>
      </c>
      <c r="P233" s="32">
        <v>1.9129039316581099E-3</v>
      </c>
      <c r="Q233" s="32">
        <v>2.0941545177143999</v>
      </c>
      <c r="R233" s="32">
        <v>1.4657514647872001</v>
      </c>
      <c r="S233" s="32">
        <v>1.1493080682215501E-3</v>
      </c>
      <c r="T233" s="32">
        <v>1.30183512994674E-4</v>
      </c>
      <c r="U233" s="32">
        <v>0.11356245455573701</v>
      </c>
      <c r="V233" s="32">
        <v>0</v>
      </c>
      <c r="W233" s="32">
        <v>1.7090486865730999E-3</v>
      </c>
      <c r="X233" s="32">
        <v>2.3746640198182601E-4</v>
      </c>
      <c r="Y233" s="32">
        <v>1.1642554309131499E-2</v>
      </c>
      <c r="Z233" s="32">
        <v>9.9484648505589695E-5</v>
      </c>
      <c r="AA233" s="32">
        <v>0.34412072172199798</v>
      </c>
      <c r="AB233" s="32">
        <v>0</v>
      </c>
      <c r="AC233" s="32">
        <v>1.7923969018149001E-4</v>
      </c>
      <c r="AD233" s="32">
        <v>0</v>
      </c>
      <c r="AE233" s="32">
        <v>27.787241453105601</v>
      </c>
      <c r="AF233" s="32">
        <v>166.19988713851501</v>
      </c>
      <c r="AG233" s="32">
        <v>0</v>
      </c>
      <c r="AH233" s="32">
        <v>0</v>
      </c>
      <c r="AI233" s="32">
        <v>0</v>
      </c>
      <c r="AJ233" s="32">
        <v>0</v>
      </c>
      <c r="AK233" s="32">
        <v>0</v>
      </c>
      <c r="AL233" s="32">
        <v>0</v>
      </c>
      <c r="AM233" s="32">
        <v>0</v>
      </c>
      <c r="AN233" s="32">
        <v>0</v>
      </c>
      <c r="AO233" s="32">
        <v>0</v>
      </c>
      <c r="AP233" s="32">
        <v>0</v>
      </c>
      <c r="AQ233" s="32">
        <v>26.662722882899999</v>
      </c>
      <c r="AR233" s="32">
        <v>42.511195988828099</v>
      </c>
      <c r="AS233" s="32">
        <v>0</v>
      </c>
      <c r="AT233" s="32">
        <v>39.058400665388596</v>
      </c>
      <c r="AU233" s="32">
        <v>0</v>
      </c>
      <c r="AV233" s="32">
        <v>0</v>
      </c>
      <c r="AW233" s="32">
        <v>0</v>
      </c>
      <c r="AX233" s="32">
        <v>0</v>
      </c>
      <c r="AY233" s="32">
        <v>0</v>
      </c>
      <c r="AZ233" s="32">
        <v>0</v>
      </c>
      <c r="BA233" s="32">
        <v>0</v>
      </c>
      <c r="BB233" s="32">
        <v>0</v>
      </c>
      <c r="BC233" s="32">
        <v>0</v>
      </c>
      <c r="BD233" s="32">
        <v>0</v>
      </c>
      <c r="BE233" s="32">
        <v>15.6112043617384</v>
      </c>
      <c r="BF233" s="32">
        <v>197.702051241666</v>
      </c>
      <c r="BG233" s="32">
        <v>0</v>
      </c>
      <c r="BH233" s="32">
        <v>254.73974407817599</v>
      </c>
      <c r="BI233" s="32">
        <v>0</v>
      </c>
      <c r="BJ233" s="32">
        <v>26.189264650792001</v>
      </c>
      <c r="BK233" s="32">
        <v>0</v>
      </c>
      <c r="BL233" s="32">
        <v>0</v>
      </c>
      <c r="BM233" s="32">
        <v>0</v>
      </c>
      <c r="BN233" s="32">
        <v>0</v>
      </c>
      <c r="BO233" s="32">
        <v>1.1659453948477101</v>
      </c>
      <c r="BP233" s="32">
        <v>126.575951759928</v>
      </c>
      <c r="BQ233" s="32">
        <v>0</v>
      </c>
      <c r="BR233" s="32">
        <v>0</v>
      </c>
      <c r="BS233" s="32">
        <v>0</v>
      </c>
      <c r="BT233" s="32">
        <v>124.309417687777</v>
      </c>
      <c r="BU233" s="32">
        <v>0</v>
      </c>
      <c r="BV233" s="32">
        <v>0</v>
      </c>
      <c r="BW233" s="32">
        <v>0</v>
      </c>
      <c r="BX233" s="32">
        <v>0</v>
      </c>
      <c r="BY233" s="32">
        <v>0</v>
      </c>
      <c r="BZ233" s="32">
        <v>0</v>
      </c>
      <c r="CA233" s="32">
        <v>0</v>
      </c>
      <c r="CB233" s="32">
        <v>0</v>
      </c>
      <c r="CC233" s="32">
        <v>0</v>
      </c>
      <c r="CD233" s="32">
        <v>0</v>
      </c>
      <c r="CE233" s="32">
        <v>0</v>
      </c>
      <c r="CF233" s="32">
        <v>0</v>
      </c>
      <c r="CG233" s="32">
        <v>0</v>
      </c>
      <c r="CH233" s="32">
        <v>0</v>
      </c>
      <c r="CI233" s="32">
        <v>0</v>
      </c>
      <c r="CJ233" s="32">
        <v>0</v>
      </c>
      <c r="CK233" s="32">
        <v>0</v>
      </c>
      <c r="CL233" s="32">
        <v>2.5014988534921598</v>
      </c>
      <c r="CM233" s="32">
        <v>2.0918304262086198</v>
      </c>
      <c r="CN233" s="32">
        <v>5.0918304262086203</v>
      </c>
      <c r="CO233" s="32">
        <v>0</v>
      </c>
      <c r="CP233" s="32">
        <v>40.905270996747902</v>
      </c>
      <c r="CQ233" s="32">
        <v>0</v>
      </c>
      <c r="CR233" s="32">
        <v>0</v>
      </c>
      <c r="CS233" s="32">
        <v>0</v>
      </c>
      <c r="CT233" s="32">
        <v>24.099292595546299</v>
      </c>
      <c r="CU233" s="32">
        <v>0</v>
      </c>
      <c r="CV233" s="32">
        <v>0</v>
      </c>
      <c r="CW233" s="32">
        <v>0</v>
      </c>
      <c r="CX233" s="32">
        <v>0</v>
      </c>
      <c r="CY233" s="32">
        <v>1.7470214084135001</v>
      </c>
      <c r="CZ233" s="32">
        <v>0</v>
      </c>
      <c r="DA233" s="32">
        <v>0.17487531208210599</v>
      </c>
      <c r="DB233" s="32">
        <v>0</v>
      </c>
      <c r="DC233" s="32">
        <v>4.8096564372781598</v>
      </c>
      <c r="DD233" s="32">
        <v>0.20479395228083699</v>
      </c>
      <c r="DE233" s="32">
        <v>0</v>
      </c>
      <c r="DF233" s="32">
        <v>0</v>
      </c>
      <c r="DG233" s="32">
        <v>0</v>
      </c>
      <c r="DH233" s="32">
        <v>0</v>
      </c>
      <c r="DI233" s="32">
        <v>0</v>
      </c>
      <c r="DJ233" s="32">
        <v>0</v>
      </c>
      <c r="DK233" s="32">
        <v>0</v>
      </c>
      <c r="DL233" s="32">
        <v>0</v>
      </c>
      <c r="DM233" s="32">
        <v>0</v>
      </c>
      <c r="DN233" s="32">
        <v>0</v>
      </c>
      <c r="DO233" s="32">
        <v>0</v>
      </c>
      <c r="DP233" s="32">
        <v>0</v>
      </c>
      <c r="DQ233" s="32">
        <v>0</v>
      </c>
      <c r="DR233" s="32">
        <v>0</v>
      </c>
      <c r="DS233" s="32">
        <v>0</v>
      </c>
      <c r="DT233" s="32">
        <v>0</v>
      </c>
      <c r="DU233" s="32">
        <v>0</v>
      </c>
      <c r="DV233" s="32">
        <v>0</v>
      </c>
      <c r="DW233" s="32">
        <v>0</v>
      </c>
      <c r="DX233" s="32">
        <v>0</v>
      </c>
      <c r="DY233" s="32">
        <v>0</v>
      </c>
      <c r="DZ233" s="32">
        <v>0</v>
      </c>
      <c r="EA233" s="32">
        <v>0</v>
      </c>
      <c r="EB233" s="32">
        <v>0</v>
      </c>
      <c r="EC233" s="32">
        <v>0</v>
      </c>
      <c r="ED233" s="32">
        <v>0</v>
      </c>
      <c r="EE233" s="32">
        <v>0</v>
      </c>
      <c r="EF233" s="32">
        <v>0</v>
      </c>
      <c r="EG233" s="32">
        <v>0</v>
      </c>
      <c r="EH233" s="32">
        <v>0</v>
      </c>
      <c r="EI233" s="32">
        <v>0</v>
      </c>
      <c r="EJ233" s="32">
        <v>0</v>
      </c>
      <c r="EK233" s="32">
        <v>0</v>
      </c>
      <c r="EL233" s="32">
        <v>0</v>
      </c>
      <c r="EM233" s="32">
        <v>0</v>
      </c>
      <c r="EN233" s="32">
        <v>0</v>
      </c>
      <c r="EO233" s="32">
        <v>0</v>
      </c>
      <c r="EP233" s="32">
        <v>0</v>
      </c>
      <c r="EQ233" s="32">
        <v>0</v>
      </c>
      <c r="ER233" s="32">
        <v>0</v>
      </c>
      <c r="ES233" s="32">
        <v>2</v>
      </c>
      <c r="ET233" s="32">
        <v>7.4238404261586197</v>
      </c>
      <c r="EU233" s="32">
        <v>0.133176602038626</v>
      </c>
      <c r="EV233" s="32">
        <v>2.6626458990986399</v>
      </c>
      <c r="EW233" s="32">
        <v>0</v>
      </c>
      <c r="EX233" s="32">
        <v>3.4582128912579702</v>
      </c>
      <c r="EY233" s="32">
        <v>0</v>
      </c>
      <c r="EZ233" s="32">
        <v>0.22130899105691501</v>
      </c>
      <c r="FA233" s="32">
        <v>0</v>
      </c>
      <c r="FB233" s="32">
        <v>0</v>
      </c>
      <c r="FC233" s="32">
        <v>0</v>
      </c>
      <c r="FD233" s="32">
        <v>0</v>
      </c>
      <c r="FE233" s="32">
        <v>0</v>
      </c>
      <c r="FF233" s="32">
        <v>42.520920883903798</v>
      </c>
      <c r="FG233" s="32">
        <v>0</v>
      </c>
      <c r="FH233" s="32">
        <v>0</v>
      </c>
      <c r="FI233" s="32">
        <v>0</v>
      </c>
      <c r="FJ233" s="32">
        <v>0</v>
      </c>
      <c r="FK233" s="32">
        <v>0</v>
      </c>
      <c r="FL233" s="32">
        <v>0</v>
      </c>
      <c r="FM233" s="32">
        <v>0</v>
      </c>
      <c r="FN233" s="32">
        <v>0</v>
      </c>
      <c r="FO233" s="32">
        <v>0</v>
      </c>
      <c r="FP233" s="32">
        <v>0</v>
      </c>
      <c r="FQ233" s="32">
        <v>0</v>
      </c>
      <c r="FR233" s="32">
        <v>0</v>
      </c>
      <c r="FS233" s="32">
        <v>0</v>
      </c>
      <c r="FT233" s="32">
        <v>628.19542677282402</v>
      </c>
      <c r="FU233" s="32">
        <v>0</v>
      </c>
      <c r="FV233" s="32">
        <v>0</v>
      </c>
      <c r="FW233" s="32">
        <v>0</v>
      </c>
      <c r="FX233" s="32">
        <v>0</v>
      </c>
      <c r="FY233" s="32">
        <v>0</v>
      </c>
      <c r="FZ233" s="32">
        <v>0</v>
      </c>
      <c r="GA233" s="32">
        <v>14641.832699648599</v>
      </c>
      <c r="GB233" s="32">
        <v>0</v>
      </c>
      <c r="GC233" s="32">
        <v>0</v>
      </c>
      <c r="GD233" s="32">
        <v>0</v>
      </c>
      <c r="GE233" s="32">
        <v>0</v>
      </c>
      <c r="GF233" s="32">
        <v>0</v>
      </c>
      <c r="GG233" s="32">
        <v>559.62455739945995</v>
      </c>
      <c r="GH233" s="32">
        <v>0</v>
      </c>
      <c r="GI233" s="32">
        <v>0</v>
      </c>
      <c r="GJ233" s="32">
        <v>0</v>
      </c>
      <c r="GK233" s="32">
        <v>0</v>
      </c>
      <c r="GL233" s="32">
        <v>0</v>
      </c>
      <c r="GM233" s="32">
        <v>214.99438401176101</v>
      </c>
      <c r="GN233" s="32">
        <v>0</v>
      </c>
      <c r="GO233" s="32">
        <v>0</v>
      </c>
      <c r="GP233" s="32">
        <v>0</v>
      </c>
      <c r="GQ233" s="32">
        <v>17317.78107593409</v>
      </c>
      <c r="GR233" s="31"/>
      <c r="GS233" s="33"/>
      <c r="GT233" s="33"/>
      <c r="GU233" s="33"/>
      <c r="GV233" s="33"/>
      <c r="GW233" s="33"/>
      <c r="GX233" s="33"/>
      <c r="GY233" s="33"/>
      <c r="GZ233" s="33"/>
      <c r="HA233" s="5"/>
      <c r="HB233" s="5"/>
      <c r="HC233" s="5"/>
    </row>
    <row r="234" spans="1:211" s="7" customFormat="1" ht="17.25" customHeight="1">
      <c r="B234" s="12" t="s">
        <v>719</v>
      </c>
      <c r="C234" s="13" t="s">
        <v>720</v>
      </c>
      <c r="D234" s="32">
        <v>0</v>
      </c>
      <c r="E234" s="32">
        <v>0</v>
      </c>
      <c r="F234" s="32">
        <v>0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0</v>
      </c>
      <c r="V234" s="32">
        <v>0</v>
      </c>
      <c r="W234" s="32">
        <v>0</v>
      </c>
      <c r="X234" s="32">
        <v>0</v>
      </c>
      <c r="Y234" s="32">
        <v>0</v>
      </c>
      <c r="Z234" s="32">
        <v>0</v>
      </c>
      <c r="AA234" s="32">
        <v>0</v>
      </c>
      <c r="AB234" s="32">
        <v>0</v>
      </c>
      <c r="AC234" s="32">
        <v>0</v>
      </c>
      <c r="AD234" s="32">
        <v>0</v>
      </c>
      <c r="AE234" s="32">
        <v>0</v>
      </c>
      <c r="AF234" s="32">
        <v>0</v>
      </c>
      <c r="AG234" s="32">
        <v>0</v>
      </c>
      <c r="AH234" s="32">
        <v>0</v>
      </c>
      <c r="AI234" s="32">
        <v>0</v>
      </c>
      <c r="AJ234" s="32">
        <v>0</v>
      </c>
      <c r="AK234" s="32">
        <v>0</v>
      </c>
      <c r="AL234" s="32">
        <v>0</v>
      </c>
      <c r="AM234" s="32">
        <v>0</v>
      </c>
      <c r="AN234" s="32">
        <v>0</v>
      </c>
      <c r="AO234" s="32">
        <v>0</v>
      </c>
      <c r="AP234" s="32">
        <v>0</v>
      </c>
      <c r="AQ234" s="32">
        <v>0</v>
      </c>
      <c r="AR234" s="32">
        <v>0</v>
      </c>
      <c r="AS234" s="32">
        <v>0</v>
      </c>
      <c r="AT234" s="32">
        <v>0</v>
      </c>
      <c r="AU234" s="32">
        <v>0</v>
      </c>
      <c r="AV234" s="32">
        <v>0</v>
      </c>
      <c r="AW234" s="32">
        <v>0</v>
      </c>
      <c r="AX234" s="32">
        <v>0</v>
      </c>
      <c r="AY234" s="32">
        <v>0</v>
      </c>
      <c r="AZ234" s="32">
        <v>0</v>
      </c>
      <c r="BA234" s="32">
        <v>0</v>
      </c>
      <c r="BB234" s="32">
        <v>0</v>
      </c>
      <c r="BC234" s="32">
        <v>0</v>
      </c>
      <c r="BD234" s="32">
        <v>0</v>
      </c>
      <c r="BE234" s="32">
        <v>0</v>
      </c>
      <c r="BF234" s="32">
        <v>0</v>
      </c>
      <c r="BG234" s="32">
        <v>0</v>
      </c>
      <c r="BH234" s="32">
        <v>0</v>
      </c>
      <c r="BI234" s="32">
        <v>0</v>
      </c>
      <c r="BJ234" s="32">
        <v>0</v>
      </c>
      <c r="BK234" s="32">
        <v>0</v>
      </c>
      <c r="BL234" s="32">
        <v>0</v>
      </c>
      <c r="BM234" s="32">
        <v>0</v>
      </c>
      <c r="BN234" s="32">
        <v>0</v>
      </c>
      <c r="BO234" s="32">
        <v>0</v>
      </c>
      <c r="BP234" s="32">
        <v>0</v>
      </c>
      <c r="BQ234" s="32">
        <v>0</v>
      </c>
      <c r="BR234" s="32">
        <v>0</v>
      </c>
      <c r="BS234" s="32">
        <v>0</v>
      </c>
      <c r="BT234" s="32">
        <v>0</v>
      </c>
      <c r="BU234" s="32">
        <v>0</v>
      </c>
      <c r="BV234" s="32">
        <v>0</v>
      </c>
      <c r="BW234" s="32">
        <v>0</v>
      </c>
      <c r="BX234" s="32">
        <v>0</v>
      </c>
      <c r="BY234" s="32">
        <v>0</v>
      </c>
      <c r="BZ234" s="32">
        <v>0</v>
      </c>
      <c r="CA234" s="32">
        <v>0</v>
      </c>
      <c r="CB234" s="32">
        <v>0</v>
      </c>
      <c r="CC234" s="32">
        <v>0</v>
      </c>
      <c r="CD234" s="32">
        <v>0</v>
      </c>
      <c r="CE234" s="32">
        <v>0</v>
      </c>
      <c r="CF234" s="32">
        <v>0</v>
      </c>
      <c r="CG234" s="32">
        <v>0</v>
      </c>
      <c r="CH234" s="32">
        <v>0</v>
      </c>
      <c r="CI234" s="32">
        <v>0</v>
      </c>
      <c r="CJ234" s="32">
        <v>0</v>
      </c>
      <c r="CK234" s="32">
        <v>0</v>
      </c>
      <c r="CL234" s="32">
        <v>0</v>
      </c>
      <c r="CM234" s="32">
        <v>0</v>
      </c>
      <c r="CN234" s="32">
        <v>0</v>
      </c>
      <c r="CO234" s="32">
        <v>0</v>
      </c>
      <c r="CP234" s="32">
        <v>0</v>
      </c>
      <c r="CQ234" s="32">
        <v>0</v>
      </c>
      <c r="CR234" s="32">
        <v>0</v>
      </c>
      <c r="CS234" s="32">
        <v>0</v>
      </c>
      <c r="CT234" s="32">
        <v>0</v>
      </c>
      <c r="CU234" s="32">
        <v>0</v>
      </c>
      <c r="CV234" s="32">
        <v>0</v>
      </c>
      <c r="CW234" s="32">
        <v>0</v>
      </c>
      <c r="CX234" s="32">
        <v>0</v>
      </c>
      <c r="CY234" s="32">
        <v>0</v>
      </c>
      <c r="CZ234" s="32">
        <v>0</v>
      </c>
      <c r="DA234" s="32">
        <v>0</v>
      </c>
      <c r="DB234" s="32">
        <v>0</v>
      </c>
      <c r="DC234" s="32">
        <v>0</v>
      </c>
      <c r="DD234" s="32">
        <v>0</v>
      </c>
      <c r="DE234" s="32">
        <v>0</v>
      </c>
      <c r="DF234" s="32">
        <v>0</v>
      </c>
      <c r="DG234" s="32">
        <v>0</v>
      </c>
      <c r="DH234" s="32">
        <v>0</v>
      </c>
      <c r="DI234" s="32">
        <v>0</v>
      </c>
      <c r="DJ234" s="32">
        <v>0</v>
      </c>
      <c r="DK234" s="32">
        <v>0</v>
      </c>
      <c r="DL234" s="32">
        <v>0</v>
      </c>
      <c r="DM234" s="32">
        <v>0</v>
      </c>
      <c r="DN234" s="32">
        <v>0</v>
      </c>
      <c r="DO234" s="32">
        <v>0</v>
      </c>
      <c r="DP234" s="32">
        <v>0</v>
      </c>
      <c r="DQ234" s="32">
        <v>0</v>
      </c>
      <c r="DR234" s="32">
        <v>0</v>
      </c>
      <c r="DS234" s="32">
        <v>0</v>
      </c>
      <c r="DT234" s="32">
        <v>0</v>
      </c>
      <c r="DU234" s="32">
        <v>0</v>
      </c>
      <c r="DV234" s="32">
        <v>0</v>
      </c>
      <c r="DW234" s="32">
        <v>0</v>
      </c>
      <c r="DX234" s="32">
        <v>0</v>
      </c>
      <c r="DY234" s="32">
        <v>0</v>
      </c>
      <c r="DZ234" s="32">
        <v>0</v>
      </c>
      <c r="EA234" s="32">
        <v>0</v>
      </c>
      <c r="EB234" s="32">
        <v>0</v>
      </c>
      <c r="EC234" s="32">
        <v>0</v>
      </c>
      <c r="ED234" s="32">
        <v>0</v>
      </c>
      <c r="EE234" s="32">
        <v>0</v>
      </c>
      <c r="EF234" s="32">
        <v>0</v>
      </c>
      <c r="EG234" s="32">
        <v>0</v>
      </c>
      <c r="EH234" s="32">
        <v>0</v>
      </c>
      <c r="EI234" s="32">
        <v>0</v>
      </c>
      <c r="EJ234" s="32">
        <v>0</v>
      </c>
      <c r="EK234" s="32">
        <v>0</v>
      </c>
      <c r="EL234" s="32">
        <v>0</v>
      </c>
      <c r="EM234" s="32">
        <v>0</v>
      </c>
      <c r="EN234" s="32">
        <v>0</v>
      </c>
      <c r="EO234" s="32">
        <v>0</v>
      </c>
      <c r="EP234" s="32">
        <v>0</v>
      </c>
      <c r="EQ234" s="32">
        <v>0</v>
      </c>
      <c r="ER234" s="32">
        <v>0</v>
      </c>
      <c r="ES234" s="32">
        <v>0</v>
      </c>
      <c r="ET234" s="32">
        <v>0</v>
      </c>
      <c r="EU234" s="32">
        <v>0</v>
      </c>
      <c r="EV234" s="32">
        <v>0</v>
      </c>
      <c r="EW234" s="32">
        <v>0</v>
      </c>
      <c r="EX234" s="32">
        <v>0</v>
      </c>
      <c r="EY234" s="32">
        <v>0</v>
      </c>
      <c r="EZ234" s="32">
        <v>0</v>
      </c>
      <c r="FA234" s="32">
        <v>145.046302123055</v>
      </c>
      <c r="FB234" s="32">
        <v>0</v>
      </c>
      <c r="FC234" s="32">
        <v>0</v>
      </c>
      <c r="FD234" s="32">
        <v>0</v>
      </c>
      <c r="FE234" s="32">
        <v>0</v>
      </c>
      <c r="FF234" s="32">
        <v>0</v>
      </c>
      <c r="FG234" s="32">
        <v>0</v>
      </c>
      <c r="FH234" s="32">
        <v>0</v>
      </c>
      <c r="FI234" s="32">
        <v>0</v>
      </c>
      <c r="FJ234" s="32">
        <v>0</v>
      </c>
      <c r="FK234" s="32">
        <v>0</v>
      </c>
      <c r="FL234" s="32">
        <v>0</v>
      </c>
      <c r="FM234" s="32">
        <v>0</v>
      </c>
      <c r="FN234" s="32">
        <v>0</v>
      </c>
      <c r="FO234" s="32">
        <v>0</v>
      </c>
      <c r="FP234" s="32">
        <v>0</v>
      </c>
      <c r="FQ234" s="32">
        <v>0</v>
      </c>
      <c r="FR234" s="32">
        <v>0</v>
      </c>
      <c r="FS234" s="32">
        <v>0</v>
      </c>
      <c r="FT234" s="32">
        <v>0</v>
      </c>
      <c r="FU234" s="32">
        <v>0</v>
      </c>
      <c r="FV234" s="32">
        <v>0</v>
      </c>
      <c r="FW234" s="32">
        <v>193.36320799358401</v>
      </c>
      <c r="FX234" s="32">
        <v>0</v>
      </c>
      <c r="FY234" s="32">
        <v>8.7432285002972794</v>
      </c>
      <c r="FZ234" s="32">
        <v>0</v>
      </c>
      <c r="GA234" s="32">
        <v>0</v>
      </c>
      <c r="GB234" s="32">
        <v>0</v>
      </c>
      <c r="GC234" s="32">
        <v>0</v>
      </c>
      <c r="GD234" s="32">
        <v>0</v>
      </c>
      <c r="GE234" s="32">
        <v>0</v>
      </c>
      <c r="GF234" s="32">
        <v>0</v>
      </c>
      <c r="GG234" s="32">
        <v>22798.256992866001</v>
      </c>
      <c r="GH234" s="32">
        <v>0</v>
      </c>
      <c r="GI234" s="32">
        <v>18679.4100738786</v>
      </c>
      <c r="GJ234" s="32">
        <v>0</v>
      </c>
      <c r="GK234" s="32">
        <v>9106.0234645287401</v>
      </c>
      <c r="GL234" s="32">
        <v>1445.06030520534</v>
      </c>
      <c r="GM234" s="32">
        <v>52.399725092211703</v>
      </c>
      <c r="GN234" s="32">
        <v>0</v>
      </c>
      <c r="GO234" s="32">
        <v>0</v>
      </c>
      <c r="GP234" s="32">
        <v>0</v>
      </c>
      <c r="GQ234" s="32">
        <v>52428.303300187836</v>
      </c>
      <c r="GR234" s="31"/>
      <c r="GS234" s="33"/>
      <c r="GT234" s="33"/>
      <c r="GU234" s="33"/>
      <c r="GV234" s="33"/>
      <c r="GW234" s="33"/>
      <c r="GX234" s="33"/>
      <c r="GY234" s="33"/>
      <c r="GZ234" s="33"/>
      <c r="HA234" s="5"/>
      <c r="HB234" s="5"/>
      <c r="HC234" s="5"/>
    </row>
    <row r="235" spans="1:211" s="7" customFormat="1" ht="17.25" customHeight="1">
      <c r="B235" s="22" t="s">
        <v>721</v>
      </c>
      <c r="C235" s="23" t="s">
        <v>722</v>
      </c>
      <c r="D235" s="30">
        <f t="shared" ref="D235:BO235" si="20">SUM(D236:D237) - D238 + SUM(D239:D240)</f>
        <v>418.51975448760982</v>
      </c>
      <c r="E235" s="30">
        <f t="shared" si="20"/>
        <v>596.47752197095338</v>
      </c>
      <c r="F235" s="30">
        <f t="shared" si="20"/>
        <v>1139.478820715861</v>
      </c>
      <c r="G235" s="30">
        <f t="shared" si="20"/>
        <v>220.45516787369621</v>
      </c>
      <c r="H235" s="30">
        <f t="shared" si="20"/>
        <v>531.37090378372704</v>
      </c>
      <c r="I235" s="30">
        <f t="shared" si="20"/>
        <v>855.16424438238096</v>
      </c>
      <c r="J235" s="30">
        <f t="shared" si="20"/>
        <v>171.15939893333839</v>
      </c>
      <c r="K235" s="30">
        <f t="shared" si="20"/>
        <v>41.503360730562697</v>
      </c>
      <c r="L235" s="30">
        <f t="shared" si="20"/>
        <v>266.13388266562299</v>
      </c>
      <c r="M235" s="30">
        <f t="shared" si="20"/>
        <v>2310.0239610051303</v>
      </c>
      <c r="N235" s="30">
        <f t="shared" si="20"/>
        <v>348.67255881898905</v>
      </c>
      <c r="O235" s="30">
        <f t="shared" si="20"/>
        <v>457.06348577458431</v>
      </c>
      <c r="P235" s="30">
        <f t="shared" si="20"/>
        <v>39.547808104706704</v>
      </c>
      <c r="Q235" s="30">
        <f t="shared" si="20"/>
        <v>1294.136552646841</v>
      </c>
      <c r="R235" s="30">
        <f t="shared" si="20"/>
        <v>1028.3229531520049</v>
      </c>
      <c r="S235" s="30">
        <f t="shared" si="20"/>
        <v>2291.2970209363452</v>
      </c>
      <c r="T235" s="30">
        <f t="shared" si="20"/>
        <v>94.995311079141388</v>
      </c>
      <c r="U235" s="30">
        <f t="shared" si="20"/>
        <v>133.26856168008172</v>
      </c>
      <c r="V235" s="30">
        <f t="shared" si="20"/>
        <v>5.2739762607516294</v>
      </c>
      <c r="W235" s="30">
        <f t="shared" si="20"/>
        <v>108.18776157139729</v>
      </c>
      <c r="X235" s="30">
        <f t="shared" si="20"/>
        <v>116.86626141630198</v>
      </c>
      <c r="Y235" s="30">
        <f t="shared" si="20"/>
        <v>33.813264143354402</v>
      </c>
      <c r="Z235" s="30">
        <f t="shared" si="20"/>
        <v>201.78317399749</v>
      </c>
      <c r="AA235" s="30">
        <f t="shared" si="20"/>
        <v>47.844936734505303</v>
      </c>
      <c r="AB235" s="30">
        <f t="shared" si="20"/>
        <v>7.2046358948714477</v>
      </c>
      <c r="AC235" s="30">
        <f t="shared" si="20"/>
        <v>512.40110325894682</v>
      </c>
      <c r="AD235" s="30">
        <f t="shared" si="20"/>
        <v>11.596386568895834</v>
      </c>
      <c r="AE235" s="30">
        <f t="shared" si="20"/>
        <v>1868.7433210410959</v>
      </c>
      <c r="AF235" s="30">
        <f t="shared" si="20"/>
        <v>3904.406523252163</v>
      </c>
      <c r="AG235" s="30">
        <f t="shared" si="20"/>
        <v>962.0129058505463</v>
      </c>
      <c r="AH235" s="30">
        <f t="shared" si="20"/>
        <v>100.517266878873</v>
      </c>
      <c r="AI235" s="30">
        <f t="shared" si="20"/>
        <v>180.07170320955012</v>
      </c>
      <c r="AJ235" s="30">
        <f t="shared" si="20"/>
        <v>18.381688127538979</v>
      </c>
      <c r="AK235" s="30">
        <f t="shared" si="20"/>
        <v>174.94875584197098</v>
      </c>
      <c r="AL235" s="30">
        <f t="shared" si="20"/>
        <v>2533.3171686878545</v>
      </c>
      <c r="AM235" s="30">
        <f t="shared" si="20"/>
        <v>238.55026951741968</v>
      </c>
      <c r="AN235" s="30">
        <f t="shared" si="20"/>
        <v>326.32913423445996</v>
      </c>
      <c r="AO235" s="30">
        <f t="shared" si="20"/>
        <v>125.80152271954671</v>
      </c>
      <c r="AP235" s="30">
        <f t="shared" si="20"/>
        <v>527.77601930065134</v>
      </c>
      <c r="AQ235" s="30">
        <f t="shared" si="20"/>
        <v>105.95208136340339</v>
      </c>
      <c r="AR235" s="30">
        <f t="shared" si="20"/>
        <v>11.447958692694799</v>
      </c>
      <c r="AS235" s="30">
        <f t="shared" si="20"/>
        <v>3.1917375154993897</v>
      </c>
      <c r="AT235" s="30">
        <f t="shared" si="20"/>
        <v>16223.892579297426</v>
      </c>
      <c r="AU235" s="30">
        <f t="shared" si="20"/>
        <v>1577.059618521632</v>
      </c>
      <c r="AV235" s="30">
        <f t="shared" si="20"/>
        <v>2056.4850395956996</v>
      </c>
      <c r="AW235" s="30">
        <f t="shared" si="20"/>
        <v>4412.0630536370409</v>
      </c>
      <c r="AX235" s="30">
        <f t="shared" si="20"/>
        <v>5940.4312531067253</v>
      </c>
      <c r="AY235" s="30">
        <f t="shared" si="20"/>
        <v>0.66298488791930854</v>
      </c>
      <c r="AZ235" s="30">
        <f t="shared" si="20"/>
        <v>89.163198010161281</v>
      </c>
      <c r="BA235" s="30">
        <f t="shared" si="20"/>
        <v>178.84828493711194</v>
      </c>
      <c r="BB235" s="30">
        <f t="shared" si="20"/>
        <v>41.272266269198248</v>
      </c>
      <c r="BC235" s="30">
        <f t="shared" si="20"/>
        <v>907.23378157128127</v>
      </c>
      <c r="BD235" s="30">
        <f t="shared" si="20"/>
        <v>40.129883466405701</v>
      </c>
      <c r="BE235" s="30">
        <f t="shared" si="20"/>
        <v>1639.0235282654999</v>
      </c>
      <c r="BF235" s="30">
        <f t="shared" si="20"/>
        <v>411.29448989758271</v>
      </c>
      <c r="BG235" s="30">
        <f t="shared" si="20"/>
        <v>163.51957483814229</v>
      </c>
      <c r="BH235" s="30">
        <f t="shared" si="20"/>
        <v>950.98494452698242</v>
      </c>
      <c r="BI235" s="30">
        <f t="shared" si="20"/>
        <v>132.22358303195429</v>
      </c>
      <c r="BJ235" s="30">
        <f t="shared" si="20"/>
        <v>222.39663406412382</v>
      </c>
      <c r="BK235" s="30">
        <f t="shared" si="20"/>
        <v>37.115446848243302</v>
      </c>
      <c r="BL235" s="30">
        <f t="shared" si="20"/>
        <v>238.46370078213772</v>
      </c>
      <c r="BM235" s="30">
        <f t="shared" si="20"/>
        <v>75.139164946979179</v>
      </c>
      <c r="BN235" s="30">
        <f t="shared" si="20"/>
        <v>122.00058437679982</v>
      </c>
      <c r="BO235" s="30">
        <f t="shared" si="20"/>
        <v>213.99136554143172</v>
      </c>
      <c r="BP235" s="30">
        <f t="shared" ref="BP235:EA235" si="21">SUM(BP236:BP237) - BP238 + SUM(BP239:BP240)</f>
        <v>29.241001498229053</v>
      </c>
      <c r="BQ235" s="30">
        <f t="shared" si="21"/>
        <v>288.16171158801052</v>
      </c>
      <c r="BR235" s="30">
        <f t="shared" si="21"/>
        <v>158.83653850840932</v>
      </c>
      <c r="BS235" s="30">
        <f t="shared" si="21"/>
        <v>377.93665853255402</v>
      </c>
      <c r="BT235" s="30">
        <f t="shared" si="21"/>
        <v>1558.2151137203721</v>
      </c>
      <c r="BU235" s="30">
        <f t="shared" si="21"/>
        <v>343.32816625790986</v>
      </c>
      <c r="BV235" s="30">
        <f t="shared" si="21"/>
        <v>428.61459959742797</v>
      </c>
      <c r="BW235" s="30">
        <f t="shared" si="21"/>
        <v>196.52938787882488</v>
      </c>
      <c r="BX235" s="30">
        <f t="shared" si="21"/>
        <v>664.47855290264215</v>
      </c>
      <c r="BY235" s="30">
        <f t="shared" si="21"/>
        <v>473.90948032524642</v>
      </c>
      <c r="BZ235" s="30">
        <f t="shared" si="21"/>
        <v>45.064418304784503</v>
      </c>
      <c r="CA235" s="30">
        <f t="shared" si="21"/>
        <v>653.04236520617064</v>
      </c>
      <c r="CB235" s="30">
        <f t="shared" si="21"/>
        <v>731.91062923672143</v>
      </c>
      <c r="CC235" s="30">
        <f t="shared" si="21"/>
        <v>16.915414849045447</v>
      </c>
      <c r="CD235" s="30">
        <f t="shared" si="21"/>
        <v>1158.9707086946992</v>
      </c>
      <c r="CE235" s="30">
        <f t="shared" si="21"/>
        <v>442.08574208527517</v>
      </c>
      <c r="CF235" s="30">
        <f t="shared" si="21"/>
        <v>0</v>
      </c>
      <c r="CG235" s="30">
        <f t="shared" si="21"/>
        <v>263.65159183261608</v>
      </c>
      <c r="CH235" s="30">
        <f t="shared" si="21"/>
        <v>161.83861537471745</v>
      </c>
      <c r="CI235" s="30">
        <f t="shared" si="21"/>
        <v>392.82285182663372</v>
      </c>
      <c r="CJ235" s="30">
        <f t="shared" si="21"/>
        <v>145.76645598346167</v>
      </c>
      <c r="CK235" s="30">
        <f t="shared" si="21"/>
        <v>72.702235551628291</v>
      </c>
      <c r="CL235" s="30">
        <f t="shared" si="21"/>
        <v>96.555228577420849</v>
      </c>
      <c r="CM235" s="30">
        <f t="shared" si="21"/>
        <v>1867.4148063544772</v>
      </c>
      <c r="CN235" s="30">
        <f t="shared" si="21"/>
        <v>95.081075413466337</v>
      </c>
      <c r="CO235" s="30">
        <f t="shared" si="21"/>
        <v>348.00096849237929</v>
      </c>
      <c r="CP235" s="30">
        <f t="shared" si="21"/>
        <v>1181.8939577136757</v>
      </c>
      <c r="CQ235" s="30">
        <f t="shared" si="21"/>
        <v>138.17015793819746</v>
      </c>
      <c r="CR235" s="30">
        <f t="shared" si="21"/>
        <v>209.17767259483333</v>
      </c>
      <c r="CS235" s="30">
        <f t="shared" si="21"/>
        <v>151.76182669159243</v>
      </c>
      <c r="CT235" s="30">
        <f t="shared" si="21"/>
        <v>1646.4687804025341</v>
      </c>
      <c r="CU235" s="30">
        <f t="shared" si="21"/>
        <v>144.17096306827563</v>
      </c>
      <c r="CV235" s="30">
        <f t="shared" si="21"/>
        <v>34.135022908979622</v>
      </c>
      <c r="CW235" s="30">
        <f t="shared" si="21"/>
        <v>278.80775973914172</v>
      </c>
      <c r="CX235" s="30">
        <f t="shared" si="21"/>
        <v>47.278174529642904</v>
      </c>
      <c r="CY235" s="30">
        <f t="shared" si="21"/>
        <v>351.82133746004752</v>
      </c>
      <c r="CZ235" s="30">
        <f t="shared" si="21"/>
        <v>16.166200192006244</v>
      </c>
      <c r="DA235" s="30">
        <f t="shared" si="21"/>
        <v>372.91381174453409</v>
      </c>
      <c r="DB235" s="30">
        <f t="shared" si="21"/>
        <v>363.33350137986349</v>
      </c>
      <c r="DC235" s="30">
        <f t="shared" si="21"/>
        <v>258.81907594553832</v>
      </c>
      <c r="DD235" s="30">
        <f t="shared" si="21"/>
        <v>28.248934292042343</v>
      </c>
      <c r="DE235" s="30">
        <f t="shared" si="21"/>
        <v>0</v>
      </c>
      <c r="DF235" s="30">
        <f t="shared" si="21"/>
        <v>72.354957437999445</v>
      </c>
      <c r="DG235" s="30">
        <f t="shared" si="21"/>
        <v>602.90064750345641</v>
      </c>
      <c r="DH235" s="30">
        <f t="shared" si="21"/>
        <v>620.93584615650639</v>
      </c>
      <c r="DI235" s="30">
        <f t="shared" si="21"/>
        <v>80.924639417717799</v>
      </c>
      <c r="DJ235" s="30">
        <f t="shared" si="21"/>
        <v>2111.1945026834801</v>
      </c>
      <c r="DK235" s="30">
        <f t="shared" si="21"/>
        <v>15.524640264255092</v>
      </c>
      <c r="DL235" s="30">
        <f t="shared" si="21"/>
        <v>307.88302127956393</v>
      </c>
      <c r="DM235" s="30">
        <f t="shared" si="21"/>
        <v>21.928810350130039</v>
      </c>
      <c r="DN235" s="30">
        <f t="shared" si="21"/>
        <v>270.41871068824025</v>
      </c>
      <c r="DO235" s="30">
        <f t="shared" si="21"/>
        <v>61.132795323848867</v>
      </c>
      <c r="DP235" s="30">
        <f t="shared" si="21"/>
        <v>0</v>
      </c>
      <c r="DQ235" s="30">
        <f t="shared" si="21"/>
        <v>271.32938491074731</v>
      </c>
      <c r="DR235" s="30">
        <f t="shared" si="21"/>
        <v>1050.3396652394122</v>
      </c>
      <c r="DS235" s="30">
        <f t="shared" si="21"/>
        <v>321.78143367550996</v>
      </c>
      <c r="DT235" s="30">
        <f t="shared" si="21"/>
        <v>6.8718175404012669</v>
      </c>
      <c r="DU235" s="30">
        <f t="shared" si="21"/>
        <v>655.73934935736611</v>
      </c>
      <c r="DV235" s="30">
        <f t="shared" si="21"/>
        <v>323.0691678357033</v>
      </c>
      <c r="DW235" s="30">
        <f t="shared" si="21"/>
        <v>0</v>
      </c>
      <c r="DX235" s="30">
        <f t="shared" si="21"/>
        <v>198.10585663301043</v>
      </c>
      <c r="DY235" s="30">
        <f t="shared" si="21"/>
        <v>901.66692714861369</v>
      </c>
      <c r="DZ235" s="30">
        <f t="shared" si="21"/>
        <v>1836.3093054896917</v>
      </c>
      <c r="EA235" s="30">
        <f t="shared" si="21"/>
        <v>34.177019678598981</v>
      </c>
      <c r="EB235" s="30">
        <f t="shared" ref="EB235:GM235" si="22">SUM(EB236:EB237) - EB238 + SUM(EB239:EB240)</f>
        <v>177.3055388423808</v>
      </c>
      <c r="EC235" s="30">
        <f t="shared" si="22"/>
        <v>606.07115512311168</v>
      </c>
      <c r="ED235" s="30">
        <f t="shared" si="22"/>
        <v>354.3331052294493</v>
      </c>
      <c r="EE235" s="30">
        <f t="shared" si="22"/>
        <v>173.6146538838577</v>
      </c>
      <c r="EF235" s="30">
        <f t="shared" si="22"/>
        <v>855.02269553053384</v>
      </c>
      <c r="EG235" s="30">
        <f t="shared" si="22"/>
        <v>20.586913014037815</v>
      </c>
      <c r="EH235" s="30">
        <f t="shared" si="22"/>
        <v>42.995846033138776</v>
      </c>
      <c r="EI235" s="30">
        <f t="shared" si="22"/>
        <v>52.331836288487153</v>
      </c>
      <c r="EJ235" s="30">
        <f t="shared" si="22"/>
        <v>656.50417327848766</v>
      </c>
      <c r="EK235" s="30">
        <f t="shared" si="22"/>
        <v>18.654357594240292</v>
      </c>
      <c r="EL235" s="30">
        <f t="shared" si="22"/>
        <v>183.57843394994001</v>
      </c>
      <c r="EM235" s="30">
        <f t="shared" si="22"/>
        <v>10.964781416319099</v>
      </c>
      <c r="EN235" s="30">
        <f t="shared" si="22"/>
        <v>60.818012904155445</v>
      </c>
      <c r="EO235" s="30">
        <f t="shared" si="22"/>
        <v>57.799665129697459</v>
      </c>
      <c r="EP235" s="30">
        <f t="shared" si="22"/>
        <v>0</v>
      </c>
      <c r="EQ235" s="30">
        <f t="shared" si="22"/>
        <v>20.301195796414348</v>
      </c>
      <c r="ER235" s="30">
        <f t="shared" si="22"/>
        <v>234.29195333523799</v>
      </c>
      <c r="ES235" s="30">
        <f t="shared" si="22"/>
        <v>1046.695874700287</v>
      </c>
      <c r="ET235" s="30">
        <f t="shared" si="22"/>
        <v>730.40514988949803</v>
      </c>
      <c r="EU235" s="30">
        <f t="shared" si="22"/>
        <v>5.07558734669787</v>
      </c>
      <c r="EV235" s="30">
        <f t="shared" si="22"/>
        <v>249.11154703324613</v>
      </c>
      <c r="EW235" s="30">
        <f t="shared" si="22"/>
        <v>952.07092809105234</v>
      </c>
      <c r="EX235" s="30">
        <f t="shared" si="22"/>
        <v>1254.0832649669551</v>
      </c>
      <c r="EY235" s="30">
        <f t="shared" si="22"/>
        <v>815.40765546152011</v>
      </c>
      <c r="EZ235" s="30">
        <f t="shared" si="22"/>
        <v>1688.1103616038356</v>
      </c>
      <c r="FA235" s="30">
        <f t="shared" si="22"/>
        <v>707.9876525602017</v>
      </c>
      <c r="FB235" s="30">
        <f t="shared" si="22"/>
        <v>660.17987128201298</v>
      </c>
      <c r="FC235" s="30">
        <f t="shared" si="22"/>
        <v>7893.7433930284642</v>
      </c>
      <c r="FD235" s="30">
        <f t="shared" si="22"/>
        <v>4407.3029398741674</v>
      </c>
      <c r="FE235" s="30">
        <f t="shared" si="22"/>
        <v>1064.0299328911224</v>
      </c>
      <c r="FF235" s="30">
        <f t="shared" si="22"/>
        <v>1761.2175114811391</v>
      </c>
      <c r="FG235" s="30">
        <f t="shared" si="22"/>
        <v>7148.0573146395154</v>
      </c>
      <c r="FH235" s="30">
        <f t="shared" si="22"/>
        <v>212.54150001477109</v>
      </c>
      <c r="FI235" s="30">
        <f t="shared" si="22"/>
        <v>23389.916458645228</v>
      </c>
      <c r="FJ235" s="30">
        <f t="shared" si="22"/>
        <v>2836.88295860585</v>
      </c>
      <c r="FK235" s="30">
        <f t="shared" si="22"/>
        <v>277.15496827847505</v>
      </c>
      <c r="FL235" s="30">
        <f t="shared" si="22"/>
        <v>4692.0787360019722</v>
      </c>
      <c r="FM235" s="30">
        <f t="shared" si="22"/>
        <v>4658.3076460276507</v>
      </c>
      <c r="FN235" s="30">
        <f t="shared" si="22"/>
        <v>521.37235671373287</v>
      </c>
      <c r="FO235" s="30">
        <f t="shared" si="22"/>
        <v>12.985312845944058</v>
      </c>
      <c r="FP235" s="30">
        <f t="shared" si="22"/>
        <v>2340.5573844736168</v>
      </c>
      <c r="FQ235" s="30">
        <f t="shared" si="22"/>
        <v>1437.7367527302795</v>
      </c>
      <c r="FR235" s="30">
        <f t="shared" si="22"/>
        <v>92.132227426891134</v>
      </c>
      <c r="FS235" s="30">
        <f t="shared" si="22"/>
        <v>1333.7851318286353</v>
      </c>
      <c r="FT235" s="30">
        <f t="shared" si="22"/>
        <v>12439.243620448566</v>
      </c>
      <c r="FU235" s="30">
        <f t="shared" si="22"/>
        <v>7315.7257428172852</v>
      </c>
      <c r="FV235" s="30">
        <f t="shared" si="22"/>
        <v>635.89455066399523</v>
      </c>
      <c r="FW235" s="30">
        <f t="shared" si="22"/>
        <v>714.23749496068399</v>
      </c>
      <c r="FX235" s="30">
        <f t="shared" si="22"/>
        <v>11186.78915939039</v>
      </c>
      <c r="FY235" s="30">
        <f t="shared" si="22"/>
        <v>990.073780215135</v>
      </c>
      <c r="FZ235" s="30">
        <f t="shared" si="22"/>
        <v>1226.6005535022582</v>
      </c>
      <c r="GA235" s="30">
        <f t="shared" si="22"/>
        <v>18899.336827782205</v>
      </c>
      <c r="GB235" s="30">
        <f t="shared" si="22"/>
        <v>3558.9756620785638</v>
      </c>
      <c r="GC235" s="30">
        <f t="shared" si="22"/>
        <v>1154.631450658316</v>
      </c>
      <c r="GD235" s="30">
        <f t="shared" si="22"/>
        <v>2627.6112944015122</v>
      </c>
      <c r="GE235" s="30">
        <f t="shared" si="22"/>
        <v>4693.9197931911949</v>
      </c>
      <c r="GF235" s="30">
        <f t="shared" si="22"/>
        <v>1724.3854839873534</v>
      </c>
      <c r="GG235" s="30">
        <f t="shared" si="22"/>
        <v>15863.046270573705</v>
      </c>
      <c r="GH235" s="30">
        <f t="shared" si="22"/>
        <v>2492.6752433941961</v>
      </c>
      <c r="GI235" s="30">
        <f t="shared" si="22"/>
        <v>17677.593797150868</v>
      </c>
      <c r="GJ235" s="30">
        <f t="shared" si="22"/>
        <v>2184.7501359810981</v>
      </c>
      <c r="GK235" s="30">
        <f t="shared" si="22"/>
        <v>6930.5628724646676</v>
      </c>
      <c r="GL235" s="30">
        <f t="shared" si="22"/>
        <v>1487.2574308952226</v>
      </c>
      <c r="GM235" s="30">
        <f t="shared" si="22"/>
        <v>4440.1902470835867</v>
      </c>
      <c r="GN235" s="30">
        <f t="shared" ref="GN235:GP235" si="23">SUM(GN236:GN237) - GN238 + SUM(GN239:GN240)</f>
        <v>635.63880758343828</v>
      </c>
      <c r="GO235" s="30">
        <f t="shared" si="23"/>
        <v>1235.3513239074514</v>
      </c>
      <c r="GP235" s="30">
        <f t="shared" si="23"/>
        <v>1766.0250000000001</v>
      </c>
      <c r="GQ235" s="30">
        <v>283630.93646161939</v>
      </c>
      <c r="GR235" s="31"/>
      <c r="GS235" s="33"/>
      <c r="GT235" s="33"/>
      <c r="GU235" s="33"/>
      <c r="GV235" s="33"/>
      <c r="GW235" s="33"/>
      <c r="GX235" s="33"/>
      <c r="GY235" s="33"/>
      <c r="GZ235" s="33"/>
      <c r="HA235" s="5"/>
      <c r="HB235" s="5"/>
      <c r="HC235" s="5"/>
    </row>
    <row r="236" spans="1:211" s="7" customFormat="1" ht="17.25" customHeight="1">
      <c r="B236" s="12" t="s">
        <v>723</v>
      </c>
      <c r="C236" s="13" t="s">
        <v>724</v>
      </c>
      <c r="D236" s="32">
        <v>91.954916375815003</v>
      </c>
      <c r="E236" s="32">
        <v>148.624895406646</v>
      </c>
      <c r="F236" s="32">
        <v>177.569994736175</v>
      </c>
      <c r="G236" s="32">
        <v>13.171401363559999</v>
      </c>
      <c r="H236" s="32">
        <v>96.472853614130202</v>
      </c>
      <c r="I236" s="32">
        <v>16.061960525004</v>
      </c>
      <c r="J236" s="32">
        <v>5.2682362913963896</v>
      </c>
      <c r="K236" s="32">
        <v>8.6481650377701005</v>
      </c>
      <c r="L236" s="32">
        <v>5.04878424670801</v>
      </c>
      <c r="M236" s="32">
        <v>181.34373371048</v>
      </c>
      <c r="N236" s="32">
        <v>14.734680250759</v>
      </c>
      <c r="O236" s="32">
        <v>182.77572418104</v>
      </c>
      <c r="P236" s="32">
        <v>9.6312585288507009</v>
      </c>
      <c r="Q236" s="32">
        <v>273.49436482281999</v>
      </c>
      <c r="R236" s="32">
        <v>488.07598803302898</v>
      </c>
      <c r="S236" s="32">
        <v>375.12617636717499</v>
      </c>
      <c r="T236" s="32">
        <v>19.1114332156172</v>
      </c>
      <c r="U236" s="32">
        <v>8.5851479508127007</v>
      </c>
      <c r="V236" s="32">
        <v>0</v>
      </c>
      <c r="W236" s="32">
        <v>5.5426180345593004</v>
      </c>
      <c r="X236" s="32">
        <v>4.4210252987900001</v>
      </c>
      <c r="Y236" s="32">
        <v>0</v>
      </c>
      <c r="Z236" s="32">
        <v>68.509228999095996</v>
      </c>
      <c r="AA236" s="32">
        <v>0.90523477961440002</v>
      </c>
      <c r="AB236" s="32">
        <v>5.8855077059076102</v>
      </c>
      <c r="AC236" s="32">
        <v>91.710269014688805</v>
      </c>
      <c r="AD236" s="32">
        <v>4.5326050883916302</v>
      </c>
      <c r="AE236" s="32">
        <v>97.934299776746002</v>
      </c>
      <c r="AF236" s="32">
        <v>277.39058733285998</v>
      </c>
      <c r="AG236" s="32">
        <v>239.431429663926</v>
      </c>
      <c r="AH236" s="32">
        <v>19.666249842099401</v>
      </c>
      <c r="AI236" s="32">
        <v>13.079273008337299</v>
      </c>
      <c r="AJ236" s="32">
        <v>5.2311157230397498</v>
      </c>
      <c r="AK236" s="32">
        <v>18.798560596781002</v>
      </c>
      <c r="AL236" s="32">
        <v>461.82758918798999</v>
      </c>
      <c r="AM236" s="32">
        <v>171.90849232731799</v>
      </c>
      <c r="AN236" s="32">
        <v>172.94340543754899</v>
      </c>
      <c r="AO236" s="32">
        <v>46.801973929099802</v>
      </c>
      <c r="AP236" s="32">
        <v>454.45935130432701</v>
      </c>
      <c r="AQ236" s="32">
        <v>2.8106053612466999</v>
      </c>
      <c r="AR236" s="32">
        <v>0</v>
      </c>
      <c r="AS236" s="32">
        <v>2.15236751619807</v>
      </c>
      <c r="AT236" s="32">
        <v>678.22063585152102</v>
      </c>
      <c r="AU236" s="32">
        <v>401.69277347208202</v>
      </c>
      <c r="AV236" s="32">
        <v>552.63921296731496</v>
      </c>
      <c r="AW236" s="32">
        <v>1542.6599304860099</v>
      </c>
      <c r="AX236" s="32">
        <v>1027.0091901477599</v>
      </c>
      <c r="AY236" s="32">
        <v>0.18164477302638399</v>
      </c>
      <c r="AZ236" s="32">
        <v>28.0555026548667</v>
      </c>
      <c r="BA236" s="32">
        <v>90.892906355107002</v>
      </c>
      <c r="BB236" s="32">
        <v>13.6193738398531</v>
      </c>
      <c r="BC236" s="32">
        <v>427.59167367517199</v>
      </c>
      <c r="BD236" s="32">
        <v>18.3597009658709</v>
      </c>
      <c r="BE236" s="32">
        <v>0</v>
      </c>
      <c r="BF236" s="32">
        <v>0</v>
      </c>
      <c r="BG236" s="32">
        <v>29.401765437950701</v>
      </c>
      <c r="BH236" s="32">
        <v>103.775047136418</v>
      </c>
      <c r="BI236" s="32">
        <v>103.24362176061</v>
      </c>
      <c r="BJ236" s="32">
        <v>75.164933655548097</v>
      </c>
      <c r="BK236" s="32">
        <v>12.377571643964201</v>
      </c>
      <c r="BL236" s="32">
        <v>125.86791777451801</v>
      </c>
      <c r="BM236" s="32">
        <v>68.664912254328101</v>
      </c>
      <c r="BN236" s="32">
        <v>50.928086411434201</v>
      </c>
      <c r="BO236" s="32">
        <v>79.645359003872798</v>
      </c>
      <c r="BP236" s="32">
        <v>3.6450520000000002</v>
      </c>
      <c r="BQ236" s="32">
        <v>101.287753345843</v>
      </c>
      <c r="BR236" s="32">
        <v>53.157353361002102</v>
      </c>
      <c r="BS236" s="32">
        <v>161.13</v>
      </c>
      <c r="BT236" s="32">
        <v>325.69750099497202</v>
      </c>
      <c r="BU236" s="32">
        <v>44.2519924917979</v>
      </c>
      <c r="BV236" s="32">
        <v>215.32074326456799</v>
      </c>
      <c r="BW236" s="32">
        <v>140.55257093853899</v>
      </c>
      <c r="BX236" s="32">
        <v>277.43094479036802</v>
      </c>
      <c r="BY236" s="32">
        <v>42.715868292672397</v>
      </c>
      <c r="BZ236" s="32">
        <v>38.907805254257703</v>
      </c>
      <c r="CA236" s="32">
        <v>193.305644169152</v>
      </c>
      <c r="CB236" s="32">
        <v>298.95928052835501</v>
      </c>
      <c r="CC236" s="32">
        <v>8.9506936528857306</v>
      </c>
      <c r="CD236" s="32">
        <v>215.301998095367</v>
      </c>
      <c r="CE236" s="32">
        <v>73.2081220957852</v>
      </c>
      <c r="CF236" s="32">
        <v>0</v>
      </c>
      <c r="CG236" s="32">
        <v>143.07917352690501</v>
      </c>
      <c r="CH236" s="32">
        <v>43.714306341001802</v>
      </c>
      <c r="CI236" s="32">
        <v>105.430503845215</v>
      </c>
      <c r="CJ236" s="32">
        <v>84.338380132468401</v>
      </c>
      <c r="CK236" s="32">
        <v>25.823922395706202</v>
      </c>
      <c r="CL236" s="32">
        <v>20.6385969217603</v>
      </c>
      <c r="CM236" s="32">
        <v>642.82936901934204</v>
      </c>
      <c r="CN236" s="32">
        <v>40.685894966125502</v>
      </c>
      <c r="CO236" s="32">
        <v>198.011029084961</v>
      </c>
      <c r="CP236" s="32">
        <v>617.498369587355</v>
      </c>
      <c r="CQ236" s="32">
        <v>104.09882926940899</v>
      </c>
      <c r="CR236" s="32">
        <v>107.03652236415201</v>
      </c>
      <c r="CS236" s="32">
        <v>93.2107756590636</v>
      </c>
      <c r="CT236" s="32">
        <v>436.76791629855001</v>
      </c>
      <c r="CU236" s="32">
        <v>76.607105765059103</v>
      </c>
      <c r="CV236" s="32">
        <v>6.4775264464270599</v>
      </c>
      <c r="CW236" s="32">
        <v>116.89865812108501</v>
      </c>
      <c r="CX236" s="32">
        <v>8.4201157844411796</v>
      </c>
      <c r="CY236" s="32">
        <v>256.20775393991499</v>
      </c>
      <c r="CZ236" s="32">
        <v>5.73</v>
      </c>
      <c r="DA236" s="32">
        <v>89.106485351838899</v>
      </c>
      <c r="DB236" s="32">
        <v>173.19376681553001</v>
      </c>
      <c r="DC236" s="32">
        <v>147.178794091686</v>
      </c>
      <c r="DD236" s="32">
        <v>4.4310315849532103</v>
      </c>
      <c r="DE236" s="32">
        <v>0</v>
      </c>
      <c r="DF236" s="32">
        <v>37.9518523631615</v>
      </c>
      <c r="DG236" s="32">
        <v>231.54309494987999</v>
      </c>
      <c r="DH236" s="32">
        <v>250.93142849115301</v>
      </c>
      <c r="DI236" s="32">
        <v>25.093142849115299</v>
      </c>
      <c r="DJ236" s="32">
        <v>281.43225599613902</v>
      </c>
      <c r="DK236" s="32">
        <v>3.82627095995021</v>
      </c>
      <c r="DL236" s="32">
        <v>76.431418653093402</v>
      </c>
      <c r="DM236" s="32">
        <v>7.12</v>
      </c>
      <c r="DN236" s="32">
        <v>18.288673818049499</v>
      </c>
      <c r="DO236" s="32">
        <v>24.620954409096001</v>
      </c>
      <c r="DP236" s="32">
        <v>0</v>
      </c>
      <c r="DQ236" s="32">
        <v>133.108908276102</v>
      </c>
      <c r="DR236" s="32">
        <v>685.91414380466097</v>
      </c>
      <c r="DS236" s="32">
        <v>108.584963051605</v>
      </c>
      <c r="DT236" s="32">
        <v>1.91158505866977</v>
      </c>
      <c r="DU236" s="32">
        <v>373.04076580103703</v>
      </c>
      <c r="DV236" s="32">
        <v>133.603226880542</v>
      </c>
      <c r="DW236" s="32">
        <v>0</v>
      </c>
      <c r="DX236" s="32">
        <v>83.683879181583904</v>
      </c>
      <c r="DY236" s="32">
        <v>197.138684698746</v>
      </c>
      <c r="DZ236" s="32">
        <v>489.34785273966799</v>
      </c>
      <c r="EA236" s="32">
        <v>31.245959396644899</v>
      </c>
      <c r="EB236" s="32">
        <v>58.426127483395902</v>
      </c>
      <c r="EC236" s="32">
        <v>126.457600958689</v>
      </c>
      <c r="ED236" s="32">
        <v>197.76701815523899</v>
      </c>
      <c r="EE236" s="32">
        <v>66.617937671033701</v>
      </c>
      <c r="EF236" s="32">
        <v>584.80691933269895</v>
      </c>
      <c r="EG236" s="32">
        <v>6.6091491966469702</v>
      </c>
      <c r="EH236" s="32">
        <v>13.5616062616762</v>
      </c>
      <c r="EI236" s="32">
        <v>40.379292291298597</v>
      </c>
      <c r="EJ236" s="32">
        <v>448.54596466182699</v>
      </c>
      <c r="EK236" s="32">
        <v>8.0116853580620901</v>
      </c>
      <c r="EL236" s="32">
        <v>45.610652156807802</v>
      </c>
      <c r="EM236" s="32">
        <v>5.9449859090270403</v>
      </c>
      <c r="EN236" s="32">
        <v>12.464524569683499</v>
      </c>
      <c r="EO236" s="32">
        <v>18.5455919325127</v>
      </c>
      <c r="EP236" s="32">
        <v>0</v>
      </c>
      <c r="EQ236" s="32">
        <v>8.9429163210270897</v>
      </c>
      <c r="ER236" s="32">
        <v>47.3076708582986</v>
      </c>
      <c r="ES236" s="32">
        <v>260.191609034576</v>
      </c>
      <c r="ET236" s="32">
        <v>164.24886244608399</v>
      </c>
      <c r="EU236" s="32">
        <v>1.34845070454447</v>
      </c>
      <c r="EV236" s="32">
        <v>83.524813622229104</v>
      </c>
      <c r="EW236" s="32">
        <v>322.77912096523499</v>
      </c>
      <c r="EX236" s="32">
        <v>224.04410042131801</v>
      </c>
      <c r="EY236" s="32">
        <v>101.962777591231</v>
      </c>
      <c r="EZ236" s="32">
        <v>889.61759135959596</v>
      </c>
      <c r="FA236" s="32">
        <v>415.58297235917001</v>
      </c>
      <c r="FB236" s="32">
        <v>272.502504576815</v>
      </c>
      <c r="FC236" s="32">
        <v>5993.0364911798597</v>
      </c>
      <c r="FD236" s="32">
        <v>3416.3001211156602</v>
      </c>
      <c r="FE236" s="32">
        <v>801.17262504570203</v>
      </c>
      <c r="FF236" s="32">
        <v>1235.9821094459801</v>
      </c>
      <c r="FG236" s="32">
        <v>3717.1774728505002</v>
      </c>
      <c r="FH236" s="32">
        <v>74.191943630400104</v>
      </c>
      <c r="FI236" s="32">
        <v>10466.124810753299</v>
      </c>
      <c r="FJ236" s="32">
        <v>1465.8751892467301</v>
      </c>
      <c r="FK236" s="32">
        <v>139.029</v>
      </c>
      <c r="FL236" s="32">
        <v>910.54673907332699</v>
      </c>
      <c r="FM236" s="32">
        <v>286.75303905797398</v>
      </c>
      <c r="FN236" s="32">
        <v>325.43395951963902</v>
      </c>
      <c r="FO236" s="32">
        <v>5.0046144442724403</v>
      </c>
      <c r="FP236" s="32">
        <v>529.73594583946397</v>
      </c>
      <c r="FQ236" s="32">
        <v>846.62582921594299</v>
      </c>
      <c r="FR236" s="32">
        <v>72.718709389251899</v>
      </c>
      <c r="FS236" s="32">
        <v>752.65079717723097</v>
      </c>
      <c r="FT236" s="32">
        <v>3453.7758560959301</v>
      </c>
      <c r="FU236" s="32">
        <v>2575.11832915588</v>
      </c>
      <c r="FV236" s="32">
        <v>491.17198259720902</v>
      </c>
      <c r="FW236" s="32">
        <v>119.46486618</v>
      </c>
      <c r="FX236" s="32">
        <v>4845.4024737632899</v>
      </c>
      <c r="FY236" s="32">
        <v>640.92223464000006</v>
      </c>
      <c r="FZ236" s="32">
        <v>564.27795330816002</v>
      </c>
      <c r="GA236" s="32">
        <v>6.9786130401912203</v>
      </c>
      <c r="GB236" s="32">
        <v>41.1173337870081</v>
      </c>
      <c r="GC236" s="32">
        <v>222.285347243833</v>
      </c>
      <c r="GD236" s="32">
        <v>806.44392481477701</v>
      </c>
      <c r="GE236" s="32">
        <v>1559.1550668714599</v>
      </c>
      <c r="GF236" s="32">
        <v>593.52203370524205</v>
      </c>
      <c r="GG236" s="32">
        <v>15615.555665473799</v>
      </c>
      <c r="GH236" s="32">
        <v>1874.0698649798601</v>
      </c>
      <c r="GI236" s="32">
        <v>17418.815300047499</v>
      </c>
      <c r="GJ236" s="32">
        <v>1179.0434564709201</v>
      </c>
      <c r="GK236" s="32">
        <v>6825.5673064407301</v>
      </c>
      <c r="GL236" s="32">
        <v>596.71418519678195</v>
      </c>
      <c r="GM236" s="32">
        <v>432.667632888073</v>
      </c>
      <c r="GN236" s="32">
        <v>67.663006565398604</v>
      </c>
      <c r="GO236" s="32">
        <v>72.910397005059394</v>
      </c>
      <c r="GP236" s="32">
        <v>1766.0250000000001</v>
      </c>
      <c r="GQ236" s="32">
        <v>115880.52015027599</v>
      </c>
      <c r="GR236" s="31"/>
      <c r="GS236" s="33"/>
      <c r="GT236" s="33"/>
      <c r="GU236" s="33"/>
      <c r="GV236" s="33"/>
      <c r="GW236" s="33"/>
      <c r="GX236" s="33"/>
      <c r="GY236" s="33"/>
      <c r="GZ236" s="33"/>
      <c r="HA236" s="5"/>
      <c r="HB236" s="5"/>
      <c r="HC236" s="5"/>
    </row>
    <row r="237" spans="1:211" s="7" customFormat="1" ht="17.25" customHeight="1">
      <c r="B237" s="12" t="s">
        <v>725</v>
      </c>
      <c r="C237" s="13" t="s">
        <v>726</v>
      </c>
      <c r="D237" s="32">
        <v>0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15.9212778104752</v>
      </c>
      <c r="T237" s="32">
        <v>0</v>
      </c>
      <c r="U237" s="32">
        <v>0</v>
      </c>
      <c r="V237" s="32">
        <v>0</v>
      </c>
      <c r="W237" s="32">
        <v>0</v>
      </c>
      <c r="X237" s="32">
        <v>0</v>
      </c>
      <c r="Y237" s="32">
        <v>0</v>
      </c>
      <c r="Z237" s="32">
        <v>0</v>
      </c>
      <c r="AA237" s="32">
        <v>0</v>
      </c>
      <c r="AB237" s="32">
        <v>0</v>
      </c>
      <c r="AC237" s="32">
        <v>0</v>
      </c>
      <c r="AD237" s="32">
        <v>0</v>
      </c>
      <c r="AE237" s="32">
        <v>0</v>
      </c>
      <c r="AF237" s="32">
        <v>30.0472013096261</v>
      </c>
      <c r="AG237" s="32">
        <v>6.3227039757354202</v>
      </c>
      <c r="AH237" s="32">
        <v>0</v>
      </c>
      <c r="AI237" s="32">
        <v>0</v>
      </c>
      <c r="AJ237" s="32">
        <v>0</v>
      </c>
      <c r="AK237" s="32">
        <v>0</v>
      </c>
      <c r="AL237" s="32">
        <v>0</v>
      </c>
      <c r="AM237" s="32">
        <v>0</v>
      </c>
      <c r="AN237" s="32">
        <v>0.54648991328746499</v>
      </c>
      <c r="AO237" s="32">
        <v>1.1876658964917</v>
      </c>
      <c r="AP237" s="32">
        <v>0</v>
      </c>
      <c r="AQ237" s="32">
        <v>0</v>
      </c>
      <c r="AR237" s="32">
        <v>0</v>
      </c>
      <c r="AS237" s="32">
        <v>0</v>
      </c>
      <c r="AT237" s="32">
        <v>76.362258644905495</v>
      </c>
      <c r="AU237" s="32">
        <v>0</v>
      </c>
      <c r="AV237" s="32">
        <v>3.2768400763745902</v>
      </c>
      <c r="AW237" s="32">
        <v>100.05563359460101</v>
      </c>
      <c r="AX237" s="32">
        <v>6.1747827105958599</v>
      </c>
      <c r="AY237" s="32">
        <v>5.9684366974964501E-2</v>
      </c>
      <c r="AZ237" s="32">
        <v>3.1973019967710798</v>
      </c>
      <c r="BA237" s="32">
        <v>2.1292465201075501</v>
      </c>
      <c r="BB237" s="32">
        <v>1.0777357113378501</v>
      </c>
      <c r="BC237" s="32">
        <v>2.4674105852332402</v>
      </c>
      <c r="BD237" s="32">
        <v>0</v>
      </c>
      <c r="BE237" s="32">
        <v>0</v>
      </c>
      <c r="BF237" s="32">
        <v>0</v>
      </c>
      <c r="BG237" s="32">
        <v>0</v>
      </c>
      <c r="BH237" s="32">
        <v>7.8894268805295198</v>
      </c>
      <c r="BI237" s="32">
        <v>2.69942713509649</v>
      </c>
      <c r="BJ237" s="32">
        <v>7.9706969927439397</v>
      </c>
      <c r="BK237" s="32">
        <v>0</v>
      </c>
      <c r="BL237" s="32">
        <v>6.27450719368374</v>
      </c>
      <c r="BM237" s="32">
        <v>0.19968366415307301</v>
      </c>
      <c r="BN237" s="32">
        <v>1.78666392641046</v>
      </c>
      <c r="BO237" s="32">
        <v>5.3856769353991503</v>
      </c>
      <c r="BP237" s="32">
        <v>3.5620564315548401E-3</v>
      </c>
      <c r="BQ237" s="32">
        <v>0.77237353651053298</v>
      </c>
      <c r="BR237" s="32">
        <v>0.14855097802122699</v>
      </c>
      <c r="BS237" s="32">
        <v>0</v>
      </c>
      <c r="BT237" s="32">
        <v>0</v>
      </c>
      <c r="BU237" s="32">
        <v>6.1511905587659603</v>
      </c>
      <c r="BV237" s="32">
        <v>9.9737962532717699</v>
      </c>
      <c r="BW237" s="32">
        <v>0</v>
      </c>
      <c r="BX237" s="32">
        <v>15.417491966562199</v>
      </c>
      <c r="BY237" s="32">
        <v>0</v>
      </c>
      <c r="BZ237" s="32">
        <v>0</v>
      </c>
      <c r="CA237" s="32">
        <v>24.495078795622099</v>
      </c>
      <c r="CB237" s="32">
        <v>7.8822561629222099</v>
      </c>
      <c r="CC237" s="32">
        <v>0.43206883423349701</v>
      </c>
      <c r="CD237" s="32">
        <v>5.6765774201002399</v>
      </c>
      <c r="CE237" s="32">
        <v>1.93017982430799</v>
      </c>
      <c r="CF237" s="32">
        <v>0</v>
      </c>
      <c r="CG237" s="32">
        <v>8.5559830040032594</v>
      </c>
      <c r="CH237" s="32">
        <v>0.443843700553328</v>
      </c>
      <c r="CI237" s="32">
        <v>1.4263218117807199</v>
      </c>
      <c r="CJ237" s="32">
        <v>1.9496894855134099</v>
      </c>
      <c r="CK237" s="32">
        <v>0.43332231362141799</v>
      </c>
      <c r="CL237" s="32">
        <v>0.601198820976933</v>
      </c>
      <c r="CM237" s="32">
        <v>24.7347343710004</v>
      </c>
      <c r="CN237" s="32">
        <v>0.57845621763293298</v>
      </c>
      <c r="CO237" s="32">
        <v>3.4968815409212901</v>
      </c>
      <c r="CP237" s="32">
        <v>7.2632022679440302</v>
      </c>
      <c r="CQ237" s="32">
        <v>3.22171544143667</v>
      </c>
      <c r="CR237" s="32">
        <v>0.90385804546733095</v>
      </c>
      <c r="CS237" s="32">
        <v>1.4578233600184201</v>
      </c>
      <c r="CT237" s="32">
        <v>3.4777077292721099</v>
      </c>
      <c r="CU237" s="32">
        <v>1.549910983063</v>
      </c>
      <c r="CV237" s="32">
        <v>0.29347180034445303</v>
      </c>
      <c r="CW237" s="32">
        <v>1.75415317896947</v>
      </c>
      <c r="CX237" s="32">
        <v>0.39450349176222299</v>
      </c>
      <c r="CY237" s="32">
        <v>2.5293948848870502</v>
      </c>
      <c r="CZ237" s="32">
        <v>4.6271684520661403E-2</v>
      </c>
      <c r="DA237" s="32">
        <v>2.9445520538101801</v>
      </c>
      <c r="DB237" s="32">
        <v>2.9710368103004998</v>
      </c>
      <c r="DC237" s="32">
        <v>3.0812771095505598</v>
      </c>
      <c r="DD237" s="32">
        <v>0.131199998496034</v>
      </c>
      <c r="DE237" s="32">
        <v>0</v>
      </c>
      <c r="DF237" s="32">
        <v>1.27259365085104</v>
      </c>
      <c r="DG237" s="32">
        <v>6.7041605003794498</v>
      </c>
      <c r="DH237" s="32">
        <v>7.26553547864743</v>
      </c>
      <c r="DI237" s="32">
        <v>0.72655354786474402</v>
      </c>
      <c r="DJ237" s="32">
        <v>7.2754611871710102</v>
      </c>
      <c r="DK237" s="32">
        <v>0.57385934836328301</v>
      </c>
      <c r="DL237" s="32">
        <v>7.2719526584465202</v>
      </c>
      <c r="DM237" s="32">
        <v>1.3610571862021399</v>
      </c>
      <c r="DN237" s="32">
        <v>0.64504386084375198</v>
      </c>
      <c r="DO237" s="32">
        <v>3.9056558193071397E-2</v>
      </c>
      <c r="DP237" s="32">
        <v>0</v>
      </c>
      <c r="DQ237" s="32">
        <v>6.1069721537073596</v>
      </c>
      <c r="DR237" s="32">
        <v>7.4722474079419996</v>
      </c>
      <c r="DS237" s="32">
        <v>0.81320995537463303</v>
      </c>
      <c r="DT237" s="32">
        <v>1.7729293258947499E-2</v>
      </c>
      <c r="DU237" s="32">
        <v>13.144447778615</v>
      </c>
      <c r="DV237" s="32">
        <v>3.9913793160123401</v>
      </c>
      <c r="DW237" s="32">
        <v>0</v>
      </c>
      <c r="DX237" s="32">
        <v>3.07440356645535</v>
      </c>
      <c r="DY237" s="32">
        <v>11.352721873628701</v>
      </c>
      <c r="DZ237" s="32">
        <v>4.3348314473237197</v>
      </c>
      <c r="EA237" s="32">
        <v>0.30265106485633297</v>
      </c>
      <c r="EB237" s="32">
        <v>25.3328024612278</v>
      </c>
      <c r="EC237" s="32">
        <v>7.7799510024536103</v>
      </c>
      <c r="ED237" s="32">
        <v>2.63731925557832</v>
      </c>
      <c r="EE237" s="32">
        <v>0</v>
      </c>
      <c r="EF237" s="32">
        <v>7.2173270797258304</v>
      </c>
      <c r="EG237" s="32">
        <v>0.99793054208424603</v>
      </c>
      <c r="EH237" s="32">
        <v>0.72329665152767197</v>
      </c>
      <c r="EI237" s="32">
        <v>0.576739760577057</v>
      </c>
      <c r="EJ237" s="32">
        <v>2.6444206589116299</v>
      </c>
      <c r="EK237" s="32">
        <v>0.17654258238563</v>
      </c>
      <c r="EL237" s="32">
        <v>3.87086044028141</v>
      </c>
      <c r="EM237" s="32">
        <v>0.20064282205912801</v>
      </c>
      <c r="EN237" s="32">
        <v>0.61166496439384299</v>
      </c>
      <c r="EO237" s="32">
        <v>5.15331329096316</v>
      </c>
      <c r="EP237" s="32">
        <v>0</v>
      </c>
      <c r="EQ237" s="32">
        <v>0.479534235858456</v>
      </c>
      <c r="ER237" s="32">
        <v>1.9422128520042701</v>
      </c>
      <c r="ES237" s="32">
        <v>3.3386854828071</v>
      </c>
      <c r="ET237" s="32">
        <v>2.6147163442220198</v>
      </c>
      <c r="EU237" s="32">
        <v>0</v>
      </c>
      <c r="EV237" s="32">
        <v>0.57356055478991597</v>
      </c>
      <c r="EW237" s="32">
        <v>5.6005915142044298</v>
      </c>
      <c r="EX237" s="32">
        <v>14.224090507846901</v>
      </c>
      <c r="EY237" s="32">
        <v>6.2907696427410702</v>
      </c>
      <c r="EZ237" s="32">
        <v>30.246577886199599</v>
      </c>
      <c r="FA237" s="32">
        <v>5.5623843977818304</v>
      </c>
      <c r="FB237" s="32">
        <v>4.9497931285689001</v>
      </c>
      <c r="FC237" s="32">
        <v>81.570982494103205</v>
      </c>
      <c r="FD237" s="32">
        <v>25.2373825058968</v>
      </c>
      <c r="FE237" s="32">
        <v>0</v>
      </c>
      <c r="FF237" s="32">
        <v>0</v>
      </c>
      <c r="FG237" s="32">
        <v>50.3322416147941</v>
      </c>
      <c r="FH237" s="32">
        <v>13.671892851932</v>
      </c>
      <c r="FI237" s="32">
        <v>111.112001189379</v>
      </c>
      <c r="FJ237" s="32">
        <v>20.905495867368799</v>
      </c>
      <c r="FK237" s="32">
        <v>3.4141378241440998</v>
      </c>
      <c r="FL237" s="32">
        <v>11.511827402845199</v>
      </c>
      <c r="FM237" s="32">
        <v>11.661326522845201</v>
      </c>
      <c r="FN237" s="32">
        <v>18.8337313096015</v>
      </c>
      <c r="FO237" s="32">
        <v>0.19120442011451799</v>
      </c>
      <c r="FP237" s="32">
        <v>19.410682461422599</v>
      </c>
      <c r="FQ237" s="32">
        <v>19.118208197808599</v>
      </c>
      <c r="FR237" s="32">
        <v>1.30788926563903</v>
      </c>
      <c r="FS237" s="32">
        <v>23.5090595689243</v>
      </c>
      <c r="FT237" s="32">
        <v>70.456932100276305</v>
      </c>
      <c r="FU237" s="32">
        <v>62.058640020360798</v>
      </c>
      <c r="FV237" s="32">
        <v>6.0820780682955498</v>
      </c>
      <c r="FW237" s="32">
        <v>1.9373067900000001</v>
      </c>
      <c r="FX237" s="32">
        <v>111.59003089358799</v>
      </c>
      <c r="FY237" s="32">
        <v>15.42570314</v>
      </c>
      <c r="FZ237" s="32">
        <v>25.5366717828358</v>
      </c>
      <c r="GA237" s="32">
        <v>855.43451627220702</v>
      </c>
      <c r="GB237" s="32">
        <v>273.443448815632</v>
      </c>
      <c r="GC237" s="32">
        <v>32.862099478060003</v>
      </c>
      <c r="GD237" s="32">
        <v>10.623464354290901</v>
      </c>
      <c r="GE237" s="32">
        <v>4.6334307844253697</v>
      </c>
      <c r="GF237" s="32">
        <v>2.06704059821024</v>
      </c>
      <c r="GG237" s="32">
        <v>247.490605099905</v>
      </c>
      <c r="GH237" s="32">
        <v>55.926340099999997</v>
      </c>
      <c r="GI237" s="32">
        <v>258.77849710336898</v>
      </c>
      <c r="GJ237" s="32">
        <v>17.485437300000001</v>
      </c>
      <c r="GK237" s="32">
        <v>104.995566023938</v>
      </c>
      <c r="GL237" s="32">
        <v>10.044302367112699</v>
      </c>
      <c r="GM237" s="32">
        <v>13.1919893995042</v>
      </c>
      <c r="GN237" s="32">
        <v>0.17238734937269601</v>
      </c>
      <c r="GO237" s="32">
        <v>0.51714389429702701</v>
      </c>
      <c r="GP237" s="32">
        <v>0</v>
      </c>
      <c r="GQ237" s="32">
        <v>3238.1892434589599</v>
      </c>
      <c r="GR237" s="31"/>
      <c r="GS237" s="33"/>
      <c r="GT237" s="33"/>
      <c r="GU237" s="33"/>
      <c r="GV237" s="33"/>
      <c r="GW237" s="33"/>
      <c r="GX237" s="33"/>
      <c r="GY237" s="33"/>
      <c r="GZ237" s="33"/>
      <c r="HA237" s="5"/>
      <c r="HB237" s="5"/>
      <c r="HC237" s="5"/>
    </row>
    <row r="238" spans="1:211" s="7" customFormat="1" ht="17.25" customHeight="1">
      <c r="B238" s="12" t="s">
        <v>727</v>
      </c>
      <c r="C238" s="13" t="s">
        <v>728</v>
      </c>
      <c r="D238" s="32">
        <v>0</v>
      </c>
      <c r="E238" s="32">
        <v>0</v>
      </c>
      <c r="F238" s="32">
        <v>0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  <c r="X238" s="32">
        <v>0</v>
      </c>
      <c r="Y238" s="32">
        <v>0</v>
      </c>
      <c r="Z238" s="32">
        <v>0</v>
      </c>
      <c r="AA238" s="32">
        <v>0</v>
      </c>
      <c r="AB238" s="32">
        <v>0</v>
      </c>
      <c r="AC238" s="32">
        <v>0</v>
      </c>
      <c r="AD238" s="32">
        <v>0</v>
      </c>
      <c r="AE238" s="32">
        <v>0</v>
      </c>
      <c r="AF238" s="32">
        <v>0</v>
      </c>
      <c r="AG238" s="32">
        <v>0</v>
      </c>
      <c r="AH238" s="32">
        <v>0</v>
      </c>
      <c r="AI238" s="32">
        <v>0</v>
      </c>
      <c r="AJ238" s="32">
        <v>0</v>
      </c>
      <c r="AK238" s="32">
        <v>0</v>
      </c>
      <c r="AL238" s="32">
        <v>0</v>
      </c>
      <c r="AM238" s="32">
        <v>0</v>
      </c>
      <c r="AN238" s="32">
        <v>0</v>
      </c>
      <c r="AO238" s="32">
        <v>0</v>
      </c>
      <c r="AP238" s="32">
        <v>0</v>
      </c>
      <c r="AQ238" s="32">
        <v>0</v>
      </c>
      <c r="AR238" s="32">
        <v>0</v>
      </c>
      <c r="AS238" s="32">
        <v>0</v>
      </c>
      <c r="AT238" s="32">
        <v>0</v>
      </c>
      <c r="AU238" s="32">
        <v>0</v>
      </c>
      <c r="AV238" s="32">
        <v>0</v>
      </c>
      <c r="AW238" s="32">
        <v>0</v>
      </c>
      <c r="AX238" s="32">
        <v>0</v>
      </c>
      <c r="AY238" s="32">
        <v>0</v>
      </c>
      <c r="AZ238" s="32">
        <v>0</v>
      </c>
      <c r="BA238" s="32">
        <v>0</v>
      </c>
      <c r="BB238" s="32">
        <v>0</v>
      </c>
      <c r="BC238" s="32">
        <v>0</v>
      </c>
      <c r="BD238" s="32">
        <v>0</v>
      </c>
      <c r="BE238" s="32">
        <v>0</v>
      </c>
      <c r="BF238" s="32">
        <v>0</v>
      </c>
      <c r="BG238" s="32">
        <v>0</v>
      </c>
      <c r="BH238" s="32">
        <v>0</v>
      </c>
      <c r="BI238" s="32">
        <v>0</v>
      </c>
      <c r="BJ238" s="32">
        <v>0</v>
      </c>
      <c r="BK238" s="32">
        <v>0</v>
      </c>
      <c r="BL238" s="32">
        <v>0</v>
      </c>
      <c r="BM238" s="32">
        <v>0</v>
      </c>
      <c r="BN238" s="32">
        <v>0</v>
      </c>
      <c r="BO238" s="32">
        <v>0</v>
      </c>
      <c r="BP238" s="32">
        <v>0</v>
      </c>
      <c r="BQ238" s="32">
        <v>0</v>
      </c>
      <c r="BR238" s="32">
        <v>0</v>
      </c>
      <c r="BS238" s="32">
        <v>0</v>
      </c>
      <c r="BT238" s="32">
        <v>0</v>
      </c>
      <c r="BU238" s="32">
        <v>0</v>
      </c>
      <c r="BV238" s="32">
        <v>0</v>
      </c>
      <c r="BW238" s="32">
        <v>0</v>
      </c>
      <c r="BX238" s="32">
        <v>0</v>
      </c>
      <c r="BY238" s="32">
        <v>0</v>
      </c>
      <c r="BZ238" s="32">
        <v>0</v>
      </c>
      <c r="CA238" s="32">
        <v>0</v>
      </c>
      <c r="CB238" s="32">
        <v>0</v>
      </c>
      <c r="CC238" s="32">
        <v>0</v>
      </c>
      <c r="CD238" s="32">
        <v>0</v>
      </c>
      <c r="CE238" s="32">
        <v>0</v>
      </c>
      <c r="CF238" s="32">
        <v>0</v>
      </c>
      <c r="CG238" s="32">
        <v>0</v>
      </c>
      <c r="CH238" s="32">
        <v>0</v>
      </c>
      <c r="CI238" s="32">
        <v>0</v>
      </c>
      <c r="CJ238" s="32">
        <v>0</v>
      </c>
      <c r="CK238" s="32">
        <v>0</v>
      </c>
      <c r="CL238" s="32">
        <v>0</v>
      </c>
      <c r="CM238" s="32">
        <v>0</v>
      </c>
      <c r="CN238" s="32">
        <v>0</v>
      </c>
      <c r="CO238" s="32">
        <v>0</v>
      </c>
      <c r="CP238" s="32">
        <v>0</v>
      </c>
      <c r="CQ238" s="32">
        <v>0</v>
      </c>
      <c r="CR238" s="32">
        <v>0</v>
      </c>
      <c r="CS238" s="32">
        <v>0</v>
      </c>
      <c r="CT238" s="32">
        <v>0</v>
      </c>
      <c r="CU238" s="32">
        <v>0</v>
      </c>
      <c r="CV238" s="32">
        <v>0</v>
      </c>
      <c r="CW238" s="32">
        <v>0</v>
      </c>
      <c r="CX238" s="32">
        <v>0</v>
      </c>
      <c r="CY238" s="32">
        <v>0</v>
      </c>
      <c r="CZ238" s="32">
        <v>0</v>
      </c>
      <c r="DA238" s="32">
        <v>0</v>
      </c>
      <c r="DB238" s="32">
        <v>0</v>
      </c>
      <c r="DC238" s="32">
        <v>0</v>
      </c>
      <c r="DD238" s="32">
        <v>0</v>
      </c>
      <c r="DE238" s="32">
        <v>0</v>
      </c>
      <c r="DF238" s="32">
        <v>0</v>
      </c>
      <c r="DG238" s="32">
        <v>0</v>
      </c>
      <c r="DH238" s="32">
        <v>0</v>
      </c>
      <c r="DI238" s="32">
        <v>0</v>
      </c>
      <c r="DJ238" s="32">
        <v>0</v>
      </c>
      <c r="DK238" s="32">
        <v>0</v>
      </c>
      <c r="DL238" s="32">
        <v>0</v>
      </c>
      <c r="DM238" s="32">
        <v>0</v>
      </c>
      <c r="DN238" s="32">
        <v>0</v>
      </c>
      <c r="DO238" s="32">
        <v>0</v>
      </c>
      <c r="DP238" s="32">
        <v>0</v>
      </c>
      <c r="DQ238" s="32">
        <v>0</v>
      </c>
      <c r="DR238" s="32">
        <v>0</v>
      </c>
      <c r="DS238" s="32">
        <v>0</v>
      </c>
      <c r="DT238" s="32">
        <v>0</v>
      </c>
      <c r="DU238" s="32">
        <v>0</v>
      </c>
      <c r="DV238" s="32">
        <v>0</v>
      </c>
      <c r="DW238" s="32">
        <v>0</v>
      </c>
      <c r="DX238" s="32">
        <v>0</v>
      </c>
      <c r="DY238" s="32">
        <v>0</v>
      </c>
      <c r="DZ238" s="32">
        <v>0</v>
      </c>
      <c r="EA238" s="32">
        <v>0</v>
      </c>
      <c r="EB238" s="32">
        <v>0</v>
      </c>
      <c r="EC238" s="32">
        <v>0</v>
      </c>
      <c r="ED238" s="32">
        <v>0</v>
      </c>
      <c r="EE238" s="32">
        <v>0</v>
      </c>
      <c r="EF238" s="32">
        <v>0</v>
      </c>
      <c r="EG238" s="32">
        <v>0</v>
      </c>
      <c r="EH238" s="32">
        <v>0</v>
      </c>
      <c r="EI238" s="32">
        <v>0</v>
      </c>
      <c r="EJ238" s="32">
        <v>0</v>
      </c>
      <c r="EK238" s="32">
        <v>0</v>
      </c>
      <c r="EL238" s="32">
        <v>0</v>
      </c>
      <c r="EM238" s="32">
        <v>0</v>
      </c>
      <c r="EN238" s="32">
        <v>0</v>
      </c>
      <c r="EO238" s="32">
        <v>0</v>
      </c>
      <c r="EP238" s="32">
        <v>0</v>
      </c>
      <c r="EQ238" s="32">
        <v>0</v>
      </c>
      <c r="ER238" s="32">
        <v>0</v>
      </c>
      <c r="ES238" s="32">
        <v>0</v>
      </c>
      <c r="ET238" s="32">
        <v>0</v>
      </c>
      <c r="EU238" s="32">
        <v>0</v>
      </c>
      <c r="EV238" s="32">
        <v>0</v>
      </c>
      <c r="EW238" s="32">
        <v>0</v>
      </c>
      <c r="EX238" s="32">
        <v>0</v>
      </c>
      <c r="EY238" s="32">
        <v>0</v>
      </c>
      <c r="EZ238" s="32">
        <v>0</v>
      </c>
      <c r="FA238" s="32">
        <v>0</v>
      </c>
      <c r="FB238" s="32">
        <v>0</v>
      </c>
      <c r="FC238" s="32">
        <v>0</v>
      </c>
      <c r="FD238" s="32">
        <v>0</v>
      </c>
      <c r="FE238" s="32">
        <v>0</v>
      </c>
      <c r="FF238" s="32">
        <v>0</v>
      </c>
      <c r="FG238" s="32">
        <v>983.74112996951897</v>
      </c>
      <c r="FH238" s="32">
        <v>0</v>
      </c>
      <c r="FI238" s="32">
        <v>0</v>
      </c>
      <c r="FJ238" s="32">
        <v>0</v>
      </c>
      <c r="FK238" s="32">
        <v>0</v>
      </c>
      <c r="FL238" s="32">
        <v>0</v>
      </c>
      <c r="FM238" s="32">
        <v>120.17666551000001</v>
      </c>
      <c r="FN238" s="32">
        <v>0</v>
      </c>
      <c r="FO238" s="32">
        <v>0</v>
      </c>
      <c r="FP238" s="32">
        <v>0</v>
      </c>
      <c r="FQ238" s="32">
        <v>0</v>
      </c>
      <c r="FR238" s="32">
        <v>0</v>
      </c>
      <c r="FS238" s="32">
        <v>0</v>
      </c>
      <c r="FT238" s="32">
        <v>0</v>
      </c>
      <c r="FU238" s="32">
        <v>0</v>
      </c>
      <c r="FV238" s="32">
        <v>0</v>
      </c>
      <c r="FW238" s="32">
        <v>0</v>
      </c>
      <c r="FX238" s="32">
        <v>309.63763745988899</v>
      </c>
      <c r="FY238" s="32">
        <v>0</v>
      </c>
      <c r="FZ238" s="32">
        <v>0</v>
      </c>
      <c r="GA238" s="32">
        <v>0</v>
      </c>
      <c r="GB238" s="32">
        <v>0</v>
      </c>
      <c r="GC238" s="32">
        <v>0</v>
      </c>
      <c r="GD238" s="32">
        <v>0</v>
      </c>
      <c r="GE238" s="32">
        <v>0</v>
      </c>
      <c r="GF238" s="32">
        <v>0</v>
      </c>
      <c r="GG238" s="32">
        <v>0</v>
      </c>
      <c r="GH238" s="32">
        <v>0</v>
      </c>
      <c r="GI238" s="32">
        <v>0</v>
      </c>
      <c r="GJ238" s="32">
        <v>0</v>
      </c>
      <c r="GK238" s="32">
        <v>0</v>
      </c>
      <c r="GL238" s="32">
        <v>0</v>
      </c>
      <c r="GM238" s="32">
        <v>0</v>
      </c>
      <c r="GN238" s="32">
        <v>0</v>
      </c>
      <c r="GO238" s="32">
        <v>0</v>
      </c>
      <c r="GP238" s="32">
        <v>0</v>
      </c>
      <c r="GQ238" s="32">
        <v>1413.5554329394079</v>
      </c>
      <c r="GR238" s="31"/>
      <c r="GS238" s="33"/>
      <c r="GT238" s="33"/>
      <c r="GU238" s="33"/>
      <c r="GV238" s="33"/>
      <c r="GW238" s="33"/>
      <c r="GX238" s="33"/>
      <c r="GY238" s="33"/>
      <c r="GZ238" s="33"/>
      <c r="HA238" s="5"/>
      <c r="HB238" s="5"/>
      <c r="HC238" s="5"/>
    </row>
    <row r="239" spans="1:211" s="7" customFormat="1" ht="17.25" customHeight="1">
      <c r="B239" s="12" t="s">
        <v>729</v>
      </c>
      <c r="C239" s="13" t="s">
        <v>730</v>
      </c>
      <c r="D239" s="32">
        <v>36.858011991550804</v>
      </c>
      <c r="E239" s="32">
        <v>61.913041474336403</v>
      </c>
      <c r="F239" s="32">
        <v>113.585577069976</v>
      </c>
      <c r="G239" s="32">
        <v>3.0477770302782101</v>
      </c>
      <c r="H239" s="32">
        <v>24.049865792077899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13.172518703928301</v>
      </c>
      <c r="P239" s="32">
        <v>10.310425856238901</v>
      </c>
      <c r="Q239" s="32">
        <v>164.32284358831399</v>
      </c>
      <c r="R239" s="32">
        <v>34.229012124701804</v>
      </c>
      <c r="S239" s="32">
        <v>331.11123888310499</v>
      </c>
      <c r="T239" s="32">
        <v>41.685193938968297</v>
      </c>
      <c r="U239" s="32">
        <v>0</v>
      </c>
      <c r="V239" s="32">
        <v>1.4130861664537999</v>
      </c>
      <c r="W239" s="32">
        <v>27.509176266675201</v>
      </c>
      <c r="X239" s="32">
        <v>6.1702991373349798</v>
      </c>
      <c r="Y239" s="32">
        <v>0</v>
      </c>
      <c r="Z239" s="32">
        <v>0</v>
      </c>
      <c r="AA239" s="32">
        <v>26.9281604040175</v>
      </c>
      <c r="AB239" s="32">
        <v>1.1491256854723999</v>
      </c>
      <c r="AC239" s="32">
        <v>84.039570586284</v>
      </c>
      <c r="AD239" s="32">
        <v>6.15059125332637</v>
      </c>
      <c r="AE239" s="32">
        <v>0</v>
      </c>
      <c r="AF239" s="32">
        <v>987.94868259989698</v>
      </c>
      <c r="AG239" s="32">
        <v>125.102417444997</v>
      </c>
      <c r="AH239" s="32">
        <v>0</v>
      </c>
      <c r="AI239" s="32">
        <v>10.761152903488799</v>
      </c>
      <c r="AJ239" s="32">
        <v>9.2554775546036296</v>
      </c>
      <c r="AK239" s="32">
        <v>0</v>
      </c>
      <c r="AL239" s="32">
        <v>649.71882074770497</v>
      </c>
      <c r="AM239" s="32">
        <v>48.708486160069299</v>
      </c>
      <c r="AN239" s="32">
        <v>106.966403763559</v>
      </c>
      <c r="AO239" s="32">
        <v>52.690318893955201</v>
      </c>
      <c r="AP239" s="32">
        <v>0</v>
      </c>
      <c r="AQ239" s="32">
        <v>10.6445501959564</v>
      </c>
      <c r="AR239" s="32">
        <v>0</v>
      </c>
      <c r="AS239" s="32">
        <v>0</v>
      </c>
      <c r="AT239" s="32">
        <v>15469.309684800999</v>
      </c>
      <c r="AU239" s="32">
        <v>1175.36684504955</v>
      </c>
      <c r="AV239" s="32">
        <v>1500.5689865520101</v>
      </c>
      <c r="AW239" s="32">
        <v>2754.34748955643</v>
      </c>
      <c r="AX239" s="32">
        <v>4907.2472802483699</v>
      </c>
      <c r="AY239" s="32">
        <v>0.42165574791796001</v>
      </c>
      <c r="AZ239" s="32">
        <v>57.9103933585235</v>
      </c>
      <c r="BA239" s="32">
        <v>84.406634381825697</v>
      </c>
      <c r="BB239" s="32">
        <v>26.5751567180073</v>
      </c>
      <c r="BC239" s="32">
        <v>398.17469731087601</v>
      </c>
      <c r="BD239" s="32">
        <v>21.770182500534801</v>
      </c>
      <c r="BE239" s="32">
        <v>1341.18388275394</v>
      </c>
      <c r="BF239" s="32">
        <v>56.599475827637697</v>
      </c>
      <c r="BG239" s="32">
        <v>25.164798557275599</v>
      </c>
      <c r="BH239" s="32">
        <v>608.80691942098895</v>
      </c>
      <c r="BI239" s="32">
        <v>26.280534136247802</v>
      </c>
      <c r="BJ239" s="32">
        <v>115.094483539489</v>
      </c>
      <c r="BK239" s="32">
        <v>0</v>
      </c>
      <c r="BL239" s="32">
        <v>106.321275813936</v>
      </c>
      <c r="BM239" s="32">
        <v>6.274569028498</v>
      </c>
      <c r="BN239" s="32">
        <v>66.141186649732106</v>
      </c>
      <c r="BO239" s="32">
        <v>88.420266404694601</v>
      </c>
      <c r="BP239" s="32">
        <v>4.5832172305947996</v>
      </c>
      <c r="BQ239" s="32">
        <v>186.10158470565699</v>
      </c>
      <c r="BR239" s="32">
        <v>105.530634169386</v>
      </c>
      <c r="BS239" s="32">
        <v>216.806658532554</v>
      </c>
      <c r="BT239" s="32">
        <v>0</v>
      </c>
      <c r="BU239" s="32">
        <v>292.92498320734597</v>
      </c>
      <c r="BV239" s="32">
        <v>155.96961256329101</v>
      </c>
      <c r="BW239" s="32">
        <v>55.9768169402859</v>
      </c>
      <c r="BX239" s="32">
        <v>265.14642071961498</v>
      </c>
      <c r="BY239" s="32">
        <v>229.446131935219</v>
      </c>
      <c r="BZ239" s="32">
        <v>6.1566130505267997</v>
      </c>
      <c r="CA239" s="32">
        <v>433.17304578801202</v>
      </c>
      <c r="CB239" s="32">
        <v>423.98735909976</v>
      </c>
      <c r="CC239" s="32">
        <v>7.5326523619262202</v>
      </c>
      <c r="CD239" s="32">
        <v>937.99213317923204</v>
      </c>
      <c r="CE239" s="32">
        <v>366.947440165182</v>
      </c>
      <c r="CF239" s="32">
        <v>0</v>
      </c>
      <c r="CG239" s="32">
        <v>90.167991316722393</v>
      </c>
      <c r="CH239" s="32">
        <v>78.502910248933802</v>
      </c>
      <c r="CI239" s="32">
        <v>168.49500041817501</v>
      </c>
      <c r="CJ239" s="32">
        <v>56.912415533304703</v>
      </c>
      <c r="CK239" s="32">
        <v>46.256026572645901</v>
      </c>
      <c r="CL239" s="32">
        <v>70.324696318645607</v>
      </c>
      <c r="CM239" s="32">
        <v>1117.7017695534901</v>
      </c>
      <c r="CN239" s="32">
        <v>40.950019229707898</v>
      </c>
      <c r="CO239" s="32">
        <v>145.93319786649701</v>
      </c>
      <c r="CP239" s="32">
        <v>520.14610350974397</v>
      </c>
      <c r="CQ239" s="32">
        <v>30.849613227351799</v>
      </c>
      <c r="CR239" s="32">
        <v>99.099594078562305</v>
      </c>
      <c r="CS239" s="32">
        <v>46.473810657108501</v>
      </c>
      <c r="CT239" s="32">
        <v>108.35156614976199</v>
      </c>
      <c r="CU239" s="32">
        <v>37.896605189626001</v>
      </c>
      <c r="CV239" s="32">
        <v>18.216197889210299</v>
      </c>
      <c r="CW239" s="32">
        <v>81.896029627559599</v>
      </c>
      <c r="CX239" s="32">
        <v>16.101182765000601</v>
      </c>
      <c r="CY239" s="32">
        <v>68.707843090335999</v>
      </c>
      <c r="CZ239" s="32">
        <v>7.7310940620933302</v>
      </c>
      <c r="DA239" s="32">
        <v>174.657746422993</v>
      </c>
      <c r="DB239" s="32">
        <v>187.16869775403299</v>
      </c>
      <c r="DC239" s="32">
        <v>8.6487558841348093</v>
      </c>
      <c r="DD239" s="32">
        <v>0</v>
      </c>
      <c r="DE239" s="32">
        <v>0</v>
      </c>
      <c r="DF239" s="32">
        <v>33.130511423986903</v>
      </c>
      <c r="DG239" s="32">
        <v>364.65339205319702</v>
      </c>
      <c r="DH239" s="32">
        <v>249.55399470137601</v>
      </c>
      <c r="DI239" s="32">
        <v>49.196429651013702</v>
      </c>
      <c r="DJ239" s="32">
        <v>1822.4867855001701</v>
      </c>
      <c r="DK239" s="32">
        <v>11.124509955941599</v>
      </c>
      <c r="DL239" s="32">
        <v>224.17964996802399</v>
      </c>
      <c r="DM239" s="32">
        <v>13.447753163927899</v>
      </c>
      <c r="DN239" s="32">
        <v>251.48499300934699</v>
      </c>
      <c r="DO239" s="32">
        <v>36.472784356559799</v>
      </c>
      <c r="DP239" s="32">
        <v>0</v>
      </c>
      <c r="DQ239" s="32">
        <v>132.11350448093799</v>
      </c>
      <c r="DR239" s="32">
        <v>348.27496473526099</v>
      </c>
      <c r="DS239" s="32">
        <v>204.53362825066</v>
      </c>
      <c r="DT239" s="32">
        <v>4.9425031884725499</v>
      </c>
      <c r="DU239" s="32">
        <v>269.55413577771401</v>
      </c>
      <c r="DV239" s="32">
        <v>185.47456163914899</v>
      </c>
      <c r="DW239" s="32">
        <v>0</v>
      </c>
      <c r="DX239" s="32">
        <v>87.324134833424196</v>
      </c>
      <c r="DY239" s="32">
        <v>342.82229448203799</v>
      </c>
      <c r="DZ239" s="32">
        <v>1342.6266213027</v>
      </c>
      <c r="EA239" s="32">
        <v>2.62840921709775</v>
      </c>
      <c r="EB239" s="32">
        <v>83.118340758239398</v>
      </c>
      <c r="EC239" s="32">
        <v>422.32740745027201</v>
      </c>
      <c r="ED239" s="32">
        <v>153.928767818632</v>
      </c>
      <c r="EE239" s="32">
        <v>106.996716212824</v>
      </c>
      <c r="EF239" s="32">
        <v>255.988349118109</v>
      </c>
      <c r="EG239" s="32">
        <v>12.9798332753066</v>
      </c>
      <c r="EH239" s="32">
        <v>28.7109431199349</v>
      </c>
      <c r="EI239" s="32">
        <v>11.375804236611501</v>
      </c>
      <c r="EJ239" s="32">
        <v>104.313787957749</v>
      </c>
      <c r="EK239" s="32">
        <v>7.0612660837135302</v>
      </c>
      <c r="EL239" s="32">
        <v>131.07839241913999</v>
      </c>
      <c r="EM239" s="32">
        <v>3.5176923584385</v>
      </c>
      <c r="EN239" s="32">
        <v>41.896191512247903</v>
      </c>
      <c r="EO239" s="32">
        <v>34.100759906221597</v>
      </c>
      <c r="EP239" s="32">
        <v>0</v>
      </c>
      <c r="EQ239" s="32">
        <v>10.878745239528801</v>
      </c>
      <c r="ER239" s="32">
        <v>182.080832004743</v>
      </c>
      <c r="ES239" s="32">
        <v>500.81181873858299</v>
      </c>
      <c r="ET239" s="32">
        <v>373.76265791800199</v>
      </c>
      <c r="EU239" s="32">
        <v>2.54826246634416</v>
      </c>
      <c r="EV239" s="32">
        <v>104.30952688442299</v>
      </c>
      <c r="EW239" s="32">
        <v>398.04271530324098</v>
      </c>
      <c r="EX239" s="32">
        <v>1015.8150740377901</v>
      </c>
      <c r="EY239" s="32">
        <v>707.15410822754802</v>
      </c>
      <c r="EZ239" s="32">
        <v>768.24619235804005</v>
      </c>
      <c r="FA239" s="32">
        <v>258.059116814709</v>
      </c>
      <c r="FB239" s="32">
        <v>122.38387416717499</v>
      </c>
      <c r="FC239" s="32">
        <v>1000.70053997822</v>
      </c>
      <c r="FD239" s="32">
        <v>640.68621629313498</v>
      </c>
      <c r="FE239" s="32">
        <v>57.857307845420301</v>
      </c>
      <c r="FF239" s="32">
        <v>231.50875203515901</v>
      </c>
      <c r="FG239" s="32">
        <v>4364.2887301437404</v>
      </c>
      <c r="FH239" s="32">
        <v>124.677663532439</v>
      </c>
      <c r="FI239" s="32">
        <v>2024.61384146555</v>
      </c>
      <c r="FJ239" s="32">
        <v>383.52823264354498</v>
      </c>
      <c r="FK239" s="32">
        <v>134.71183045433099</v>
      </c>
      <c r="FL239" s="32">
        <v>1245.0828169146801</v>
      </c>
      <c r="FM239" s="32">
        <v>26.968524971621299</v>
      </c>
      <c r="FN239" s="32">
        <v>170.768737481324</v>
      </c>
      <c r="FO239" s="32">
        <v>4.65279786902585</v>
      </c>
      <c r="FP239" s="32">
        <v>1791.4107561727301</v>
      </c>
      <c r="FQ239" s="32">
        <v>548.79078368059504</v>
      </c>
      <c r="FR239" s="32">
        <v>18.105628772000198</v>
      </c>
      <c r="FS239" s="32">
        <v>490.86940638227298</v>
      </c>
      <c r="FT239" s="32">
        <v>2753.3080529321901</v>
      </c>
      <c r="FU239" s="32">
        <v>4646.2033695997898</v>
      </c>
      <c r="FV239" s="32">
        <v>110.920106786734</v>
      </c>
      <c r="FW239" s="32">
        <v>592.83532199068395</v>
      </c>
      <c r="FX239" s="32">
        <v>6539.4342921934003</v>
      </c>
      <c r="FY239" s="32">
        <v>333.72584243513501</v>
      </c>
      <c r="FZ239" s="32">
        <v>609.72920940337599</v>
      </c>
      <c r="GA239" s="32">
        <v>14710.995470838299</v>
      </c>
      <c r="GB239" s="32">
        <v>769.39710742298405</v>
      </c>
      <c r="GC239" s="32">
        <v>779.90585880492199</v>
      </c>
      <c r="GD239" s="32">
        <v>652.11288590595404</v>
      </c>
      <c r="GE239" s="32">
        <v>1653.7888366785901</v>
      </c>
      <c r="GF239" s="32">
        <v>355.802069974738</v>
      </c>
      <c r="GG239" s="32">
        <v>0</v>
      </c>
      <c r="GH239" s="32">
        <v>492.89378447873997</v>
      </c>
      <c r="GI239" s="32">
        <v>0</v>
      </c>
      <c r="GJ239" s="32">
        <v>217.84959713323499</v>
      </c>
      <c r="GK239" s="32">
        <v>-1.2079226507921699E-12</v>
      </c>
      <c r="GL239" s="32">
        <v>880.49894333132795</v>
      </c>
      <c r="GM239" s="32">
        <v>3062.7971754938999</v>
      </c>
      <c r="GN239" s="32">
        <v>244.78739157444201</v>
      </c>
      <c r="GO239" s="32">
        <v>71.827110486534806</v>
      </c>
      <c r="GP239" s="32">
        <v>0</v>
      </c>
      <c r="GQ239" s="32">
        <v>103290.9195314137</v>
      </c>
      <c r="GR239" s="31"/>
      <c r="GS239" s="33"/>
      <c r="GT239" s="33"/>
      <c r="GU239" s="33"/>
      <c r="GV239" s="33"/>
      <c r="GW239" s="33"/>
      <c r="GX239" s="33"/>
      <c r="GY239" s="33"/>
      <c r="GZ239" s="33"/>
      <c r="HA239" s="5"/>
      <c r="HB239" s="5"/>
      <c r="HC239" s="5"/>
    </row>
    <row r="240" spans="1:211" s="7" customFormat="1" ht="17.25" customHeight="1">
      <c r="B240" s="12" t="s">
        <v>731</v>
      </c>
      <c r="C240" s="13" t="s">
        <v>732</v>
      </c>
      <c r="D240" s="32">
        <v>289.70682612024399</v>
      </c>
      <c r="E240" s="32">
        <v>385.93958508997099</v>
      </c>
      <c r="F240" s="32">
        <v>848.32324890970995</v>
      </c>
      <c r="G240" s="32">
        <v>204.23598947985801</v>
      </c>
      <c r="H240" s="32">
        <v>410.84818437751898</v>
      </c>
      <c r="I240" s="32">
        <v>839.10228385737696</v>
      </c>
      <c r="J240" s="32">
        <v>165.891162641942</v>
      </c>
      <c r="K240" s="32">
        <v>32.855195692792599</v>
      </c>
      <c r="L240" s="32">
        <v>261.08509841891498</v>
      </c>
      <c r="M240" s="32">
        <v>2128.6802272946502</v>
      </c>
      <c r="N240" s="32">
        <v>333.93787856823002</v>
      </c>
      <c r="O240" s="32">
        <v>261.11524288961601</v>
      </c>
      <c r="P240" s="32">
        <v>19.606123719617099</v>
      </c>
      <c r="Q240" s="32">
        <v>856.31934423570704</v>
      </c>
      <c r="R240" s="32">
        <v>506.01795299427403</v>
      </c>
      <c r="S240" s="32">
        <v>1569.13832787559</v>
      </c>
      <c r="T240" s="32">
        <v>34.198683924555901</v>
      </c>
      <c r="U240" s="32">
        <v>124.68341372926901</v>
      </c>
      <c r="V240" s="32">
        <v>3.8608900942978299</v>
      </c>
      <c r="W240" s="32">
        <v>75.135967270162794</v>
      </c>
      <c r="X240" s="32">
        <v>106.274936980177</v>
      </c>
      <c r="Y240" s="32">
        <v>33.813264143354402</v>
      </c>
      <c r="Z240" s="32">
        <v>133.273944998394</v>
      </c>
      <c r="AA240" s="32">
        <v>20.0115415508734</v>
      </c>
      <c r="AB240" s="32">
        <v>0.170002503491438</v>
      </c>
      <c r="AC240" s="32">
        <v>336.65126365797403</v>
      </c>
      <c r="AD240" s="32">
        <v>0.91319022717783305</v>
      </c>
      <c r="AE240" s="32">
        <v>1770.8090212643499</v>
      </c>
      <c r="AF240" s="32">
        <v>2609.0200520097801</v>
      </c>
      <c r="AG240" s="32">
        <v>591.15635476588795</v>
      </c>
      <c r="AH240" s="32">
        <v>80.851017036773598</v>
      </c>
      <c r="AI240" s="32">
        <v>156.23127729772401</v>
      </c>
      <c r="AJ240" s="32">
        <v>3.8950948498956</v>
      </c>
      <c r="AK240" s="32">
        <v>156.15019524518999</v>
      </c>
      <c r="AL240" s="32">
        <v>1421.77075875216</v>
      </c>
      <c r="AM240" s="32">
        <v>17.9332910300324</v>
      </c>
      <c r="AN240" s="32">
        <v>45.872835120064501</v>
      </c>
      <c r="AO240" s="32">
        <v>25.121563999999999</v>
      </c>
      <c r="AP240" s="32">
        <v>73.316667996324298</v>
      </c>
      <c r="AQ240" s="32">
        <v>92.496925806200295</v>
      </c>
      <c r="AR240" s="32">
        <v>11.447958692694799</v>
      </c>
      <c r="AS240" s="32">
        <v>1.0393699993013199</v>
      </c>
      <c r="AT240" s="32">
        <v>0</v>
      </c>
      <c r="AU240" s="32">
        <v>0</v>
      </c>
      <c r="AV240" s="32">
        <v>0</v>
      </c>
      <c r="AW240" s="32">
        <v>15</v>
      </c>
      <c r="AX240" s="32">
        <v>0</v>
      </c>
      <c r="AY240" s="32">
        <v>0</v>
      </c>
      <c r="AZ240" s="32">
        <v>0</v>
      </c>
      <c r="BA240" s="32">
        <v>1.4194976800717001</v>
      </c>
      <c r="BB240" s="32">
        <v>0</v>
      </c>
      <c r="BC240" s="32">
        <v>79</v>
      </c>
      <c r="BD240" s="32">
        <v>0</v>
      </c>
      <c r="BE240" s="32">
        <v>297.83964551155998</v>
      </c>
      <c r="BF240" s="32">
        <v>354.69501406994499</v>
      </c>
      <c r="BG240" s="32">
        <v>108.953010842916</v>
      </c>
      <c r="BH240" s="32">
        <v>230.51355108904599</v>
      </c>
      <c r="BI240" s="32">
        <v>0</v>
      </c>
      <c r="BJ240" s="32">
        <v>24.1665198763428</v>
      </c>
      <c r="BK240" s="32">
        <v>24.737875204279099</v>
      </c>
      <c r="BL240" s="32">
        <v>0</v>
      </c>
      <c r="BM240" s="32">
        <v>0</v>
      </c>
      <c r="BN240" s="32">
        <v>3.1446473892230502</v>
      </c>
      <c r="BO240" s="32">
        <v>40.540063197465201</v>
      </c>
      <c r="BP240" s="32">
        <v>21.009170211202701</v>
      </c>
      <c r="BQ240" s="32">
        <v>0</v>
      </c>
      <c r="BR240" s="32">
        <v>0</v>
      </c>
      <c r="BS240" s="32">
        <v>0</v>
      </c>
      <c r="BT240" s="32">
        <v>1232.5176127254001</v>
      </c>
      <c r="BU240" s="32">
        <v>0</v>
      </c>
      <c r="BV240" s="32">
        <v>47.350447516297201</v>
      </c>
      <c r="BW240" s="32">
        <v>0</v>
      </c>
      <c r="BX240" s="32">
        <v>106.483695426097</v>
      </c>
      <c r="BY240" s="32">
        <v>201.74748009735501</v>
      </c>
      <c r="BZ240" s="32">
        <v>0</v>
      </c>
      <c r="CA240" s="32">
        <v>2.06859645338454</v>
      </c>
      <c r="CB240" s="32">
        <v>1.08173344568421</v>
      </c>
      <c r="CC240" s="32">
        <v>0</v>
      </c>
      <c r="CD240" s="32">
        <v>0</v>
      </c>
      <c r="CE240" s="32">
        <v>0</v>
      </c>
      <c r="CF240" s="32">
        <v>0</v>
      </c>
      <c r="CG240" s="32">
        <v>21.848443984985401</v>
      </c>
      <c r="CH240" s="32">
        <v>39.177555084228501</v>
      </c>
      <c r="CI240" s="32">
        <v>117.471025751463</v>
      </c>
      <c r="CJ240" s="32">
        <v>2.56597083217516</v>
      </c>
      <c r="CK240" s="32">
        <v>0.18896426965476901</v>
      </c>
      <c r="CL240" s="32">
        <v>4.9907365160380097</v>
      </c>
      <c r="CM240" s="32">
        <v>82.148933410644503</v>
      </c>
      <c r="CN240" s="32">
        <v>12.866705</v>
      </c>
      <c r="CO240" s="32">
        <v>0.55986000000000002</v>
      </c>
      <c r="CP240" s="32">
        <v>36.986282348632798</v>
      </c>
      <c r="CQ240" s="32">
        <v>0</v>
      </c>
      <c r="CR240" s="32">
        <v>2.1376981066516798</v>
      </c>
      <c r="CS240" s="32">
        <v>10.619417015401901</v>
      </c>
      <c r="CT240" s="32">
        <v>1097.8715902249501</v>
      </c>
      <c r="CU240" s="32">
        <v>28.1173411305275</v>
      </c>
      <c r="CV240" s="32">
        <v>9.14782677299781</v>
      </c>
      <c r="CW240" s="32">
        <v>78.258918811527593</v>
      </c>
      <c r="CX240" s="32">
        <v>22.362372488438901</v>
      </c>
      <c r="CY240" s="32">
        <v>24.376345544909501</v>
      </c>
      <c r="CZ240" s="32">
        <v>2.6588344453922499</v>
      </c>
      <c r="DA240" s="32">
        <v>106.205027915892</v>
      </c>
      <c r="DB240" s="32">
        <v>0</v>
      </c>
      <c r="DC240" s="32">
        <v>99.910248860166902</v>
      </c>
      <c r="DD240" s="32">
        <v>23.686702708593099</v>
      </c>
      <c r="DE240" s="32">
        <v>0</v>
      </c>
      <c r="DF240" s="32">
        <v>0</v>
      </c>
      <c r="DG240" s="32">
        <v>0</v>
      </c>
      <c r="DH240" s="32">
        <v>113.18488748532999</v>
      </c>
      <c r="DI240" s="32">
        <v>5.9085133697240604</v>
      </c>
      <c r="DJ240" s="32">
        <v>0</v>
      </c>
      <c r="DK240" s="32">
        <v>0</v>
      </c>
      <c r="DL240" s="32">
        <v>0</v>
      </c>
      <c r="DM240" s="32">
        <v>0</v>
      </c>
      <c r="DN240" s="32">
        <v>0</v>
      </c>
      <c r="DO240" s="32">
        <v>0</v>
      </c>
      <c r="DP240" s="32">
        <v>0</v>
      </c>
      <c r="DQ240" s="32">
        <v>0</v>
      </c>
      <c r="DR240" s="32">
        <v>8.6783092915481799</v>
      </c>
      <c r="DS240" s="32">
        <v>7.8496324178702999</v>
      </c>
      <c r="DT240" s="32">
        <v>0</v>
      </c>
      <c r="DU240" s="32">
        <v>0</v>
      </c>
      <c r="DV240" s="32">
        <v>0</v>
      </c>
      <c r="DW240" s="32">
        <v>0</v>
      </c>
      <c r="DX240" s="32">
        <v>24.023439051547001</v>
      </c>
      <c r="DY240" s="32">
        <v>350.35322609420098</v>
      </c>
      <c r="DZ240" s="32">
        <v>0</v>
      </c>
      <c r="EA240" s="32">
        <v>0</v>
      </c>
      <c r="EB240" s="32">
        <v>10.4282681395177</v>
      </c>
      <c r="EC240" s="32">
        <v>49.506195711697103</v>
      </c>
      <c r="ED240" s="32">
        <v>0</v>
      </c>
      <c r="EE240" s="32">
        <v>0</v>
      </c>
      <c r="EF240" s="32">
        <v>7.0101000000000004</v>
      </c>
      <c r="EG240" s="32">
        <v>0</v>
      </c>
      <c r="EH240" s="32">
        <v>0</v>
      </c>
      <c r="EI240" s="32">
        <v>0</v>
      </c>
      <c r="EJ240" s="32">
        <v>101</v>
      </c>
      <c r="EK240" s="32">
        <v>3.4048635700790402</v>
      </c>
      <c r="EL240" s="32">
        <v>3.0185289337108099</v>
      </c>
      <c r="EM240" s="32">
        <v>1.30146032679443</v>
      </c>
      <c r="EN240" s="32">
        <v>5.8456318578301998</v>
      </c>
      <c r="EO240" s="32">
        <v>0</v>
      </c>
      <c r="EP240" s="32">
        <v>0</v>
      </c>
      <c r="EQ240" s="32">
        <v>0</v>
      </c>
      <c r="ER240" s="32">
        <v>2.9612376201921302</v>
      </c>
      <c r="ES240" s="32">
        <v>282.35376144432098</v>
      </c>
      <c r="ET240" s="32">
        <v>189.77891318119001</v>
      </c>
      <c r="EU240" s="32">
        <v>1.17887417580924</v>
      </c>
      <c r="EV240" s="32">
        <v>60.7036459718041</v>
      </c>
      <c r="EW240" s="32">
        <v>225.64850030837201</v>
      </c>
      <c r="EX240" s="32">
        <v>0</v>
      </c>
      <c r="EY240" s="32">
        <v>0</v>
      </c>
      <c r="EZ240" s="32">
        <v>0</v>
      </c>
      <c r="FA240" s="32">
        <v>28.7831789885409</v>
      </c>
      <c r="FB240" s="32">
        <v>260.34369940945402</v>
      </c>
      <c r="FC240" s="32">
        <v>818.43537937628105</v>
      </c>
      <c r="FD240" s="32">
        <v>325.07921995947498</v>
      </c>
      <c r="FE240" s="32">
        <v>205</v>
      </c>
      <c r="FF240" s="32">
        <v>293.72665000000001</v>
      </c>
      <c r="FG240" s="32">
        <v>0</v>
      </c>
      <c r="FH240" s="32">
        <v>0</v>
      </c>
      <c r="FI240" s="32">
        <v>10788.065805237</v>
      </c>
      <c r="FJ240" s="32">
        <v>966.57404084820598</v>
      </c>
      <c r="FK240" s="32">
        <v>0</v>
      </c>
      <c r="FL240" s="32">
        <v>2524.9373526111199</v>
      </c>
      <c r="FM240" s="32">
        <v>4453.1014209852101</v>
      </c>
      <c r="FN240" s="32">
        <v>6.3359284031684302</v>
      </c>
      <c r="FO240" s="32">
        <v>3.1366961125312498</v>
      </c>
      <c r="FP240" s="32">
        <v>0</v>
      </c>
      <c r="FQ240" s="32">
        <v>23.201931635932802</v>
      </c>
      <c r="FR240" s="32">
        <v>0</v>
      </c>
      <c r="FS240" s="32">
        <v>66.755868700207103</v>
      </c>
      <c r="FT240" s="32">
        <v>6161.7027793201696</v>
      </c>
      <c r="FU240" s="32">
        <v>32.345404041254397</v>
      </c>
      <c r="FV240" s="32">
        <v>27.720383211756701</v>
      </c>
      <c r="FW240" s="32">
        <v>0</v>
      </c>
      <c r="FX240" s="32">
        <v>0</v>
      </c>
      <c r="FY240" s="32">
        <v>0</v>
      </c>
      <c r="FZ240" s="32">
        <v>27.0567190078864</v>
      </c>
      <c r="GA240" s="32">
        <v>3325.9282276315098</v>
      </c>
      <c r="GB240" s="32">
        <v>2475.01777205294</v>
      </c>
      <c r="GC240" s="32">
        <v>119.578145131501</v>
      </c>
      <c r="GD240" s="32">
        <v>1158.4310193264901</v>
      </c>
      <c r="GE240" s="32">
        <v>1476.34245885672</v>
      </c>
      <c r="GF240" s="32">
        <v>772.994339709163</v>
      </c>
      <c r="GG240" s="32">
        <v>0</v>
      </c>
      <c r="GH240" s="32">
        <v>69.785253835595995</v>
      </c>
      <c r="GI240" s="32">
        <v>0</v>
      </c>
      <c r="GJ240" s="32">
        <v>770.37164507694297</v>
      </c>
      <c r="GK240" s="32">
        <v>0</v>
      </c>
      <c r="GL240" s="32">
        <v>0</v>
      </c>
      <c r="GM240" s="32">
        <v>931.53344930210903</v>
      </c>
      <c r="GN240" s="32">
        <v>323.01602209422498</v>
      </c>
      <c r="GO240" s="32">
        <v>1090.0966725215601</v>
      </c>
      <c r="GP240" s="32">
        <v>0</v>
      </c>
      <c r="GQ240" s="32">
        <v>62634.862969410111</v>
      </c>
      <c r="GR240" s="31"/>
      <c r="GS240" s="33"/>
      <c r="GT240" s="33"/>
      <c r="GU240" s="33"/>
      <c r="GV240" s="33"/>
      <c r="GW240" s="33"/>
      <c r="GX240" s="33"/>
      <c r="GY240" s="33"/>
      <c r="GZ240" s="33"/>
      <c r="HA240" s="5"/>
      <c r="HB240" s="5"/>
      <c r="HC240" s="5"/>
    </row>
    <row r="241" spans="2:211" s="7" customFormat="1" ht="12" customHeight="1">
      <c r="B241" s="14" t="s">
        <v>733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</row>
  </sheetData>
  <mergeCells count="2">
    <mergeCell ref="GR12:HB12"/>
    <mergeCell ref="GQ11:HC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4.1.2</vt:lpstr>
      <vt:lpstr>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Perales Vilar</dc:creator>
  <cp:lastModifiedBy>Ojeda Ocampo Javier Rodrigo</cp:lastModifiedBy>
  <dcterms:created xsi:type="dcterms:W3CDTF">2025-09-26T21:59:37Z</dcterms:created>
  <dcterms:modified xsi:type="dcterms:W3CDTF">2026-09-23T23:18:02Z</dcterms:modified>
</cp:coreProperties>
</file>